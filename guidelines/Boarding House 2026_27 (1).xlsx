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ster Roster" sheetId="2" r:id="rId6"/>
    <sheet state="visible" name="Arrears Report" sheetId="3" r:id="rId7"/>
    <sheet state="visible" name="Available Bed Spaces" sheetId="4" r:id="rId8"/>
    <sheet state="visible" name="Monthly Billing Tab" sheetId="5" r:id="rId9"/>
    <sheet state="visible" name="Receipt Template" sheetId="6" r:id="rId10"/>
    <sheet state="hidden" name="Payments Log Archive" sheetId="7" r:id="rId11"/>
    <sheet state="visible" name="Calc_Data" sheetId="8" r:id="rId12"/>
    <sheet state="hidden" name="Payments Log" sheetId="9" r:id="rId13"/>
    <sheet state="hidden" name="Receipt Tracking" sheetId="10" r:id="rId14"/>
  </sheets>
  <definedNames>
    <definedName hidden="1" localSheetId="1" name="_xlnm._FilterDatabase">'Master Roster'!$A$3:$J$1008</definedName>
    <definedName hidden="1" localSheetId="2" name="_xlnm._FilterDatabase">'Arrears Report'!$A$3:$G$1002</definedName>
    <definedName hidden="1" localSheetId="4" name="_xlnm._FilterDatabase">'Monthly Billing Tab'!$B$3:$M$57</definedName>
    <definedName hidden="1" localSheetId="1" name="Z_25646466_AC11_4944_AAE8_09CA08A0F1CC_.wvu.FilterData">'Master Roster'!$A$3:$J$57</definedName>
  </definedNames>
  <calcPr/>
  <customWorkbookViews>
    <customWorkbookView activeSheetId="0" maximized="1" windowHeight="0" windowWidth="0" guid="{25646466-AC11-4944-AAE8-09CA08A0F1CC}" name="...by Master Roster"/>
  </customWorkbookViews>
</workbook>
</file>

<file path=xl/sharedStrings.xml><?xml version="1.0" encoding="utf-8"?>
<sst xmlns="http://schemas.openxmlformats.org/spreadsheetml/2006/main" count="8823" uniqueCount="251">
  <si>
    <t>Master Roster</t>
  </si>
  <si>
    <t>Arrears Report</t>
  </si>
  <si>
    <t>Available Bed Spaces</t>
  </si>
  <si>
    <t>All Available</t>
  </si>
  <si>
    <t>Occupancy Report</t>
  </si>
  <si>
    <t>House/ Block</t>
  </si>
  <si>
    <t>Search Tenant:</t>
  </si>
  <si>
    <t>Room No.</t>
  </si>
  <si>
    <t>Bed Space</t>
  </si>
  <si>
    <t>Monthly Rent</t>
  </si>
  <si>
    <t>Status</t>
  </si>
  <si>
    <t>Room Gender</t>
  </si>
  <si>
    <t>Gender</t>
  </si>
  <si>
    <t>Vacant</t>
  </si>
  <si>
    <t>Reserved</t>
  </si>
  <si>
    <t>Total</t>
  </si>
  <si>
    <t>Chanda Lutashima</t>
  </si>
  <si>
    <t>Tenant Name</t>
  </si>
  <si>
    <t>Unique ID</t>
  </si>
  <si>
    <t>Phone Number</t>
  </si>
  <si>
    <t>Room Number</t>
  </si>
  <si>
    <t>Entry Date</t>
  </si>
  <si>
    <t>ID &amp; Name</t>
  </si>
  <si>
    <t>Due Date</t>
  </si>
  <si>
    <t>BBH-1-A</t>
  </si>
  <si>
    <t>Days Overdue</t>
  </si>
  <si>
    <t>Total Balance</t>
  </si>
  <si>
    <t>BBH</t>
  </si>
  <si>
    <t xml:space="preserve">Send via WhatsApp </t>
  </si>
  <si>
    <t>Send via SMS?</t>
  </si>
  <si>
    <t>A</t>
  </si>
  <si>
    <t>Adrian mulale</t>
  </si>
  <si>
    <t>Male</t>
  </si>
  <si>
    <t>BBH-2-A</t>
  </si>
  <si>
    <t>Wisdom Bwani</t>
  </si>
  <si>
    <t>260776960320</t>
  </si>
  <si>
    <t>Female</t>
  </si>
  <si>
    <t>BBH-2-B</t>
  </si>
  <si>
    <t>B</t>
  </si>
  <si>
    <t>Jackson Mwanza</t>
  </si>
  <si>
    <t>260976625656</t>
  </si>
  <si>
    <t>BBH-3-A</t>
  </si>
  <si>
    <t>Prosper Kalayi</t>
  </si>
  <si>
    <t>Bed Space Report</t>
  </si>
  <si>
    <t>BBH-3-B</t>
  </si>
  <si>
    <t>Shadrach Munganini</t>
  </si>
  <si>
    <t>Active Tenants</t>
  </si>
  <si>
    <t>BBH-3-C</t>
  </si>
  <si>
    <t>C</t>
  </si>
  <si>
    <t>Collins Mubanga</t>
  </si>
  <si>
    <t>BBH-4-A</t>
  </si>
  <si>
    <t>Himalikiti Saviour</t>
  </si>
  <si>
    <t>Vacant/Reserved.</t>
  </si>
  <si>
    <t>BBH-5-A</t>
  </si>
  <si>
    <t xml:space="preserve">Wampa </t>
  </si>
  <si>
    <t>BBH-6-A</t>
  </si>
  <si>
    <t>McDonald</t>
  </si>
  <si>
    <t>Total Bed Spaces</t>
  </si>
  <si>
    <t>BBH-6-B</t>
  </si>
  <si>
    <t>Nanga Obrien</t>
  </si>
  <si>
    <t>Expeted Revenue</t>
  </si>
  <si>
    <t>BBH-6-C</t>
  </si>
  <si>
    <t>Zick Phiri</t>
  </si>
  <si>
    <t>BBH-7-A</t>
  </si>
  <si>
    <t>Funny Muyamina</t>
  </si>
  <si>
    <t>260771096585</t>
  </si>
  <si>
    <t>BBH-7-B</t>
  </si>
  <si>
    <t>Full Capacity Revenue</t>
  </si>
  <si>
    <t>Treasure Simeenda</t>
  </si>
  <si>
    <t>260772393278</t>
  </si>
  <si>
    <t>BBH-7-C</t>
  </si>
  <si>
    <t>Days 20-30</t>
  </si>
  <si>
    <t>BBH-8-A</t>
  </si>
  <si>
    <t>Kangwa Kunda</t>
  </si>
  <si>
    <t>BBH-8-B</t>
  </si>
  <si>
    <t>BBH-9-A</t>
  </si>
  <si>
    <t>Felistus Mweemba</t>
  </si>
  <si>
    <t>BBH-9-B</t>
  </si>
  <si>
    <t>Wendy Mpakise</t>
  </si>
  <si>
    <t>BBH-9-C</t>
  </si>
  <si>
    <t>UPV-10-A</t>
  </si>
  <si>
    <t>UPV</t>
  </si>
  <si>
    <t>Emely Mwale</t>
  </si>
  <si>
    <t>Days 1-5</t>
  </si>
  <si>
    <t>260777238633</t>
  </si>
  <si>
    <t>UPV-10-B</t>
  </si>
  <si>
    <t>Melody Mumba</t>
  </si>
  <si>
    <t>UPV-10-C</t>
  </si>
  <si>
    <t>Sara Matakala</t>
  </si>
  <si>
    <t>UPV-10-D</t>
  </si>
  <si>
    <t>D</t>
  </si>
  <si>
    <t>UPV-11-A</t>
  </si>
  <si>
    <t>Gift Nankamba</t>
  </si>
  <si>
    <t>UPV-12-A</t>
  </si>
  <si>
    <t>chilulu chiliulu</t>
  </si>
  <si>
    <t>UPV-13-A</t>
  </si>
  <si>
    <t>Chibesa Chisembe</t>
  </si>
  <si>
    <t>Days 1-5 Total</t>
  </si>
  <si>
    <t>UPV-14-A</t>
  </si>
  <si>
    <t>Days 20-30 Total</t>
  </si>
  <si>
    <t>Reuben Ngusulu</t>
  </si>
  <si>
    <t>UPV-15-A</t>
  </si>
  <si>
    <t>Harriet nanyangwe</t>
  </si>
  <si>
    <t>260974130584</t>
  </si>
  <si>
    <t>Amount</t>
  </si>
  <si>
    <t>CRV-16-A</t>
  </si>
  <si>
    <t>CRV</t>
  </si>
  <si>
    <t>CRV-16-B</t>
  </si>
  <si>
    <t>Ackim Siamafuko</t>
  </si>
  <si>
    <t>CRV-17-A</t>
  </si>
  <si>
    <t>Kwitu Khalu</t>
  </si>
  <si>
    <t>260960785114</t>
  </si>
  <si>
    <t>CRV-18-A</t>
  </si>
  <si>
    <t>Christopher Tambule</t>
  </si>
  <si>
    <t>ANX-19-A</t>
  </si>
  <si>
    <t>ANX</t>
  </si>
  <si>
    <t>Samantha Musako (Kakompe)</t>
  </si>
  <si>
    <t>ANX-19-B</t>
  </si>
  <si>
    <t>ANX-19-C</t>
  </si>
  <si>
    <t xml:space="preserve">Josephine Nyirenda </t>
  </si>
  <si>
    <t>ANX-19-D</t>
  </si>
  <si>
    <t>Lubono Ruthendo</t>
  </si>
  <si>
    <t>ANX-20-A</t>
  </si>
  <si>
    <t>Steven Musonda</t>
  </si>
  <si>
    <t>NWG-21-A</t>
  </si>
  <si>
    <t>NWG</t>
  </si>
  <si>
    <t>Lukundo Siame</t>
  </si>
  <si>
    <t>NWG-21-B</t>
  </si>
  <si>
    <t>Gabirel Kabwe</t>
  </si>
  <si>
    <t>NWG-21-C</t>
  </si>
  <si>
    <t>Chama Kampamba</t>
  </si>
  <si>
    <t>NWG-21-D</t>
  </si>
  <si>
    <t>Jairos Banda</t>
  </si>
  <si>
    <t>NWG-22-A</t>
  </si>
  <si>
    <t>NWG-22-B</t>
  </si>
  <si>
    <t>David Mulila</t>
  </si>
  <si>
    <t>NWG-22-C</t>
  </si>
  <si>
    <t xml:space="preserve">Ongani Madaliso Gabriel </t>
  </si>
  <si>
    <t>NWG-22-D</t>
  </si>
  <si>
    <t>Christopher Phiri</t>
  </si>
  <si>
    <t>NWG-23-A</t>
  </si>
  <si>
    <t>NWG-23-B</t>
  </si>
  <si>
    <t>Catherine Mphande</t>
  </si>
  <si>
    <t>NWG-23-C</t>
  </si>
  <si>
    <t>Grace Mwamba</t>
  </si>
  <si>
    <t>NWG-23-D</t>
  </si>
  <si>
    <t>Lushomo gambwe</t>
  </si>
  <si>
    <t>NWG-23-E</t>
  </si>
  <si>
    <t>E</t>
  </si>
  <si>
    <t>Jacqueline Mwape</t>
  </si>
  <si>
    <t>NWG-24-A</t>
  </si>
  <si>
    <t>Chami Soneka</t>
  </si>
  <si>
    <t>NWG-24-B</t>
  </si>
  <si>
    <t>TOTAL</t>
  </si>
  <si>
    <t>Kuwunda Makondo</t>
  </si>
  <si>
    <t>NWG-24-C</t>
  </si>
  <si>
    <t>Chansa Chinyama</t>
  </si>
  <si>
    <t>NWG-24-D</t>
  </si>
  <si>
    <t>Kawina Florence</t>
  </si>
  <si>
    <t>GRAND TOTAL</t>
  </si>
  <si>
    <t>Monthly Billing Tab</t>
  </si>
  <si>
    <t>No.</t>
  </si>
  <si>
    <t>Billing ID</t>
  </si>
  <si>
    <t>House/Block</t>
  </si>
  <si>
    <t>Current Rent</t>
  </si>
  <si>
    <t>Adjustments / Fees</t>
  </si>
  <si>
    <t>Adjustment Notes</t>
  </si>
  <si>
    <t>Target Month</t>
  </si>
  <si>
    <t>Aug</t>
  </si>
  <si>
    <t>🟢 Open Window</t>
  </si>
  <si>
    <t>Sep</t>
  </si>
  <si>
    <t>✅ Paid / Secured</t>
  </si>
  <si>
    <t>⏳ Grace Period</t>
  </si>
  <si>
    <t>OFFICIAL RECEIPT</t>
  </si>
  <si>
    <t>Receipt No:</t>
  </si>
  <si>
    <t/>
  </si>
  <si>
    <t>Tenant ID:</t>
  </si>
  <si>
    <t>Jul</t>
  </si>
  <si>
    <t>Date:</t>
  </si>
  <si>
    <t>❌ OVERDUE / UNPAID</t>
  </si>
  <si>
    <t>Select Tenant Name:</t>
  </si>
  <si>
    <t>Amount Paid:</t>
  </si>
  <si>
    <t>Period Covered:</t>
  </si>
  <si>
    <t>Total Balance:</t>
  </si>
  <si>
    <t>Entry Date:</t>
  </si>
  <si>
    <t>WhatsApp:</t>
  </si>
  <si>
    <t>Thank you for your payment!</t>
  </si>
  <si>
    <t>Excluded - Wampa</t>
  </si>
  <si>
    <t>Part Payment</t>
  </si>
  <si>
    <t>May</t>
  </si>
  <si>
    <t>Jun</t>
  </si>
  <si>
    <t>Executive Dashboard</t>
  </si>
  <si>
    <t>Receipt Template</t>
  </si>
  <si>
    <t>Total Grace Period</t>
  </si>
  <si>
    <t>Payments Log Archive</t>
  </si>
  <si>
    <t>Payment Date</t>
  </si>
  <si>
    <t>Month Covered</t>
  </si>
  <si>
    <t>Year</t>
  </si>
  <si>
    <t>Amount Paid</t>
  </si>
  <si>
    <t>Send Receipt</t>
  </si>
  <si>
    <t>Print Receipt</t>
  </si>
  <si>
    <t>Balance</t>
  </si>
  <si>
    <t>Cumulative Payments</t>
  </si>
  <si>
    <t>Receipt Issued</t>
  </si>
  <si>
    <t>Pending Receipts</t>
  </si>
  <si>
    <t>Receipt Number</t>
  </si>
  <si>
    <t>WhatsApp Receipt</t>
  </si>
  <si>
    <t>2026-01-31</t>
  </si>
  <si>
    <t>January</t>
  </si>
  <si>
    <t>Paid</t>
  </si>
  <si>
    <t>💬 Send Receipt</t>
  </si>
  <si>
    <t>2026-01-05</t>
  </si>
  <si>
    <t>REC-0004</t>
  </si>
  <si>
    <t>June</t>
  </si>
  <si>
    <t>REC-0005</t>
  </si>
  <si>
    <t>REC-0006</t>
  </si>
  <si>
    <t>REC-0007</t>
  </si>
  <si>
    <t>Calc_Data</t>
  </si>
  <si>
    <t>Count</t>
  </si>
  <si>
    <t>Total Expected Revenue</t>
  </si>
  <si>
    <t>REC-0008</t>
  </si>
  <si>
    <t>Total Beds</t>
  </si>
  <si>
    <t>Occupancy Rate</t>
  </si>
  <si>
    <t>REC-0009</t>
  </si>
  <si>
    <t>Total Debt</t>
  </si>
  <si>
    <t>Total Open Window</t>
  </si>
  <si>
    <t>REC-0010</t>
  </si>
  <si>
    <t>REC-0011</t>
  </si>
  <si>
    <t>REC-0012</t>
  </si>
  <si>
    <t>REC-0013</t>
  </si>
  <si>
    <t>REC-0014</t>
  </si>
  <si>
    <t>REC-0015</t>
  </si>
  <si>
    <t>REC-0016</t>
  </si>
  <si>
    <t>REC-0017</t>
  </si>
  <si>
    <t>REC-0018</t>
  </si>
  <si>
    <t>REC-0019</t>
  </si>
  <si>
    <t>Payments Log</t>
  </si>
  <si>
    <t>February</t>
  </si>
  <si>
    <t>March</t>
  </si>
  <si>
    <t>April</t>
  </si>
  <si>
    <t>July</t>
  </si>
  <si>
    <t>August</t>
  </si>
  <si>
    <t>September</t>
  </si>
  <si>
    <t>October</t>
  </si>
  <si>
    <t>November</t>
  </si>
  <si>
    <t>December</t>
  </si>
  <si>
    <t>Yearly Total</t>
  </si>
  <si>
    <t>Monthly Total</t>
  </si>
  <si>
    <t>Receipt Tracking</t>
  </si>
  <si>
    <t>Room</t>
  </si>
  <si>
    <t>20260605-BBH-1-A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</si>
</sst>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-mm-yy"/>
    <numFmt numFmtId="165" formatCode="#,##0;(#,##0)"/>
    <numFmt numFmtId="166" formatCode="dd/mm/yyyy"/>
    <numFmt numFmtId="167" formatCode="$#,##0.00"/>
    <numFmt numFmtId="168" formatCode="dd/mm/yy"/>
    <numFmt numFmtId="169" formatCode="&quot;K&quot;#,##0.00"/>
    <numFmt numFmtId="170" formatCode="d mmm yyyy"/>
    <numFmt numFmtId="171" formatCode="yyyy-mm-dd"/>
    <numFmt numFmtId="172" formatCode="&quot;K&quot;#,##0"/>
    <numFmt numFmtId="173" formatCode="0.0%"/>
    <numFmt numFmtId="174" formatCode="mmm d, yyyy"/>
  </numFmts>
  <fonts count="43">
    <font>
      <sz val="10.0"/>
      <color rgb="FF000000"/>
      <name val="Arial"/>
      <scheme val="minor"/>
    </font>
    <font>
      <b/>
      <sz val="18.0"/>
      <color rgb="FFFFFFFF"/>
      <name val="Montserrat"/>
    </font>
    <font>
      <b/>
      <sz val="13.0"/>
      <color rgb="FF000000"/>
      <name val="Montserrat"/>
    </font>
    <font>
      <b/>
      <color rgb="FFFFFFFF"/>
      <name val="Montserrat"/>
    </font>
    <font>
      <color theme="1"/>
      <name val="Arial"/>
      <scheme val="minor"/>
    </font>
    <font>
      <b/>
      <sz val="12.0"/>
      <color theme="1"/>
      <name val="Google Sans"/>
    </font>
    <font>
      <b/>
      <color rgb="FF000000"/>
      <name val="Montserrat"/>
    </font>
    <font>
      <b/>
      <sz val="18.0"/>
      <color rgb="FF000000"/>
      <name val="Montserrat"/>
    </font>
    <font>
      <sz val="12.0"/>
      <color rgb="FF000000"/>
      <name val="Google Sans"/>
    </font>
    <font>
      <color rgb="FF444444"/>
      <name val="Roboto"/>
    </font>
    <font>
      <color rgb="FF191A1F"/>
      <name val="Roboto"/>
    </font>
    <font>
      <color theme="1"/>
      <name val="Roboto"/>
    </font>
    <font>
      <b/>
      <sz val="11.0"/>
      <color rgb="FF444444"/>
      <name val="Roboto"/>
    </font>
    <font>
      <u/>
      <color rgb="FF0000FF"/>
      <name val="Roboto"/>
    </font>
    <font>
      <b/>
      <color rgb="FF444444"/>
      <name val="Roboto"/>
    </font>
    <font>
      <color theme="0"/>
      <name val="Roboto"/>
    </font>
    <font>
      <u/>
      <color rgb="FF0000FF"/>
      <name val="Roboto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1A1B1F"/>
      <name val="Roboto"/>
    </font>
    <font>
      <b/>
      <sz val="18.0"/>
      <color rgb="FF3A6939"/>
      <name val="Montserrat"/>
    </font>
    <font>
      <b/>
      <sz val="12.0"/>
      <color rgb="FF3A6939"/>
      <name val="Montserrat"/>
    </font>
    <font>
      <b/>
      <sz val="11.0"/>
      <color rgb="FFFFFFFF"/>
      <name val="Montserrat"/>
    </font>
    <font>
      <sz val="10.0"/>
      <color rgb="FF181D16"/>
      <name val="Roboto"/>
    </font>
    <font>
      <b/>
      <sz val="12.0"/>
      <color rgb="FFFFFFFF"/>
      <name val="Montserrat"/>
    </font>
    <font/>
    <font>
      <b/>
      <sz val="16.0"/>
      <color rgb="FFFFFFFF"/>
      <name val="Montserrat"/>
    </font>
    <font>
      <sz val="14.0"/>
      <color rgb="FFFFFFFF"/>
      <name val="Montserrat"/>
    </font>
    <font>
      <sz val="11.0"/>
      <color rgb="FF1A1B1F"/>
      <name val="Roboto"/>
    </font>
    <font>
      <u/>
      <color rgb="FF0000FF"/>
    </font>
    <font>
      <b/>
      <i/>
      <color rgb="FF435E91"/>
      <name val="Montserrat"/>
    </font>
    <font>
      <i/>
      <sz val="10.0"/>
      <color rgb="FF181D16"/>
      <name val="Roboto"/>
    </font>
    <font>
      <color rgb="FF181D16"/>
      <name val="Roboto"/>
    </font>
    <font>
      <b/>
      <sz val="24.0"/>
      <color rgb="FFFFFFFF"/>
      <name val="Montserrat"/>
    </font>
    <font>
      <b/>
      <u/>
      <color rgb="FFFFFFFF"/>
    </font>
    <font>
      <b/>
      <u/>
      <color rgb="FFFFFFFF"/>
    </font>
    <font>
      <b/>
      <u/>
      <color rgb="FFFFFFFF"/>
    </font>
    <font>
      <b/>
      <u/>
      <color rgb="FFFFFFFF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4">
    <fill>
      <patternFill patternType="none"/>
    </fill>
    <fill>
      <patternFill patternType="lightGray"/>
    </fill>
    <fill>
      <patternFill patternType="solid">
        <fgColor rgb="FF1B5E1F"/>
        <bgColor rgb="FF1B5E1F"/>
      </patternFill>
    </fill>
    <fill>
      <patternFill patternType="solid">
        <fgColor rgb="FF8A0000"/>
        <bgColor rgb="FF8A0000"/>
      </patternFill>
    </fill>
    <fill>
      <patternFill patternType="solid">
        <fgColor rgb="FF00FF00"/>
        <bgColor rgb="FF00FF00"/>
      </patternFill>
    </fill>
    <fill>
      <patternFill patternType="solid">
        <fgColor rgb="FFF8F8FF"/>
        <bgColor rgb="FFF8F8FF"/>
      </patternFill>
    </fill>
    <fill>
      <patternFill patternType="solid">
        <fgColor theme="4"/>
        <bgColor theme="4"/>
      </patternFill>
    </fill>
    <fill>
      <patternFill patternType="solid">
        <fgColor rgb="FFF3F3F3"/>
        <bgColor rgb="FFF3F3F3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9700"/>
        <bgColor rgb="FFFF97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BBEFB4"/>
        <bgColor rgb="FFBBEFB4"/>
      </patternFill>
    </fill>
    <fill>
      <patternFill patternType="solid">
        <fgColor rgb="FF485D92"/>
        <bgColor rgb="FF485D92"/>
      </patternFill>
    </fill>
    <fill>
      <patternFill patternType="solid">
        <fgColor rgb="FFE8F5E9"/>
        <bgColor rgb="FFE8F5E9"/>
      </patternFill>
    </fill>
    <fill>
      <patternFill patternType="solid">
        <fgColor rgb="FFECECF4"/>
        <bgColor rgb="FFECECF4"/>
      </patternFill>
    </fill>
    <fill>
      <patternFill patternType="solid">
        <fgColor rgb="FF435E91"/>
        <bgColor rgb="FF435E91"/>
      </patternFill>
    </fill>
    <fill>
      <patternFill patternType="solid">
        <fgColor rgb="FF3B5F90"/>
        <bgColor rgb="FF3B5F90"/>
      </patternFill>
    </fill>
    <fill>
      <patternFill patternType="solid">
        <fgColor rgb="FF34A852"/>
        <bgColor rgb="FF34A852"/>
      </patternFill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</fills>
  <borders count="8">
    <border/>
    <border>
      <bottom style="thin">
        <color rgb="FF000000"/>
      </bottom>
    </border>
    <border>
      <left style="thin">
        <color rgb="FF74777E"/>
      </left>
      <top style="thin">
        <color rgb="FF74777E"/>
      </top>
    </border>
    <border>
      <left style="thin">
        <color rgb="FF74777E"/>
      </left>
    </border>
    <border>
      <right style="thin">
        <color rgb="FF74777E"/>
      </right>
    </border>
    <border>
      <left style="thin">
        <color rgb="FF74777E"/>
      </left>
      <bottom style="thin">
        <color rgb="FF74777E"/>
      </bottom>
    </border>
    <border>
      <bottom style="thin">
        <color rgb="FF74777E"/>
      </bottom>
    </border>
    <border>
      <right style="thin">
        <color rgb="FF74777E"/>
      </right>
      <bottom style="thin">
        <color rgb="FF74777E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left" readingOrder="0"/>
    </xf>
    <xf borderId="0" fillId="5" fontId="4" numFmtId="0" xfId="0" applyFill="1" applyFont="1"/>
    <xf borderId="0" fillId="3" fontId="3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6" fontId="6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right" readingOrder="0" vertical="center"/>
    </xf>
    <xf borderId="0" fillId="7" fontId="6" numFmtId="0" xfId="0" applyAlignment="1" applyFill="1" applyFont="1">
      <alignment horizontal="center" readingOrder="0" shrinkToFit="0" wrapText="1"/>
    </xf>
    <xf borderId="0" fillId="8" fontId="3" numFmtId="0" xfId="0" applyAlignment="1" applyFill="1" applyFont="1">
      <alignment horizontal="center" readingOrder="0" shrinkToFit="0" wrapText="1"/>
    </xf>
    <xf borderId="0" fillId="3" fontId="3" numFmtId="3" xfId="0" applyAlignment="1" applyFill="1" applyFont="1" applyNumberForma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left" readingOrder="0" vertical="center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horizontal="left" readingOrder="0" shrinkToFit="0" wrapText="1"/>
    </xf>
    <xf borderId="0" fillId="3" fontId="3" numFmtId="0" xfId="0" applyAlignment="1" applyFill="1" applyFont="1">
      <alignment horizontal="center" readingOrder="0" shrinkToFit="0" wrapText="1"/>
    </xf>
    <xf borderId="0" fillId="3" fontId="3" numFmtId="0" xfId="0" applyAlignment="1" applyFill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0"/>
    </xf>
    <xf borderId="0" fillId="3" fontId="3" numFmtId="3" xfId="0" applyAlignment="1" applyFill="1" applyFont="1" applyNumberFormat="1">
      <alignment horizontal="center" readingOrder="0" shrinkToFit="0" wrapText="1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readingOrder="0" shrinkToFit="0" wrapText="0"/>
    </xf>
    <xf borderId="0" fillId="0" fontId="8" numFmtId="164" xfId="0" applyAlignment="1" applyFont="1" applyNumberFormat="1">
      <alignment horizontal="center" readingOrder="0" shrinkToFit="0" wrapText="0"/>
    </xf>
    <xf borderId="0" fillId="0" fontId="8" numFmtId="3" xfId="0" applyAlignment="1" applyFont="1" applyNumberFormat="1">
      <alignment horizontal="right" readingOrder="0" shrinkToFit="0" wrapText="0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4" numFmtId="0" xfId="0" applyFont="1"/>
    <xf borderId="0" fillId="0" fontId="9" numFmtId="3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10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horizontal="center" shrinkToFit="0" wrapText="0"/>
    </xf>
    <xf borderId="0" fillId="0" fontId="9" numFmtId="0" xfId="0" applyFont="1"/>
    <xf borderId="0" fillId="10" fontId="11" numFmtId="0" xfId="0" applyFill="1" applyFont="1"/>
    <xf borderId="0" fillId="10" fontId="11" numFmtId="0" xfId="0" applyAlignment="1" applyFill="1" applyFont="1">
      <alignment horizontal="center"/>
    </xf>
    <xf borderId="0" fillId="10" fontId="11" numFmtId="3" xfId="0" applyAlignment="1" applyFill="1" applyFont="1" applyNumberFormat="1">
      <alignment horizontal="center"/>
    </xf>
    <xf borderId="0" fillId="10" fontId="11" numFmtId="3" xfId="0" applyAlignment="1" applyFill="1" applyFont="1" applyNumberFormat="1">
      <alignment horizontal="right"/>
    </xf>
    <xf borderId="0" fillId="0" fontId="9" numFmtId="0" xfId="0" applyAlignment="1" applyFont="1">
      <alignment shrinkToFit="0" wrapText="0"/>
    </xf>
    <xf borderId="0" fillId="11" fontId="12" numFmtId="0" xfId="0" applyFill="1" applyFont="1"/>
    <xf borderId="0" fillId="12" fontId="8" numFmtId="164" xfId="0" applyAlignment="1" applyFill="1" applyFont="1" applyNumberFormat="1">
      <alignment horizontal="center" readingOrder="0" shrinkToFit="0" wrapText="0"/>
    </xf>
    <xf borderId="0" fillId="10" fontId="13" numFmtId="0" xfId="0" applyFill="1" applyFont="1"/>
    <xf borderId="0" fillId="10" fontId="11" numFmtId="0" xfId="0" applyAlignment="1" applyFill="1" applyFont="1">
      <alignment readingOrder="0"/>
    </xf>
    <xf borderId="0" fillId="9" fontId="11" numFmtId="0" xfId="0" applyFill="1" applyFont="1"/>
    <xf borderId="0" fillId="9" fontId="11" numFmtId="0" xfId="0" applyAlignment="1" applyFill="1" applyFont="1">
      <alignment horizontal="center"/>
    </xf>
    <xf borderId="0" fillId="0" fontId="14" numFmtId="0" xfId="0" applyAlignment="1" applyFont="1">
      <alignment readingOrder="0"/>
    </xf>
    <xf borderId="0" fillId="9" fontId="11" numFmtId="3" xfId="0" applyAlignment="1" applyFill="1" applyFont="1" applyNumberFormat="1">
      <alignment horizontal="center"/>
    </xf>
    <xf borderId="0" fillId="13" fontId="8" numFmtId="164" xfId="0" applyAlignment="1" applyFill="1" applyFont="1" applyNumberFormat="1">
      <alignment horizontal="center" readingOrder="0" shrinkToFit="0" wrapText="0"/>
    </xf>
    <xf borderId="0" fillId="0" fontId="14" numFmtId="0" xfId="0" applyFont="1"/>
    <xf borderId="0" fillId="9" fontId="11" numFmtId="3" xfId="0" applyAlignment="1" applyFill="1" applyFont="1" applyNumberFormat="1">
      <alignment horizontal="right"/>
    </xf>
    <xf borderId="0" fillId="8" fontId="15" numFmtId="0" xfId="0" applyAlignment="1" applyFill="1" applyFont="1">
      <alignment readingOrder="0"/>
    </xf>
    <xf borderId="0" fillId="8" fontId="15" numFmtId="165" xfId="0" applyFill="1" applyFont="1" applyNumberFormat="1"/>
    <xf borderId="0" fillId="0" fontId="9" numFmtId="3" xfId="0" applyFont="1" applyNumberFormat="1"/>
    <xf borderId="0" fillId="9" fontId="16" numFmtId="0" xfId="0" applyFill="1" applyFont="1"/>
    <xf borderId="0" fillId="9" fontId="11" numFmtId="0" xfId="0" applyAlignment="1" applyFill="1" applyFont="1">
      <alignment readingOrder="0"/>
    </xf>
    <xf borderId="0" fillId="0" fontId="4" numFmtId="165" xfId="0" applyFont="1" applyNumberFormat="1"/>
    <xf borderId="0" fillId="0" fontId="8" numFmtId="0" xfId="0" applyAlignment="1" applyFont="1">
      <alignment horizontal="center" readingOrder="0" shrinkToFit="0" vertical="bottom" wrapText="0"/>
    </xf>
    <xf borderId="1" fillId="0" fontId="4" numFmtId="165" xfId="0" applyBorder="1" applyFont="1" applyNumberFormat="1"/>
    <xf borderId="0" fillId="0" fontId="8" numFmtId="164" xfId="0" applyAlignment="1" applyFont="1" applyNumberFormat="1">
      <alignment horizontal="center" readingOrder="0" shrinkToFit="0" vertical="top" wrapText="0"/>
    </xf>
    <xf borderId="0" fillId="0" fontId="8" numFmtId="3" xfId="0" applyAlignment="1" applyFont="1" applyNumberFormat="1">
      <alignment horizontal="right" readingOrder="0" shrinkToFit="0" vertical="top" wrapText="0"/>
    </xf>
    <xf borderId="0" fillId="0" fontId="17" numFmtId="165" xfId="0" applyFont="1" applyNumberFormat="1"/>
    <xf borderId="0" fillId="0" fontId="8" numFmtId="0" xfId="0" applyAlignment="1" applyFont="1">
      <alignment readingOrder="0" shrinkToFit="0" vertical="top" wrapText="0"/>
    </xf>
    <xf borderId="0" fillId="14" fontId="17" numFmtId="0" xfId="0" applyAlignment="1" applyFill="1" applyFont="1">
      <alignment readingOrder="0"/>
    </xf>
    <xf borderId="0" fillId="14" fontId="17" numFmtId="4" xfId="0" applyFill="1" applyFont="1" applyNumberFormat="1"/>
    <xf borderId="0" fillId="14" fontId="17" numFmtId="0" xfId="0" applyFill="1" applyFont="1"/>
    <xf borderId="0" fillId="0" fontId="17" numFmtId="0" xfId="0" applyAlignment="1" applyFont="1">
      <alignment readingOrder="0"/>
    </xf>
    <xf borderId="0" fillId="0" fontId="8" numFmtId="0" xfId="0" applyAlignment="1" applyFont="1">
      <alignment horizontal="center" shrinkToFit="0" vertical="bottom" wrapText="0"/>
    </xf>
    <xf borderId="0" fillId="0" fontId="17" numFmtId="4" xfId="0" applyAlignment="1" applyFont="1" applyNumberFormat="1">
      <alignment readingOrder="0"/>
    </xf>
    <xf borderId="0" fillId="0" fontId="17" numFmtId="0" xfId="0" applyFont="1"/>
    <xf borderId="0" fillId="5" fontId="8" numFmtId="164" xfId="0" applyAlignment="1" applyFill="1" applyFont="1" applyNumberFormat="1">
      <alignment horizontal="center" readingOrder="0" shrinkToFit="0" wrapText="0"/>
    </xf>
    <xf borderId="0" fillId="5" fontId="8" numFmtId="164" xfId="0" applyAlignment="1" applyFill="1" applyFont="1" applyNumberFormat="1">
      <alignment horizontal="center" readingOrder="0" shrinkToFit="0" vertical="top" wrapText="0"/>
    </xf>
    <xf borderId="0" fillId="0" fontId="4" numFmtId="4" xfId="0" applyFont="1" applyNumberFormat="1"/>
    <xf borderId="0" fillId="0" fontId="4" numFmtId="166" xfId="0" applyFont="1" applyNumberFormat="1"/>
    <xf borderId="0" fillId="0" fontId="4" numFmtId="0" xfId="0" applyAlignment="1" applyFont="1">
      <alignment horizontal="center"/>
    </xf>
    <xf borderId="0" fillId="5" fontId="8" numFmtId="164" xfId="0" applyAlignment="1" applyFill="1" applyFont="1" applyNumberFormat="1">
      <alignment horizontal="center" readingOrder="0" shrinkToFit="0" vertical="top" wrapText="0"/>
    </xf>
    <xf borderId="0" fillId="0" fontId="8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9" fontId="11" numFmtId="3" xfId="0" applyFill="1" applyFont="1" applyNumberFormat="1"/>
    <xf borderId="0" fillId="9" fontId="18" numFmtId="167" xfId="0" applyFill="1" applyFont="1" applyNumberFormat="1"/>
    <xf borderId="0" fillId="10" fontId="11" numFmtId="3" xfId="0" applyFill="1" applyFont="1" applyNumberFormat="1"/>
    <xf borderId="0" fillId="12" fontId="8" numFmtId="0" xfId="0" applyAlignment="1" applyFill="1" applyFont="1">
      <alignment readingOrder="0" shrinkToFit="0" wrapText="0"/>
    </xf>
    <xf borderId="0" fillId="0" fontId="17" numFmtId="4" xfId="0" applyFont="1" applyNumberFormat="1"/>
    <xf borderId="0" fillId="5" fontId="4" numFmtId="164" xfId="0" applyFill="1" applyFont="1" applyNumberFormat="1"/>
    <xf borderId="0" fillId="10" fontId="19" numFmtId="167" xfId="0" applyFill="1" applyFont="1" applyNumberFormat="1"/>
    <xf borderId="0" fillId="10" fontId="11" numFmtId="167" xfId="0" applyFill="1" applyFont="1" applyNumberFormat="1"/>
    <xf borderId="0" fillId="0" fontId="4" numFmtId="164" xfId="0" applyFont="1" applyNumberFormat="1"/>
    <xf borderId="0" fillId="9" fontId="11" numFmtId="167" xfId="0" applyFill="1" applyFont="1" applyNumberFormat="1"/>
    <xf borderId="0" fillId="0" fontId="20" numFmtId="0" xfId="0" applyFont="1"/>
    <xf borderId="0" fillId="0" fontId="20" numFmtId="0" xfId="0" applyAlignment="1" applyFont="1">
      <alignment horizontal="center"/>
    </xf>
    <xf borderId="0" fillId="15" fontId="21" numFmtId="0" xfId="0" applyAlignment="1" applyFill="1" applyFont="1">
      <alignment horizontal="left" readingOrder="0" shrinkToFit="0" vertical="center" wrapText="1"/>
    </xf>
    <xf borderId="0" fillId="15" fontId="21" numFmtId="0" xfId="0" applyAlignment="1" applyFill="1" applyFont="1">
      <alignment horizontal="center" readingOrder="0" shrinkToFit="0" vertical="center" wrapText="1"/>
    </xf>
    <xf borderId="0" fillId="15" fontId="22" numFmtId="0" xfId="0" applyAlignment="1" applyFill="1" applyFont="1">
      <alignment horizontal="center" readingOrder="0" shrinkToFit="0" vertical="center" wrapText="1"/>
    </xf>
    <xf borderId="0" fillId="15" fontId="22" numFmtId="0" xfId="0" applyAlignment="1" applyFill="1" applyFont="1">
      <alignment horizontal="left" readingOrder="0" shrinkToFit="0" vertical="center" wrapText="1"/>
    </xf>
    <xf borderId="0" fillId="15" fontId="1" numFmtId="0" xfId="0" applyAlignment="1" applyFill="1" applyFont="1">
      <alignment horizontal="right" readingOrder="0" shrinkToFit="0" vertical="center" wrapText="1"/>
    </xf>
    <xf borderId="0" fillId="9" fontId="7" numFmtId="0" xfId="0" applyAlignment="1" applyFill="1" applyFont="1">
      <alignment horizontal="left" readingOrder="0" shrinkToFit="0" vertical="center" wrapText="1"/>
    </xf>
    <xf borderId="0" fillId="15" fontId="22" numFmtId="0" xfId="0" applyAlignment="1" applyFill="1" applyFont="1">
      <alignment horizontal="right" readingOrder="0" shrinkToFit="0" vertical="center" wrapText="1"/>
    </xf>
    <xf borderId="0" fillId="15" fontId="22" numFmtId="49" xfId="0" applyAlignment="1" applyFill="1" applyFont="1" applyNumberFormat="1">
      <alignment horizontal="center" readingOrder="0" shrinkToFit="0" vertical="center" wrapText="1"/>
    </xf>
    <xf borderId="0" fillId="16" fontId="23" numFmtId="0" xfId="0" applyAlignment="1" applyFill="1" applyFont="1">
      <alignment horizontal="center" readingOrder="0" shrinkToFit="0" vertical="center" wrapText="1"/>
    </xf>
    <xf borderId="0" fillId="16" fontId="23" numFmtId="0" xfId="0" applyAlignment="1" applyFill="1" applyFont="1">
      <alignment horizontal="left" readingOrder="0" shrinkToFit="0" vertical="center" wrapText="1"/>
    </xf>
    <xf borderId="0" fillId="16" fontId="23" numFmtId="0" xfId="0" applyAlignment="1" applyFill="1" applyFont="1">
      <alignment horizontal="right" readingOrder="0" shrinkToFit="0" vertical="center" wrapText="1"/>
    </xf>
    <xf borderId="0" fillId="16" fontId="23" numFmtId="49" xfId="0" applyAlignment="1" applyFill="1" applyFont="1" applyNumberFormat="1">
      <alignment horizontal="center" readingOrder="0" shrinkToFit="0" vertical="center" wrapText="1"/>
    </xf>
    <xf borderId="0" fillId="17" fontId="24" numFmtId="0" xfId="0" applyAlignment="1" applyFill="1" applyFont="1">
      <alignment horizontal="center" readingOrder="0" shrinkToFit="0" vertical="center" wrapText="0"/>
    </xf>
    <xf borderId="0" fillId="17" fontId="24" numFmtId="0" xfId="0" applyAlignment="1" applyFill="1" applyFont="1">
      <alignment horizontal="left" readingOrder="0" shrinkToFit="0" vertical="center" wrapText="0"/>
    </xf>
    <xf borderId="0" fillId="17" fontId="24" numFmtId="0" xfId="0" applyAlignment="1" applyFill="1" applyFont="1">
      <alignment vertical="center"/>
    </xf>
    <xf borderId="0" fillId="17" fontId="24" numFmtId="0" xfId="0" applyAlignment="1" applyFill="1" applyFont="1">
      <alignment horizontal="center" vertical="center"/>
    </xf>
    <xf borderId="0" fillId="17" fontId="24" numFmtId="3" xfId="0" applyAlignment="1" applyFill="1" applyFont="1" applyNumberFormat="1">
      <alignment horizontal="right" vertical="center"/>
    </xf>
    <xf borderId="0" fillId="17" fontId="24" numFmtId="168" xfId="0" applyAlignment="1" applyFill="1" applyFont="1" applyNumberFormat="1">
      <alignment horizontal="center" readingOrder="0" vertical="center"/>
    </xf>
    <xf borderId="0" fillId="17" fontId="24" numFmtId="3" xfId="0" applyAlignment="1" applyFill="1" applyFont="1" applyNumberFormat="1">
      <alignment horizontal="left" vertical="center"/>
    </xf>
    <xf borderId="0" fillId="17" fontId="24" numFmtId="3" xfId="0" applyAlignment="1" applyFill="1" applyFont="1" applyNumberFormat="1">
      <alignment horizontal="right" readingOrder="0" vertical="center"/>
    </xf>
    <xf borderId="0" fillId="9" fontId="24" numFmtId="0" xfId="0" applyAlignment="1" applyFill="1" applyFont="1">
      <alignment horizontal="center" readingOrder="0" shrinkToFit="0" vertical="center" wrapText="0"/>
    </xf>
    <xf borderId="0" fillId="9" fontId="24" numFmtId="0" xfId="0" applyAlignment="1" applyFill="1" applyFont="1">
      <alignment horizontal="left" readingOrder="0" shrinkToFit="0" vertical="center" wrapText="0"/>
    </xf>
    <xf borderId="0" fillId="9" fontId="24" numFmtId="0" xfId="0" applyAlignment="1" applyFill="1" applyFont="1">
      <alignment vertical="center"/>
    </xf>
    <xf borderId="0" fillId="9" fontId="24" numFmtId="0" xfId="0" applyAlignment="1" applyFill="1" applyFont="1">
      <alignment horizontal="center" vertical="center"/>
    </xf>
    <xf borderId="0" fillId="9" fontId="24" numFmtId="3" xfId="0" applyAlignment="1" applyFill="1" applyFont="1" applyNumberFormat="1">
      <alignment horizontal="right" vertical="center"/>
    </xf>
    <xf borderId="0" fillId="9" fontId="24" numFmtId="168" xfId="0" applyAlignment="1" applyFill="1" applyFont="1" applyNumberFormat="1">
      <alignment horizontal="center" readingOrder="0" vertical="center"/>
    </xf>
    <xf borderId="0" fillId="9" fontId="24" numFmtId="3" xfId="0" applyAlignment="1" applyFill="1" applyFont="1" applyNumberFormat="1">
      <alignment horizontal="left" vertical="center"/>
    </xf>
    <xf borderId="0" fillId="9" fontId="24" numFmtId="3" xfId="0" applyAlignment="1" applyFill="1" applyFont="1" applyNumberFormat="1">
      <alignment horizontal="right" readingOrder="0" vertical="center"/>
    </xf>
    <xf borderId="0" fillId="9" fontId="24" numFmtId="0" xfId="0" applyAlignment="1" applyFill="1" applyFont="1">
      <alignment horizontal="center" readingOrder="0" vertical="center"/>
    </xf>
    <xf borderId="0" fillId="9" fontId="24" numFmtId="3" xfId="0" applyAlignment="1" applyFill="1" applyFont="1" applyNumberFormat="1">
      <alignment horizontal="left" readingOrder="0" vertical="center"/>
    </xf>
    <xf borderId="0" fillId="17" fontId="24" numFmtId="3" xfId="0" applyAlignment="1" applyFill="1" applyFont="1" applyNumberFormat="1">
      <alignment horizontal="left" readingOrder="0" vertical="center"/>
    </xf>
    <xf borderId="0" fillId="18" fontId="4" numFmtId="0" xfId="0" applyFill="1" applyFont="1"/>
    <xf borderId="2" fillId="19" fontId="25" numFmtId="0" xfId="0" applyAlignment="1" applyBorder="1" applyFill="1" applyFont="1">
      <alignment horizontal="center" vertical="center"/>
    </xf>
    <xf borderId="2" fillId="19" fontId="25" numFmtId="0" xfId="0" applyAlignment="1" applyBorder="1" applyFill="1" applyFont="1">
      <alignment horizontal="center" readingOrder="0" vertical="center"/>
    </xf>
    <xf borderId="3" fillId="0" fontId="26" numFmtId="0" xfId="0" applyBorder="1" applyFont="1"/>
    <xf borderId="3" fillId="19" fontId="27" numFmtId="0" xfId="0" applyAlignment="1" applyBorder="1" applyFill="1" applyFont="1">
      <alignment horizontal="center" vertical="center"/>
    </xf>
    <xf borderId="0" fillId="19" fontId="28" numFmtId="0" xfId="0" applyAlignment="1" applyFill="1" applyFont="1">
      <alignment horizontal="center" readingOrder="0" vertical="center"/>
    </xf>
    <xf borderId="4" fillId="0" fontId="26" numFmtId="0" xfId="0" applyBorder="1" applyFont="1"/>
    <xf borderId="3" fillId="9" fontId="29" numFmtId="0" xfId="0" applyAlignment="1" applyBorder="1" applyFill="1" applyFont="1">
      <alignment readingOrder="0"/>
    </xf>
    <xf borderId="0" fillId="9" fontId="29" numFmtId="0" xfId="0" applyAlignment="1" applyFill="1" applyFont="1">
      <alignment readingOrder="0"/>
    </xf>
    <xf borderId="4" fillId="9" fontId="29" numFmtId="0" xfId="0" applyBorder="1" applyFill="1" applyFont="1"/>
    <xf borderId="3" fillId="9" fontId="17" numFmtId="0" xfId="0" applyAlignment="1" applyBorder="1" applyFill="1" applyFont="1">
      <alignment readingOrder="0"/>
    </xf>
    <xf borderId="0" fillId="9" fontId="4" numFmtId="14" xfId="0" applyFill="1" applyFont="1" applyNumberFormat="1"/>
    <xf borderId="4" fillId="9" fontId="4" numFmtId="0" xfId="0" applyBorder="1" applyFill="1" applyFont="1"/>
    <xf borderId="0" fillId="9" fontId="4" numFmtId="0" xfId="0" applyAlignment="1" applyFill="1" applyFont="1">
      <alignment readingOrder="0"/>
    </xf>
    <xf borderId="3" fillId="9" fontId="17" numFmtId="0" xfId="0" applyBorder="1" applyFill="1" applyFont="1"/>
    <xf borderId="0" fillId="9" fontId="4" numFmtId="3" xfId="0" applyAlignment="1" applyFill="1" applyFont="1" applyNumberFormat="1">
      <alignment readingOrder="0"/>
    </xf>
    <xf borderId="0" fillId="9" fontId="24" numFmtId="0" xfId="0" applyAlignment="1" applyFill="1" applyFont="1">
      <alignment readingOrder="0" vertical="center"/>
    </xf>
    <xf borderId="0" fillId="9" fontId="4" numFmtId="0" xfId="0" applyFill="1" applyFont="1"/>
    <xf borderId="3" fillId="9" fontId="4" numFmtId="0" xfId="0" applyAlignment="1" applyBorder="1" applyFill="1" applyFont="1">
      <alignment readingOrder="0"/>
    </xf>
    <xf borderId="0" fillId="9" fontId="4" numFmtId="169" xfId="0" applyFill="1" applyFont="1" applyNumberFormat="1"/>
    <xf borderId="0" fillId="0" fontId="4" numFmtId="170" xfId="0" applyFont="1" applyNumberFormat="1"/>
    <xf borderId="0" fillId="9" fontId="30" numFmtId="0" xfId="0" applyFill="1" applyFont="1"/>
    <xf borderId="3" fillId="9" fontId="4" numFmtId="0" xfId="0" applyBorder="1" applyFill="1" applyFont="1"/>
    <xf borderId="3" fillId="9" fontId="31" numFmtId="0" xfId="0" applyAlignment="1" applyBorder="1" applyFill="1" applyFont="1">
      <alignment horizontal="center"/>
    </xf>
    <xf borderId="5" fillId="9" fontId="29" numFmtId="0" xfId="0" applyBorder="1" applyFill="1" applyFont="1"/>
    <xf borderId="0" fillId="17" fontId="24" numFmtId="0" xfId="0" applyAlignment="1" applyFill="1" applyFont="1">
      <alignment readingOrder="0" vertical="center"/>
    </xf>
    <xf borderId="0" fillId="17" fontId="32" numFmtId="3" xfId="0" applyAlignment="1" applyFill="1" applyFont="1" applyNumberFormat="1">
      <alignment horizontal="left" readingOrder="0" vertical="center"/>
    </xf>
    <xf borderId="6" fillId="9" fontId="29" numFmtId="0" xfId="0" applyBorder="1" applyFill="1" applyFont="1"/>
    <xf borderId="7" fillId="9" fontId="29" numFmtId="0" xfId="0" applyBorder="1" applyFill="1" applyFont="1"/>
    <xf borderId="0" fillId="17" fontId="24" numFmtId="0" xfId="0" applyAlignment="1" applyFill="1" applyFont="1">
      <alignment horizontal="center" readingOrder="0" vertical="center"/>
    </xf>
    <xf borderId="0" fillId="9" fontId="4" numFmtId="0" xfId="0" applyAlignment="1" applyFill="1" applyFont="1">
      <alignment horizontal="center"/>
    </xf>
    <xf borderId="0" fillId="9" fontId="4" numFmtId="3" xfId="0" applyFill="1" applyFont="1" applyNumberFormat="1"/>
    <xf borderId="0" fillId="9" fontId="4" numFmtId="167" xfId="0" applyFill="1" applyFont="1" applyNumberFormat="1"/>
    <xf borderId="0" fillId="9" fontId="24" numFmtId="0" xfId="0" applyAlignment="1" applyFill="1" applyFont="1">
      <alignment horizontal="left" readingOrder="0" vertical="center"/>
    </xf>
    <xf borderId="0" fillId="17" fontId="24" numFmtId="0" xfId="0" applyAlignment="1" applyFill="1" applyFont="1">
      <alignment horizontal="left" readingOrder="0" vertical="center"/>
    </xf>
    <xf borderId="0" fillId="13" fontId="24" numFmtId="3" xfId="0" applyAlignment="1" applyFill="1" applyFont="1" applyNumberFormat="1">
      <alignment horizontal="left" readingOrder="0" vertical="center"/>
    </xf>
    <xf borderId="0" fillId="0" fontId="33" numFmtId="0" xfId="0" applyAlignment="1" applyFont="1">
      <alignment horizontal="center"/>
    </xf>
    <xf borderId="0" fillId="0" fontId="33" numFmtId="0" xfId="0" applyAlignment="1" applyFont="1">
      <alignment horizontal="left"/>
    </xf>
    <xf borderId="0" fillId="0" fontId="33" numFmtId="0" xfId="0" applyFont="1"/>
    <xf borderId="0" fillId="0" fontId="33" numFmtId="49" xfId="0" applyAlignment="1" applyFont="1" applyNumberFormat="1">
      <alignment horizontal="center"/>
    </xf>
    <xf borderId="0" fillId="5" fontId="11" numFmtId="0" xfId="0" applyFill="1" applyFont="1"/>
    <xf borderId="0" fillId="20" fontId="34" numFmtId="0" xfId="0" applyAlignment="1" applyFill="1" applyFont="1">
      <alignment horizontal="center" vertical="center"/>
    </xf>
    <xf borderId="0" fillId="21" fontId="35" numFmtId="0" xfId="0" applyAlignment="1" applyFill="1" applyFont="1">
      <alignment horizontal="center" shrinkToFit="0" vertical="center" wrapText="1"/>
    </xf>
    <xf borderId="0" fillId="22" fontId="36" numFmtId="0" xfId="0" applyAlignment="1" applyFill="1" applyFont="1">
      <alignment horizontal="center" shrinkToFit="0" vertical="center" wrapText="1"/>
    </xf>
    <xf borderId="0" fillId="23" fontId="37" numFmtId="0" xfId="0" applyAlignment="1" applyFill="1" applyFont="1">
      <alignment horizontal="center" shrinkToFit="0" vertical="center" wrapText="1"/>
    </xf>
    <xf borderId="0" fillId="11" fontId="38" numFmtId="0" xfId="0" applyAlignment="1" applyFill="1" applyFont="1">
      <alignment horizontal="center" shrinkToFit="0" vertical="center" wrapText="1"/>
    </xf>
    <xf borderId="0" fillId="5" fontId="11" numFmtId="3" xfId="0" applyFill="1" applyFont="1" applyNumberFormat="1"/>
    <xf borderId="0" fillId="5" fontId="11" numFmtId="0" xfId="0" applyAlignment="1" applyFill="1" applyFont="1">
      <alignment readingOrder="0"/>
    </xf>
    <xf borderId="0" fillId="4" fontId="11" numFmtId="0" xfId="0" applyFill="1" applyFont="1"/>
    <xf borderId="0" fillId="0" fontId="4" numFmtId="3" xfId="0" applyFont="1" applyNumberFormat="1"/>
    <xf borderId="0" fillId="0" fontId="4" numFmtId="167" xfId="0" applyFont="1" applyNumberFormat="1"/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20" fontId="39" numFmtId="0" xfId="0" applyAlignment="1" applyFill="1" applyFont="1">
      <alignment horizontal="center" readingOrder="0"/>
    </xf>
    <xf borderId="0" fillId="0" fontId="17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horizontal="center" readingOrder="0"/>
    </xf>
    <xf borderId="0" fillId="0" fontId="40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4" numFmtId="49" xfId="0" applyAlignment="1" applyFont="1" applyNumberFormat="1">
      <alignment horizontal="center"/>
    </xf>
    <xf borderId="0" fillId="0" fontId="41" numFmtId="0" xfId="0" applyFont="1"/>
    <xf borderId="0" fillId="0" fontId="4" numFmtId="0" xfId="0" applyAlignment="1" applyFont="1">
      <alignment readingOrder="0"/>
    </xf>
    <xf borderId="0" fillId="0" fontId="4" numFmtId="171" xfId="0" applyAlignment="1" applyFont="1" applyNumberFormat="1">
      <alignment horizontal="center" readingOrder="0"/>
    </xf>
    <xf borderId="0" fillId="0" fontId="42" numFmtId="0" xfId="0" applyFont="1"/>
    <xf borderId="0" fillId="0" fontId="4" numFmtId="172" xfId="0" applyFont="1" applyNumberFormat="1"/>
    <xf borderId="0" fillId="0" fontId="4" numFmtId="172" xfId="0" applyFont="1" applyNumberFormat="1"/>
    <xf borderId="0" fillId="0" fontId="4" numFmtId="173" xfId="0" applyFont="1" applyNumberFormat="1"/>
    <xf borderId="0" fillId="0" fontId="4" numFmtId="3" xfId="0" applyFont="1" applyNumberFormat="1"/>
    <xf borderId="0" fillId="0" fontId="4" numFmtId="174" xfId="0" applyAlignment="1" applyFont="1" applyNumberForma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171" xfId="0" applyFont="1" applyNumberForma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CD94E"/>
          <bgColor rgb="FFECD94E"/>
        </patternFill>
      </fill>
      <border/>
    </dxf>
    <dxf>
      <font>
        <color theme="0"/>
      </font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2FFB2"/>
          <bgColor rgb="FFB2FFB2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6F4EA"/>
          <bgColor rgb="FFE6F4EA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7F0000"/>
      </font>
      <fill>
        <patternFill patternType="solid">
          <fgColor rgb="FFFFCCCC"/>
          <bgColor rgb="FFFFCCCC"/>
        </patternFill>
      </fill>
      <border/>
    </dxf>
  </dxfs>
  <tableStyles count="2">
    <tableStyle count="2" pivot="0" name="Available Bed Spaces-style">
      <tableStyleElement dxfId="1" type="firstRowStripe"/>
      <tableStyleElement dxfId="2" type="secondRowStripe"/>
    </tableStyle>
    <tableStyle count="2" pivot="0" name="Payments Log Archiv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3C4657"/>
                </a:solidFill>
                <a:latin typeface="Montserrat"/>
              </a:defRPr>
            </a:pPr>
            <a:r>
              <a:rPr b="1" sz="1600">
                <a:solidFill>
                  <a:srgbClr val="3C4657"/>
                </a:solidFill>
                <a:latin typeface="Montserrat"/>
              </a:rPr>
              <a:t>Occupancy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Calc_Data!$G$2:$G$4</c:f>
            </c:strRef>
          </c:cat>
          <c:val>
            <c:numRef>
              <c:f>Calc_Data!$H$2:$H$4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3B4656"/>
                </a:solidFill>
                <a:latin typeface="Montserrat"/>
              </a:defRPr>
            </a:pPr>
            <a:r>
              <a:rPr b="1" sz="1600">
                <a:solidFill>
                  <a:srgbClr val="3B4656"/>
                </a:solidFill>
                <a:latin typeface="Montserrat"/>
              </a:rPr>
              <a:t>Occupancy by House/Block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Calc_Data!$B$61</c:f>
            </c:strRef>
          </c:tx>
          <c:spPr>
            <a:solidFill>
              <a:srgbClr val="3A5F90"/>
            </a:solidFill>
            <a:ln cmpd="sng">
              <a:noFill/>
            </a:ln>
          </c:spPr>
          <c:cat>
            <c:strRef>
              <c:f>Calc_Data!$A$62:$A$66</c:f>
            </c:strRef>
          </c:cat>
          <c:val>
            <c:numRef>
              <c:f>Calc_Data!$B$62:$B$66</c:f>
              <c:numCache/>
            </c:numRef>
          </c:val>
        </c:ser>
        <c:axId val="724121691"/>
        <c:axId val="1556969818"/>
      </c:barChart>
      <c:catAx>
        <c:axId val="724121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House/Block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969818"/>
      </c:catAx>
      <c:valAx>
        <c:axId val="1556969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Occupied Beds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12169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3B4656"/>
                </a:solidFill>
                <a:latin typeface="Montserrat"/>
              </a:defRPr>
            </a:pPr>
            <a:r>
              <a:rPr b="1" sz="1600">
                <a:solidFill>
                  <a:srgbClr val="3B4656"/>
                </a:solidFill>
                <a:latin typeface="Montserrat"/>
              </a:rPr>
              <a:t>Expected Revenue by House/Block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Calc_Data!$E$61</c:f>
            </c:strRef>
          </c:tx>
          <c:spPr>
            <a:solidFill>
              <a:srgbClr val="E54C33"/>
            </a:solidFill>
            <a:ln cmpd="sng">
              <a:noFill/>
            </a:ln>
          </c:spPr>
          <c:cat>
            <c:strRef>
              <c:f>Calc_Data!$D$62:$D$66</c:f>
            </c:strRef>
          </c:cat>
          <c:val>
            <c:numRef>
              <c:f>Calc_Data!$E$62:$E$66</c:f>
              <c:numCache/>
            </c:numRef>
          </c:val>
        </c:ser>
        <c:axId val="2138958166"/>
        <c:axId val="171854043"/>
      </c:barChart>
      <c:catAx>
        <c:axId val="2138958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House/Block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854043"/>
      </c:catAx>
      <c:valAx>
        <c:axId val="171854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Expected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95816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3B4656"/>
                </a:solidFill>
                <a:latin typeface="Montserrat"/>
              </a:defRPr>
            </a:pPr>
            <a:r>
              <a:rPr b="1" sz="1600">
                <a:solidFill>
                  <a:srgbClr val="3B4656"/>
                </a:solidFill>
                <a:latin typeface="Montserrat"/>
              </a:rPr>
              <a:t>Billing Status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Pt>
            <c:idx val="999"/>
          </c:dPt>
          <c:dPt>
            <c:idx val="1000"/>
          </c:dPt>
          <c:dPt>
            <c:idx val="100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Calc_Data!$J$1:$J$1002</c:f>
            </c:strRef>
          </c:cat>
          <c:val>
            <c:numRef>
              <c:f>Calc_Data!$K$1:$K$1002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chart" Target="../charts/chart2.xml"/><Relationship Id="rId7" Type="http://schemas.openxmlformats.org/officeDocument/2006/relationships/chart" Target="../charts/chart3.xml"/><Relationship Id="rId8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161925</xdr:rowOff>
    </xdr:from>
    <xdr:ext cx="1657350" cy="1200150"/>
    <xdr:pic>
      <xdr:nvPicPr>
        <xdr:cNvPr id="1728164394" name="Chart1" title="Expected Reven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6</xdr:row>
      <xdr:rowOff>171450</xdr:rowOff>
    </xdr:from>
    <xdr:ext cx="1733550" cy="1200150"/>
    <xdr:pic>
      <xdr:nvPicPr>
        <xdr:cNvPr id="1502431563" name="Chart2" title="Potential Reven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28575</xdr:rowOff>
    </xdr:from>
    <xdr:ext cx="4333875" cy="2857500"/>
    <xdr:graphicFrame>
      <xdr:nvGraphicFramePr>
        <xdr:cNvPr id="3" name="Chart 3" title="Occupancy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542925</xdr:colOff>
      <xdr:row>6</xdr:row>
      <xdr:rowOff>161925</xdr:rowOff>
    </xdr:from>
    <xdr:ext cx="1733550" cy="1200150"/>
    <xdr:pic>
      <xdr:nvPicPr>
        <xdr:cNvPr id="1632373311" name="Chart4" title="Occupancy Rat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6</xdr:row>
      <xdr:rowOff>161925</xdr:rowOff>
    </xdr:from>
    <xdr:ext cx="1733550" cy="1200150"/>
    <xdr:pic>
      <xdr:nvPicPr>
        <xdr:cNvPr id="1321010749" name="Chart5" title="Total Grace Period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190500</xdr:rowOff>
    </xdr:from>
    <xdr:ext cx="4333875" cy="2857500"/>
    <xdr:graphicFrame>
      <xdr:nvGraphicFramePr>
        <xdr:cNvPr id="6" name="Chart 6" title="Occupancy by House/Bloc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4381500</xdr:colOff>
      <xdr:row>27</xdr:row>
      <xdr:rowOff>190500</xdr:rowOff>
    </xdr:from>
    <xdr:ext cx="4333875" cy="2857500"/>
    <xdr:graphicFrame>
      <xdr:nvGraphicFramePr>
        <xdr:cNvPr id="7" name="Chart 7" title="Expected Revenue by House/Bloc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485775</xdr:colOff>
      <xdr:row>13</xdr:row>
      <xdr:rowOff>19050</xdr:rowOff>
    </xdr:from>
    <xdr:ext cx="4333875" cy="2857500"/>
    <xdr:graphicFrame>
      <xdr:nvGraphicFramePr>
        <xdr:cNvPr id="8" name="Chart 8" title="Billing Status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142875</xdr:colOff>
      <xdr:row>6</xdr:row>
      <xdr:rowOff>161925</xdr:rowOff>
    </xdr:from>
    <xdr:ext cx="1733550" cy="1200150"/>
    <xdr:pic>
      <xdr:nvPicPr>
        <xdr:cNvPr id="1323416919" name="Chart9" title="Total Open Window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2:F10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vailable Bed Spaces-style" showColumnStripes="0" showFirstColumn="1" showLastColumn="1" showRowStripes="1"/>
</table>
</file>

<file path=xl/tables/table2.xml><?xml version="1.0" encoding="utf-8"?>
<table xmlns="http://schemas.openxmlformats.org/spreadsheetml/2006/main" headerRowCount="0" ref="A4:I102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ayments Log Arch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4" max="4" width="0.38"/>
    <col customWidth="1" min="8" max="9" width="0.38"/>
  </cols>
  <sheetData>
    <row r="1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</row>
    <row r="2">
      <c r="A2" s="164" t="s">
        <v>191</v>
      </c>
      <c r="M2" s="163"/>
      <c r="N2" s="163"/>
      <c r="O2" s="163"/>
      <c r="P2" s="163"/>
      <c r="Q2" s="163"/>
      <c r="R2" s="163"/>
      <c r="S2" s="163"/>
      <c r="T2" s="163"/>
    </row>
    <row r="3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3"/>
      <c r="N3" s="163"/>
      <c r="O3" s="163"/>
      <c r="P3" s="163"/>
      <c r="Q3" s="163"/>
      <c r="R3" s="163"/>
      <c r="S3" s="163"/>
      <c r="T3" s="163"/>
    </row>
    <row r="4">
      <c r="A4" s="165" t="s">
        <v>160</v>
      </c>
      <c r="D4" s="166" t="s">
        <v>192</v>
      </c>
      <c r="G4" s="167" t="s">
        <v>2</v>
      </c>
      <c r="J4" s="168" t="s">
        <v>1</v>
      </c>
    </row>
    <row r="5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</row>
    <row r="7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</row>
    <row r="8">
      <c r="A8" s="163"/>
      <c r="B8" s="163"/>
      <c r="C8" s="163"/>
      <c r="D8" s="163"/>
      <c r="E8" s="163"/>
      <c r="F8" s="163"/>
      <c r="G8" s="169">
        <f>Calc_Data!B8</f>
        <v>5500</v>
      </c>
      <c r="H8" s="163"/>
      <c r="I8" s="163"/>
      <c r="J8" s="170" t="s">
        <v>193</v>
      </c>
      <c r="K8" s="163"/>
      <c r="L8" s="163"/>
      <c r="M8" s="163"/>
      <c r="N8" s="163"/>
      <c r="O8" s="163"/>
      <c r="P8" s="163"/>
      <c r="Q8" s="163"/>
      <c r="R8" s="163"/>
      <c r="S8" s="163"/>
      <c r="T8" s="163"/>
    </row>
    <row r="9">
      <c r="A9" s="163"/>
      <c r="B9" s="163"/>
      <c r="C9" s="163"/>
      <c r="D9" s="163"/>
      <c r="E9" s="163"/>
      <c r="F9" s="163"/>
      <c r="G9" s="163"/>
      <c r="H9" s="163"/>
      <c r="I9" s="163"/>
      <c r="K9" s="163"/>
      <c r="L9" s="163"/>
      <c r="M9" s="163"/>
      <c r="N9" s="163"/>
      <c r="O9" s="163"/>
      <c r="P9" s="163"/>
      <c r="Q9" s="163"/>
      <c r="R9" s="163"/>
      <c r="S9" s="163"/>
      <c r="T9" s="163"/>
    </row>
    <row r="10">
      <c r="A10" s="163"/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</row>
    <row r="11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</row>
    <row r="12">
      <c r="A12" s="163"/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</row>
    <row r="13">
      <c r="A13" s="16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</row>
    <row r="14">
      <c r="A14" s="163"/>
      <c r="B14" s="163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</row>
    <row r="15">
      <c r="A15" s="163"/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</row>
    <row r="16">
      <c r="A16" s="171"/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</row>
    <row r="17">
      <c r="A17" s="163"/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</row>
    <row r="18">
      <c r="A18" s="163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</row>
    <row r="19">
      <c r="A19" s="163"/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</row>
    <row r="20">
      <c r="A20" s="163"/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</row>
    <row r="2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</row>
    <row r="22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</row>
    <row r="23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</row>
    <row r="24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</row>
    <row r="25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</row>
    <row r="26">
      <c r="A26" s="163"/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</row>
    <row r="27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</row>
    <row r="28">
      <c r="A28" s="163"/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</row>
    <row r="29">
      <c r="A29" s="163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</row>
    <row r="30">
      <c r="A30" s="163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</row>
    <row r="31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</row>
    <row r="32">
      <c r="A32" s="163"/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</row>
    <row r="33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</row>
    <row r="34">
      <c r="A34" s="163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</row>
    <row r="35">
      <c r="A35" s="163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</row>
    <row r="36">
      <c r="A36" s="163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</row>
    <row r="37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</row>
    <row r="38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</row>
    <row r="39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</row>
    <row r="40">
      <c r="A40" s="163"/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</row>
    <row r="41">
      <c r="A41" s="163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</row>
    <row r="42">
      <c r="A42" s="163"/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</row>
    <row r="43">
      <c r="A43" s="163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</row>
    <row r="44">
      <c r="A44" s="163"/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</row>
    <row r="45">
      <c r="A45" s="163"/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</row>
    <row r="46">
      <c r="A46" s="163"/>
      <c r="B46" s="163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</row>
    <row r="47">
      <c r="A47" s="163"/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</row>
    <row r="48">
      <c r="A48" s="163"/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</row>
    <row r="49">
      <c r="A49" s="163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</row>
    <row r="50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</row>
    <row r="51">
      <c r="A51" s="163"/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</row>
    <row r="52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</row>
    <row r="53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</row>
    <row r="54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</row>
    <row r="56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</row>
    <row r="57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</row>
    <row r="58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</row>
    <row r="59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</row>
    <row r="60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</row>
    <row r="6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</row>
    <row r="62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</row>
    <row r="63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</row>
    <row r="64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</row>
    <row r="6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</row>
    <row r="66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</row>
    <row r="67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</row>
    <row r="68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</row>
    <row r="70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</row>
    <row r="71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</row>
    <row r="72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</row>
    <row r="73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</row>
    <row r="74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</row>
    <row r="75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</row>
    <row r="76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</row>
    <row r="77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</row>
    <row r="78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</row>
    <row r="79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</row>
    <row r="80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</row>
    <row r="81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</row>
    <row r="82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</row>
    <row r="83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</row>
    <row r="84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</row>
    <row r="85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</row>
    <row r="86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</row>
    <row r="87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</row>
    <row r="88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</row>
    <row r="89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</row>
    <row r="90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</row>
    <row r="91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</row>
    <row r="92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</row>
    <row r="93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</row>
    <row r="94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</row>
    <row r="95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</row>
    <row r="96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</row>
    <row r="97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</row>
    <row r="98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</row>
    <row r="99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</row>
    <row r="100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</row>
  </sheetData>
  <mergeCells count="5">
    <mergeCell ref="A2:L2"/>
    <mergeCell ref="A4:C4"/>
    <mergeCell ref="D4:F4"/>
    <mergeCell ref="G4:I4"/>
    <mergeCell ref="J4:L4"/>
  </mergeCells>
  <hyperlinks>
    <hyperlink display="Monthly Billing Tab" location="'Monthly Billing Tab'!A1" ref="A4"/>
    <hyperlink display="Receipt Template" location="'Receipt Template'!A1" ref="D4"/>
    <hyperlink display="Available Bed Spaces" location="'Available Bed Spaces'!A1" ref="G4"/>
    <hyperlink display="Arrears Report" location="'Arrears Report'!A1" ref="J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5"/>
    <col customWidth="1" min="2" max="2" width="9.0"/>
    <col customWidth="1" min="4" max="4" width="7.13"/>
    <col customWidth="1" min="5" max="5" width="22.5"/>
    <col customWidth="1" min="6" max="6" width="15.25"/>
    <col customWidth="1" min="7" max="7" width="10.13"/>
    <col customWidth="1" min="8" max="8" width="8.88"/>
    <col customWidth="1" hidden="1" min="9" max="9" width="29.0"/>
  </cols>
  <sheetData>
    <row r="1">
      <c r="A1" s="1" t="s">
        <v>0</v>
      </c>
      <c r="D1" s="1"/>
      <c r="E1" s="1"/>
      <c r="F1" s="1"/>
      <c r="G1" s="1"/>
      <c r="H1" s="1"/>
      <c r="I1" s="1" t="s">
        <v>3</v>
      </c>
      <c r="J1" s="1"/>
    </row>
    <row r="2">
      <c r="A2" s="8"/>
      <c r="B2" s="9"/>
      <c r="C2" s="9"/>
      <c r="D2" s="11" t="s">
        <v>6</v>
      </c>
      <c r="E2" s="16" t="s">
        <v>16</v>
      </c>
      <c r="F2" s="8"/>
      <c r="G2" s="9"/>
      <c r="H2" s="9"/>
      <c r="I2" s="17"/>
      <c r="J2" s="17"/>
    </row>
    <row r="3">
      <c r="A3" s="8" t="s">
        <v>18</v>
      </c>
      <c r="B3" s="9" t="s">
        <v>20</v>
      </c>
      <c r="C3" s="9" t="s">
        <v>5</v>
      </c>
      <c r="D3" s="9" t="s">
        <v>8</v>
      </c>
      <c r="E3" s="8" t="s">
        <v>17</v>
      </c>
      <c r="F3" s="8" t="s">
        <v>19</v>
      </c>
      <c r="G3" s="9" t="s">
        <v>21</v>
      </c>
      <c r="H3" s="9" t="s">
        <v>9</v>
      </c>
      <c r="I3" s="17" t="s">
        <v>22</v>
      </c>
      <c r="J3" s="17" t="s">
        <v>11</v>
      </c>
    </row>
    <row r="4">
      <c r="A4" s="21" t="s">
        <v>24</v>
      </c>
      <c r="B4" s="21">
        <v>1.0</v>
      </c>
      <c r="C4" s="23" t="s">
        <v>27</v>
      </c>
      <c r="D4" s="24" t="s">
        <v>30</v>
      </c>
      <c r="E4" s="24" t="s">
        <v>31</v>
      </c>
      <c r="F4" s="21">
        <v>2.6097714663E11</v>
      </c>
      <c r="G4" s="25">
        <v>46203.0</v>
      </c>
      <c r="H4" s="26">
        <v>950.0</v>
      </c>
      <c r="I4" s="29" t="str">
        <f t="shared" ref="I4:I57" si="1">A4 &amp; " - " &amp; E4</f>
        <v>BBH-1-A - Adrian mulale</v>
      </c>
      <c r="J4" s="31" t="s">
        <v>32</v>
      </c>
    </row>
    <row r="5">
      <c r="A5" s="21" t="s">
        <v>33</v>
      </c>
      <c r="B5" s="21">
        <v>2.0</v>
      </c>
      <c r="C5" s="23" t="s">
        <v>27</v>
      </c>
      <c r="D5" s="24" t="s">
        <v>30</v>
      </c>
      <c r="E5" s="24" t="s">
        <v>34</v>
      </c>
      <c r="F5" s="35" t="s">
        <v>35</v>
      </c>
      <c r="G5" s="25">
        <v>46178.0</v>
      </c>
      <c r="H5" s="26">
        <v>900.0</v>
      </c>
      <c r="I5" s="29" t="str">
        <f t="shared" si="1"/>
        <v>BBH-2-A - Wisdom Bwani</v>
      </c>
      <c r="J5" s="31" t="s">
        <v>32</v>
      </c>
    </row>
    <row r="6">
      <c r="A6" s="21" t="s">
        <v>37</v>
      </c>
      <c r="B6" s="21">
        <v>2.0</v>
      </c>
      <c r="C6" s="23" t="s">
        <v>27</v>
      </c>
      <c r="D6" s="24" t="s">
        <v>38</v>
      </c>
      <c r="E6" s="24" t="s">
        <v>39</v>
      </c>
      <c r="F6" s="35" t="s">
        <v>40</v>
      </c>
      <c r="G6" s="25">
        <v>46181.0</v>
      </c>
      <c r="H6" s="26">
        <v>900.0</v>
      </c>
      <c r="I6" s="29" t="str">
        <f t="shared" si="1"/>
        <v>BBH-2-B - Jackson Mwanza</v>
      </c>
      <c r="J6" s="31" t="s">
        <v>32</v>
      </c>
    </row>
    <row r="7">
      <c r="A7" s="21" t="s">
        <v>41</v>
      </c>
      <c r="B7" s="21">
        <v>3.0</v>
      </c>
      <c r="C7" s="23" t="s">
        <v>27</v>
      </c>
      <c r="D7" s="24" t="s">
        <v>30</v>
      </c>
      <c r="E7" s="24" t="s">
        <v>42</v>
      </c>
      <c r="F7" s="21">
        <v>2.60970522913E11</v>
      </c>
      <c r="G7" s="25">
        <v>46186.0</v>
      </c>
      <c r="H7" s="26">
        <v>900.0</v>
      </c>
      <c r="I7" s="29" t="str">
        <f t="shared" si="1"/>
        <v>BBH-3-A - Prosper Kalayi</v>
      </c>
      <c r="J7" s="31" t="s">
        <v>32</v>
      </c>
    </row>
    <row r="8">
      <c r="A8" s="21" t="s">
        <v>44</v>
      </c>
      <c r="B8" s="21">
        <v>3.0</v>
      </c>
      <c r="C8" s="23" t="s">
        <v>27</v>
      </c>
      <c r="D8" s="24" t="s">
        <v>38</v>
      </c>
      <c r="E8" s="24" t="s">
        <v>45</v>
      </c>
      <c r="F8" s="21">
        <v>2.6097956755E11</v>
      </c>
      <c r="G8" s="43">
        <v>46228.0</v>
      </c>
      <c r="H8" s="26">
        <v>900.0</v>
      </c>
      <c r="I8" s="29" t="str">
        <f t="shared" si="1"/>
        <v>BBH-3-B - Shadrach Munganini</v>
      </c>
      <c r="J8" s="31" t="s">
        <v>32</v>
      </c>
    </row>
    <row r="9">
      <c r="A9" s="21" t="s">
        <v>47</v>
      </c>
      <c r="B9" s="21">
        <v>3.0</v>
      </c>
      <c r="C9" s="23" t="s">
        <v>27</v>
      </c>
      <c r="D9" s="24" t="s">
        <v>48</v>
      </c>
      <c r="E9" s="24" t="s">
        <v>49</v>
      </c>
      <c r="F9" s="21">
        <v>2.60777237029E11</v>
      </c>
      <c r="G9" s="25">
        <v>46176.0</v>
      </c>
      <c r="H9" s="26">
        <v>900.0</v>
      </c>
      <c r="I9" s="29" t="str">
        <f t="shared" si="1"/>
        <v>BBH-3-C - Collins Mubanga</v>
      </c>
      <c r="J9" s="31" t="s">
        <v>32</v>
      </c>
    </row>
    <row r="10">
      <c r="A10" s="21" t="s">
        <v>50</v>
      </c>
      <c r="B10" s="21">
        <v>4.0</v>
      </c>
      <c r="C10" s="23" t="s">
        <v>27</v>
      </c>
      <c r="D10" s="24" t="s">
        <v>30</v>
      </c>
      <c r="E10" s="24" t="s">
        <v>51</v>
      </c>
      <c r="F10" s="21">
        <v>2.60975547126E11</v>
      </c>
      <c r="G10" s="25">
        <v>46195.0</v>
      </c>
      <c r="H10" s="26">
        <v>950.0</v>
      </c>
      <c r="I10" s="29" t="str">
        <f t="shared" si="1"/>
        <v>BBH-4-A - Himalikiti Saviour</v>
      </c>
      <c r="J10" s="31" t="s">
        <v>32</v>
      </c>
    </row>
    <row r="11">
      <c r="A11" s="21" t="s">
        <v>53</v>
      </c>
      <c r="B11" s="21">
        <v>5.0</v>
      </c>
      <c r="C11" s="23" t="s">
        <v>27</v>
      </c>
      <c r="D11" s="24" t="s">
        <v>30</v>
      </c>
      <c r="E11" s="24" t="s">
        <v>54</v>
      </c>
      <c r="F11" s="21">
        <v>2.60971071877E11</v>
      </c>
      <c r="G11" s="25">
        <v>46225.0</v>
      </c>
      <c r="H11" s="26">
        <v>0.0</v>
      </c>
      <c r="I11" s="29" t="str">
        <f t="shared" si="1"/>
        <v>BBH-5-A - Wampa </v>
      </c>
      <c r="J11" s="31" t="s">
        <v>36</v>
      </c>
    </row>
    <row r="12">
      <c r="A12" s="21" t="s">
        <v>55</v>
      </c>
      <c r="B12" s="21">
        <v>6.0</v>
      </c>
      <c r="C12" s="23" t="s">
        <v>27</v>
      </c>
      <c r="D12" s="24" t="s">
        <v>30</v>
      </c>
      <c r="E12" s="24" t="s">
        <v>56</v>
      </c>
      <c r="F12" s="21">
        <v>2.60773456119E11</v>
      </c>
      <c r="G12" s="25">
        <v>46174.0</v>
      </c>
      <c r="H12" s="26">
        <v>900.0</v>
      </c>
      <c r="I12" s="29" t="str">
        <f t="shared" si="1"/>
        <v>BBH-6-A - McDonald</v>
      </c>
      <c r="J12" s="31" t="s">
        <v>32</v>
      </c>
    </row>
    <row r="13">
      <c r="A13" s="21" t="s">
        <v>58</v>
      </c>
      <c r="B13" s="21">
        <v>6.0</v>
      </c>
      <c r="C13" s="23" t="s">
        <v>27</v>
      </c>
      <c r="D13" s="24" t="s">
        <v>38</v>
      </c>
      <c r="E13" s="24" t="s">
        <v>59</v>
      </c>
      <c r="F13" s="21">
        <v>2.60770838758E11</v>
      </c>
      <c r="G13" s="50">
        <v>46048.0</v>
      </c>
      <c r="H13" s="26">
        <v>900.0</v>
      </c>
      <c r="I13" s="29" t="str">
        <f t="shared" si="1"/>
        <v>BBH-6-B - Nanga Obrien</v>
      </c>
      <c r="J13" s="31" t="s">
        <v>32</v>
      </c>
    </row>
    <row r="14">
      <c r="A14" s="21" t="s">
        <v>61</v>
      </c>
      <c r="B14" s="21">
        <v>6.0</v>
      </c>
      <c r="C14" s="23" t="s">
        <v>27</v>
      </c>
      <c r="D14" s="24" t="s">
        <v>48</v>
      </c>
      <c r="E14" s="24" t="s">
        <v>62</v>
      </c>
      <c r="F14" s="21">
        <v>2.60973072762E11</v>
      </c>
      <c r="G14" s="25">
        <v>46184.0</v>
      </c>
      <c r="H14" s="26">
        <v>900.0</v>
      </c>
      <c r="I14" s="29" t="str">
        <f t="shared" si="1"/>
        <v>BBH-6-C - Zick Phiri</v>
      </c>
      <c r="J14" s="31" t="s">
        <v>32</v>
      </c>
    </row>
    <row r="15">
      <c r="A15" s="21" t="s">
        <v>63</v>
      </c>
      <c r="B15" s="21">
        <v>7.0</v>
      </c>
      <c r="C15" s="23" t="s">
        <v>27</v>
      </c>
      <c r="D15" s="24" t="s">
        <v>30</v>
      </c>
      <c r="E15" s="24" t="s">
        <v>64</v>
      </c>
      <c r="F15" s="35" t="s">
        <v>65</v>
      </c>
      <c r="G15" s="25">
        <v>46178.0</v>
      </c>
      <c r="H15" s="26">
        <v>900.0</v>
      </c>
      <c r="I15" s="29" t="str">
        <f t="shared" si="1"/>
        <v>BBH-7-A - Funny Muyamina</v>
      </c>
      <c r="J15" s="31" t="s">
        <v>36</v>
      </c>
    </row>
    <row r="16">
      <c r="A16" s="21" t="s">
        <v>66</v>
      </c>
      <c r="B16" s="21">
        <v>7.0</v>
      </c>
      <c r="C16" s="23" t="s">
        <v>27</v>
      </c>
      <c r="D16" s="24" t="s">
        <v>38</v>
      </c>
      <c r="E16" s="24" t="s">
        <v>68</v>
      </c>
      <c r="F16" s="35" t="s">
        <v>69</v>
      </c>
      <c r="G16" s="25">
        <v>46178.0</v>
      </c>
      <c r="H16" s="26">
        <v>900.0</v>
      </c>
      <c r="I16" s="29" t="str">
        <f t="shared" si="1"/>
        <v>BBH-7-B - Treasure Simeenda</v>
      </c>
      <c r="J16" s="31" t="s">
        <v>36</v>
      </c>
    </row>
    <row r="17">
      <c r="A17" s="21" t="s">
        <v>70</v>
      </c>
      <c r="B17" s="21">
        <v>7.0</v>
      </c>
      <c r="C17" s="23" t="s">
        <v>27</v>
      </c>
      <c r="D17" s="24" t="s">
        <v>48</v>
      </c>
      <c r="E17" s="24" t="s">
        <v>13</v>
      </c>
      <c r="F17" s="35"/>
      <c r="G17" s="25"/>
      <c r="H17" s="26">
        <v>900.0</v>
      </c>
      <c r="I17" s="29" t="str">
        <f t="shared" si="1"/>
        <v>BBH-7-C - Vacant</v>
      </c>
      <c r="J17" s="31" t="s">
        <v>36</v>
      </c>
    </row>
    <row r="18">
      <c r="A18" s="21" t="s">
        <v>72</v>
      </c>
      <c r="B18" s="21">
        <v>8.0</v>
      </c>
      <c r="C18" s="23" t="s">
        <v>27</v>
      </c>
      <c r="D18" s="24" t="s">
        <v>30</v>
      </c>
      <c r="E18" s="24" t="s">
        <v>73</v>
      </c>
      <c r="F18" s="35">
        <v>260972024337</v>
      </c>
      <c r="G18" s="25">
        <v>46198.0</v>
      </c>
      <c r="H18" s="26">
        <v>900.0</v>
      </c>
      <c r="I18" s="29" t="str">
        <f t="shared" si="1"/>
        <v>BBH-8-A - Kangwa Kunda</v>
      </c>
      <c r="J18" s="31" t="s">
        <v>32</v>
      </c>
    </row>
    <row r="19">
      <c r="A19" s="21" t="s">
        <v>74</v>
      </c>
      <c r="B19" s="21">
        <v>8.0</v>
      </c>
      <c r="C19" s="23" t="s">
        <v>27</v>
      </c>
      <c r="D19" s="24" t="s">
        <v>38</v>
      </c>
      <c r="E19" s="24" t="s">
        <v>13</v>
      </c>
      <c r="F19" s="21"/>
      <c r="G19" s="25"/>
      <c r="H19" s="26">
        <v>900.0</v>
      </c>
      <c r="I19" s="29" t="str">
        <f t="shared" si="1"/>
        <v>BBH-8-B - Vacant</v>
      </c>
      <c r="J19" s="31" t="s">
        <v>32</v>
      </c>
    </row>
    <row r="20">
      <c r="A20" s="21" t="s">
        <v>75</v>
      </c>
      <c r="B20" s="21">
        <v>9.0</v>
      </c>
      <c r="C20" s="23" t="s">
        <v>27</v>
      </c>
      <c r="D20" s="24" t="s">
        <v>30</v>
      </c>
      <c r="E20" s="24" t="s">
        <v>76</v>
      </c>
      <c r="F20" s="21">
        <v>2.6076478503E11</v>
      </c>
      <c r="G20" s="25">
        <v>46182.0</v>
      </c>
      <c r="H20" s="26">
        <v>900.0</v>
      </c>
      <c r="I20" s="29" t="str">
        <f t="shared" si="1"/>
        <v>BBH-9-A - Felistus Mweemba</v>
      </c>
      <c r="J20" s="31" t="s">
        <v>36</v>
      </c>
    </row>
    <row r="21">
      <c r="A21" s="21" t="s">
        <v>77</v>
      </c>
      <c r="B21" s="21">
        <v>9.0</v>
      </c>
      <c r="C21" s="23" t="s">
        <v>27</v>
      </c>
      <c r="D21" s="24" t="s">
        <v>38</v>
      </c>
      <c r="E21" s="24" t="s">
        <v>78</v>
      </c>
      <c r="F21" s="21">
        <v>2.60971977845E11</v>
      </c>
      <c r="G21" s="25">
        <v>46200.0</v>
      </c>
      <c r="H21" s="26">
        <v>900.0</v>
      </c>
      <c r="I21" s="29" t="str">
        <f t="shared" si="1"/>
        <v>BBH-9-B - Wendy Mpakise</v>
      </c>
      <c r="J21" s="31" t="s">
        <v>36</v>
      </c>
    </row>
    <row r="22">
      <c r="A22" s="21" t="s">
        <v>79</v>
      </c>
      <c r="B22" s="21">
        <v>9.0</v>
      </c>
      <c r="C22" s="23" t="s">
        <v>27</v>
      </c>
      <c r="D22" s="24" t="s">
        <v>48</v>
      </c>
      <c r="E22" s="24" t="s">
        <v>13</v>
      </c>
      <c r="F22" s="21"/>
      <c r="G22" s="25"/>
      <c r="H22" s="26">
        <v>900.0</v>
      </c>
      <c r="I22" s="29" t="str">
        <f t="shared" si="1"/>
        <v>BBH-9-C - Vacant</v>
      </c>
      <c r="J22" s="31" t="s">
        <v>36</v>
      </c>
    </row>
    <row r="23">
      <c r="A23" s="21" t="s">
        <v>80</v>
      </c>
      <c r="B23" s="21">
        <v>10.0</v>
      </c>
      <c r="C23" s="23" t="s">
        <v>81</v>
      </c>
      <c r="D23" s="24" t="s">
        <v>30</v>
      </c>
      <c r="E23" s="24" t="s">
        <v>82</v>
      </c>
      <c r="F23" s="35" t="s">
        <v>84</v>
      </c>
      <c r="G23" s="25">
        <v>46178.0</v>
      </c>
      <c r="H23" s="26">
        <v>900.0</v>
      </c>
      <c r="I23" s="29" t="str">
        <f t="shared" si="1"/>
        <v>UPV-10-A - Emely Mwale</v>
      </c>
      <c r="J23" s="31" t="s">
        <v>36</v>
      </c>
    </row>
    <row r="24">
      <c r="A24" s="21" t="s">
        <v>85</v>
      </c>
      <c r="B24" s="21">
        <v>10.0</v>
      </c>
      <c r="C24" s="23" t="s">
        <v>81</v>
      </c>
      <c r="D24" s="24" t="s">
        <v>38</v>
      </c>
      <c r="E24" s="24" t="s">
        <v>86</v>
      </c>
      <c r="F24" s="21">
        <v>2.60973551911E11</v>
      </c>
      <c r="G24" s="25">
        <v>46186.0</v>
      </c>
      <c r="H24" s="26">
        <v>900.0</v>
      </c>
      <c r="I24" s="29" t="str">
        <f t="shared" si="1"/>
        <v>UPV-10-B - Melody Mumba</v>
      </c>
      <c r="J24" s="31" t="s">
        <v>36</v>
      </c>
    </row>
    <row r="25">
      <c r="A25" s="21" t="s">
        <v>87</v>
      </c>
      <c r="B25" s="21">
        <v>10.0</v>
      </c>
      <c r="C25" s="23" t="s">
        <v>81</v>
      </c>
      <c r="D25" s="24" t="s">
        <v>48</v>
      </c>
      <c r="E25" s="24" t="s">
        <v>88</v>
      </c>
      <c r="F25" s="21">
        <v>2.60970522825E11</v>
      </c>
      <c r="G25" s="25">
        <v>46198.0</v>
      </c>
      <c r="H25" s="26">
        <v>900.0</v>
      </c>
      <c r="I25" s="29" t="str">
        <f t="shared" si="1"/>
        <v>UPV-10-C - Sara Matakala</v>
      </c>
      <c r="J25" s="31" t="s">
        <v>36</v>
      </c>
    </row>
    <row r="26">
      <c r="A26" s="21" t="s">
        <v>89</v>
      </c>
      <c r="B26" s="21">
        <v>10.0</v>
      </c>
      <c r="C26" s="23" t="s">
        <v>81</v>
      </c>
      <c r="D26" s="24" t="s">
        <v>90</v>
      </c>
      <c r="E26" s="24" t="s">
        <v>13</v>
      </c>
      <c r="F26" s="21"/>
      <c r="G26" s="25"/>
      <c r="H26" s="26">
        <v>900.0</v>
      </c>
      <c r="I26" s="29" t="str">
        <f t="shared" si="1"/>
        <v>UPV-10-D - Vacant</v>
      </c>
      <c r="J26" s="31" t="s">
        <v>36</v>
      </c>
    </row>
    <row r="27">
      <c r="A27" s="21" t="s">
        <v>91</v>
      </c>
      <c r="B27" s="21">
        <v>11.0</v>
      </c>
      <c r="C27" s="23" t="s">
        <v>81</v>
      </c>
      <c r="D27" s="24" t="s">
        <v>30</v>
      </c>
      <c r="E27" s="24" t="s">
        <v>92</v>
      </c>
      <c r="F27" s="21">
        <v>2.60970956759E11</v>
      </c>
      <c r="G27" s="25">
        <v>46178.0</v>
      </c>
      <c r="H27" s="26">
        <v>1000.0</v>
      </c>
      <c r="I27" s="29" t="str">
        <f t="shared" si="1"/>
        <v>UPV-11-A - Gift Nankamba</v>
      </c>
      <c r="J27" s="31" t="s">
        <v>36</v>
      </c>
    </row>
    <row r="28">
      <c r="A28" s="21" t="s">
        <v>93</v>
      </c>
      <c r="B28" s="21">
        <v>12.0</v>
      </c>
      <c r="C28" s="23" t="s">
        <v>81</v>
      </c>
      <c r="D28" s="24" t="s">
        <v>30</v>
      </c>
      <c r="E28" s="24" t="s">
        <v>94</v>
      </c>
      <c r="F28" s="59">
        <v>2.6097518533E11</v>
      </c>
      <c r="G28" s="61">
        <v>46182.0</v>
      </c>
      <c r="H28" s="62">
        <v>1600.0</v>
      </c>
      <c r="I28" s="29" t="str">
        <f t="shared" si="1"/>
        <v>UPV-12-A - chilulu chiliulu</v>
      </c>
      <c r="J28" s="31" t="s">
        <v>32</v>
      </c>
    </row>
    <row r="29">
      <c r="A29" s="21" t="s">
        <v>95</v>
      </c>
      <c r="B29" s="21">
        <v>13.0</v>
      </c>
      <c r="C29" s="23" t="s">
        <v>81</v>
      </c>
      <c r="D29" s="64" t="s">
        <v>30</v>
      </c>
      <c r="E29" s="64" t="s">
        <v>96</v>
      </c>
      <c r="F29" s="59">
        <v>2.60970270037E11</v>
      </c>
      <c r="G29" s="61">
        <v>46175.0</v>
      </c>
      <c r="H29" s="62">
        <v>1800.0</v>
      </c>
      <c r="I29" s="29" t="str">
        <f t="shared" si="1"/>
        <v>UPV-13-A - Chibesa Chisembe</v>
      </c>
      <c r="J29" s="31" t="s">
        <v>32</v>
      </c>
    </row>
    <row r="30">
      <c r="A30" s="21" t="s">
        <v>98</v>
      </c>
      <c r="B30" s="21">
        <v>14.0</v>
      </c>
      <c r="C30" s="23" t="s">
        <v>81</v>
      </c>
      <c r="D30" s="64" t="s">
        <v>30</v>
      </c>
      <c r="E30" s="64" t="s">
        <v>100</v>
      </c>
      <c r="F30" s="59">
        <v>2.60763503053E11</v>
      </c>
      <c r="G30" s="61">
        <v>46184.0</v>
      </c>
      <c r="H30" s="62">
        <v>950.0</v>
      </c>
      <c r="I30" s="29" t="str">
        <f t="shared" si="1"/>
        <v>UPV-14-A - Reuben Ngusulu</v>
      </c>
      <c r="J30" s="31" t="s">
        <v>32</v>
      </c>
    </row>
    <row r="31">
      <c r="A31" s="21" t="s">
        <v>101</v>
      </c>
      <c r="B31" s="21">
        <v>15.0</v>
      </c>
      <c r="C31" s="23" t="s">
        <v>81</v>
      </c>
      <c r="D31" s="64" t="s">
        <v>30</v>
      </c>
      <c r="E31" s="64" t="s">
        <v>102</v>
      </c>
      <c r="F31" s="69" t="s">
        <v>103</v>
      </c>
      <c r="G31" s="61">
        <v>46176.0</v>
      </c>
      <c r="H31" s="62">
        <v>1100.0</v>
      </c>
      <c r="I31" s="29" t="str">
        <f t="shared" si="1"/>
        <v>UPV-15-A - Harriet nanyangwe</v>
      </c>
      <c r="J31" s="31" t="s">
        <v>36</v>
      </c>
    </row>
    <row r="32">
      <c r="A32" s="21" t="s">
        <v>105</v>
      </c>
      <c r="B32" s="21">
        <v>16.0</v>
      </c>
      <c r="C32" s="23" t="s">
        <v>106</v>
      </c>
      <c r="D32" s="64" t="s">
        <v>30</v>
      </c>
      <c r="E32" s="64" t="s">
        <v>13</v>
      </c>
      <c r="F32" s="21">
        <v>2.0772046008E10</v>
      </c>
      <c r="G32" s="61">
        <v>46223.0</v>
      </c>
      <c r="H32" s="62">
        <v>0.0</v>
      </c>
      <c r="I32" s="29" t="str">
        <f t="shared" si="1"/>
        <v>CRV-16-A - Vacant</v>
      </c>
      <c r="J32" s="31" t="s">
        <v>32</v>
      </c>
    </row>
    <row r="33">
      <c r="A33" s="21" t="s">
        <v>107</v>
      </c>
      <c r="B33" s="21">
        <v>16.0</v>
      </c>
      <c r="C33" s="23" t="s">
        <v>106</v>
      </c>
      <c r="D33" s="24" t="s">
        <v>38</v>
      </c>
      <c r="E33" s="24" t="s">
        <v>108</v>
      </c>
      <c r="F33" s="21">
        <v>2.0772046008E10</v>
      </c>
      <c r="G33" s="72">
        <v>46223.0</v>
      </c>
      <c r="H33" s="26">
        <v>1200.0</v>
      </c>
      <c r="I33" s="29" t="str">
        <f t="shared" si="1"/>
        <v>CRV-16-B - Ackim Siamafuko</v>
      </c>
      <c r="J33" s="31" t="s">
        <v>32</v>
      </c>
    </row>
    <row r="34">
      <c r="A34" s="21" t="s">
        <v>109</v>
      </c>
      <c r="B34" s="21">
        <v>17.0</v>
      </c>
      <c r="C34" s="23" t="s">
        <v>106</v>
      </c>
      <c r="D34" s="24" t="s">
        <v>30</v>
      </c>
      <c r="E34" s="24" t="s">
        <v>110</v>
      </c>
      <c r="F34" s="35" t="s">
        <v>111</v>
      </c>
      <c r="G34" s="72">
        <v>46175.0</v>
      </c>
      <c r="H34" s="26">
        <v>900.0</v>
      </c>
      <c r="I34" s="29" t="str">
        <f t="shared" si="1"/>
        <v>CRV-17-A - Kwitu Khalu</v>
      </c>
      <c r="J34" s="31" t="s">
        <v>32</v>
      </c>
    </row>
    <row r="35">
      <c r="A35" s="21" t="s">
        <v>112</v>
      </c>
      <c r="B35" s="21">
        <v>18.0</v>
      </c>
      <c r="C35" s="23" t="s">
        <v>106</v>
      </c>
      <c r="D35" s="64" t="s">
        <v>30</v>
      </c>
      <c r="E35" s="64" t="s">
        <v>113</v>
      </c>
      <c r="F35" s="59">
        <v>2.60972108866E11</v>
      </c>
      <c r="G35" s="73">
        <v>46190.0</v>
      </c>
      <c r="H35" s="62">
        <v>1200.0</v>
      </c>
      <c r="I35" s="29" t="str">
        <f t="shared" si="1"/>
        <v>CRV-18-A - Christopher Tambule</v>
      </c>
      <c r="J35" s="31" t="s">
        <v>32</v>
      </c>
    </row>
    <row r="36">
      <c r="A36" s="21" t="s">
        <v>114</v>
      </c>
      <c r="B36" s="21">
        <v>19.0</v>
      </c>
      <c r="C36" s="23" t="s">
        <v>115</v>
      </c>
      <c r="D36" s="64" t="s">
        <v>30</v>
      </c>
      <c r="E36" s="64" t="s">
        <v>116</v>
      </c>
      <c r="F36" s="59">
        <v>2.60977227794E11</v>
      </c>
      <c r="G36" s="73">
        <v>46199.0</v>
      </c>
      <c r="H36" s="62">
        <v>1200.0</v>
      </c>
      <c r="I36" s="29" t="str">
        <f t="shared" si="1"/>
        <v>ANX-19-A - Samantha Musako (Kakompe)</v>
      </c>
      <c r="J36" s="31" t="s">
        <v>36</v>
      </c>
    </row>
    <row r="37">
      <c r="A37" s="21" t="s">
        <v>117</v>
      </c>
      <c r="B37" s="21">
        <v>19.0</v>
      </c>
      <c r="C37" s="23" t="s">
        <v>115</v>
      </c>
      <c r="D37" s="64" t="s">
        <v>38</v>
      </c>
      <c r="E37" s="64" t="s">
        <v>16</v>
      </c>
      <c r="F37" s="59">
        <v>2.60977951894E11</v>
      </c>
      <c r="G37" s="73">
        <v>46180.0</v>
      </c>
      <c r="H37" s="62">
        <v>1200.0</v>
      </c>
      <c r="I37" s="29" t="str">
        <f t="shared" si="1"/>
        <v>ANX-19-B - Chanda Lutashima</v>
      </c>
      <c r="J37" s="31" t="s">
        <v>36</v>
      </c>
    </row>
    <row r="38">
      <c r="A38" s="21" t="s">
        <v>118</v>
      </c>
      <c r="B38" s="21">
        <v>19.0</v>
      </c>
      <c r="C38" s="23" t="s">
        <v>115</v>
      </c>
      <c r="D38" s="64" t="s">
        <v>48</v>
      </c>
      <c r="E38" s="64" t="s">
        <v>119</v>
      </c>
      <c r="F38" s="59">
        <v>2.60779841908E11</v>
      </c>
      <c r="G38" s="73">
        <v>46148.0</v>
      </c>
      <c r="H38" s="62">
        <v>1200.0</v>
      </c>
      <c r="I38" s="29" t="str">
        <f t="shared" si="1"/>
        <v>ANX-19-C - Josephine Nyirenda </v>
      </c>
      <c r="J38" s="31" t="s">
        <v>36</v>
      </c>
    </row>
    <row r="39">
      <c r="A39" s="21" t="s">
        <v>120</v>
      </c>
      <c r="B39" s="21">
        <v>19.0</v>
      </c>
      <c r="C39" s="23" t="s">
        <v>115</v>
      </c>
      <c r="D39" s="64" t="s">
        <v>90</v>
      </c>
      <c r="E39" s="64" t="s">
        <v>121</v>
      </c>
      <c r="F39" s="59">
        <v>2.60953618278E11</v>
      </c>
      <c r="G39" s="77">
        <v>46207.0</v>
      </c>
      <c r="H39" s="62">
        <v>1200.0</v>
      </c>
      <c r="I39" s="29" t="str">
        <f t="shared" si="1"/>
        <v>ANX-19-D - Lubono Ruthendo</v>
      </c>
      <c r="J39" s="31" t="s">
        <v>36</v>
      </c>
    </row>
    <row r="40">
      <c r="A40" s="21" t="s">
        <v>122</v>
      </c>
      <c r="B40" s="21">
        <v>20.0</v>
      </c>
      <c r="C40" s="23" t="s">
        <v>115</v>
      </c>
      <c r="D40" s="64" t="s">
        <v>30</v>
      </c>
      <c r="E40" s="64" t="s">
        <v>123</v>
      </c>
      <c r="F40" s="59">
        <v>2.60975303236E11</v>
      </c>
      <c r="G40" s="73">
        <v>46178.0</v>
      </c>
      <c r="H40" s="62">
        <v>1400.0</v>
      </c>
      <c r="I40" s="29" t="str">
        <f t="shared" si="1"/>
        <v>ANX-20-A - Steven Musonda</v>
      </c>
      <c r="J40" s="31" t="s">
        <v>32</v>
      </c>
    </row>
    <row r="41">
      <c r="A41" s="21" t="s">
        <v>124</v>
      </c>
      <c r="B41" s="21">
        <v>21.0</v>
      </c>
      <c r="C41" s="78" t="s">
        <v>125</v>
      </c>
      <c r="D41" s="24" t="s">
        <v>30</v>
      </c>
      <c r="E41" s="24" t="s">
        <v>126</v>
      </c>
      <c r="F41" s="21">
        <v>2.60760833629E11</v>
      </c>
      <c r="G41" s="72">
        <v>46191.0</v>
      </c>
      <c r="H41" s="79">
        <v>1200.0</v>
      </c>
      <c r="I41" s="29" t="str">
        <f t="shared" si="1"/>
        <v>NWG-21-A - Lukundo Siame</v>
      </c>
      <c r="J41" s="31" t="s">
        <v>32</v>
      </c>
    </row>
    <row r="42">
      <c r="A42" s="21" t="s">
        <v>127</v>
      </c>
      <c r="B42" s="21">
        <v>21.0</v>
      </c>
      <c r="C42" s="78" t="s">
        <v>125</v>
      </c>
      <c r="D42" s="24" t="s">
        <v>38</v>
      </c>
      <c r="E42" s="24" t="s">
        <v>128</v>
      </c>
      <c r="F42" s="21">
        <v>2.60968723095E11</v>
      </c>
      <c r="G42" s="72">
        <v>46143.0</v>
      </c>
      <c r="H42" s="79">
        <v>1200.0</v>
      </c>
      <c r="I42" s="29" t="str">
        <f t="shared" si="1"/>
        <v>NWG-21-B - Gabirel Kabwe</v>
      </c>
      <c r="J42" s="31" t="s">
        <v>32</v>
      </c>
    </row>
    <row r="43">
      <c r="A43" s="21" t="s">
        <v>129</v>
      </c>
      <c r="B43" s="21">
        <v>21.0</v>
      </c>
      <c r="C43" s="78" t="s">
        <v>125</v>
      </c>
      <c r="D43" s="24" t="s">
        <v>48</v>
      </c>
      <c r="E43" s="24" t="s">
        <v>130</v>
      </c>
      <c r="F43" s="21">
        <v>2.60770055753E11</v>
      </c>
      <c r="G43" s="72">
        <v>46179.0</v>
      </c>
      <c r="H43" s="79">
        <v>1200.0</v>
      </c>
      <c r="I43" s="29" t="str">
        <f t="shared" si="1"/>
        <v>NWG-21-C - Chama Kampamba</v>
      </c>
      <c r="J43" s="31" t="s">
        <v>32</v>
      </c>
    </row>
    <row r="44">
      <c r="A44" s="21" t="s">
        <v>131</v>
      </c>
      <c r="B44" s="21">
        <v>21.0</v>
      </c>
      <c r="C44" s="78" t="s">
        <v>125</v>
      </c>
      <c r="D44" s="24" t="s">
        <v>90</v>
      </c>
      <c r="E44" s="24" t="s">
        <v>132</v>
      </c>
      <c r="F44" s="21">
        <v>2.60776136398E11</v>
      </c>
      <c r="G44" s="72">
        <v>46174.0</v>
      </c>
      <c r="H44" s="79">
        <v>1200.0</v>
      </c>
      <c r="I44" s="29" t="str">
        <f t="shared" si="1"/>
        <v>NWG-21-D - Jairos Banda</v>
      </c>
      <c r="J44" s="31" t="s">
        <v>32</v>
      </c>
    </row>
    <row r="45">
      <c r="A45" s="21" t="s">
        <v>133</v>
      </c>
      <c r="B45" s="21">
        <v>22.0</v>
      </c>
      <c r="C45" s="78" t="s">
        <v>125</v>
      </c>
      <c r="D45" s="24" t="s">
        <v>30</v>
      </c>
      <c r="E45" s="24" t="s">
        <v>13</v>
      </c>
      <c r="F45" s="21"/>
      <c r="G45" s="72"/>
      <c r="H45" s="79">
        <v>1200.0</v>
      </c>
      <c r="I45" s="29" t="str">
        <f t="shared" si="1"/>
        <v>NWG-22-A - Vacant</v>
      </c>
      <c r="J45" s="31" t="s">
        <v>32</v>
      </c>
    </row>
    <row r="46">
      <c r="A46" s="21" t="s">
        <v>134</v>
      </c>
      <c r="B46" s="21">
        <v>22.0</v>
      </c>
      <c r="C46" s="78" t="s">
        <v>125</v>
      </c>
      <c r="D46" s="24" t="s">
        <v>38</v>
      </c>
      <c r="E46" s="24" t="s">
        <v>135</v>
      </c>
      <c r="F46" s="21">
        <v>2.60775161085E11</v>
      </c>
      <c r="G46" s="72">
        <v>46191.0</v>
      </c>
      <c r="H46" s="79">
        <v>1200.0</v>
      </c>
      <c r="I46" s="29" t="str">
        <f t="shared" si="1"/>
        <v>NWG-22-B - David Mulila</v>
      </c>
      <c r="J46" s="31" t="s">
        <v>32</v>
      </c>
    </row>
    <row r="47">
      <c r="A47" s="21" t="s">
        <v>136</v>
      </c>
      <c r="B47" s="21">
        <v>22.0</v>
      </c>
      <c r="C47" s="78" t="s">
        <v>125</v>
      </c>
      <c r="D47" s="24" t="s">
        <v>48</v>
      </c>
      <c r="E47" s="24" t="s">
        <v>137</v>
      </c>
      <c r="F47" s="21">
        <v>2.60771736585E11</v>
      </c>
      <c r="G47" s="72">
        <v>46174.0</v>
      </c>
      <c r="H47" s="79">
        <v>1200.0</v>
      </c>
      <c r="I47" s="29" t="str">
        <f t="shared" si="1"/>
        <v>NWG-22-C - Ongani Madaliso Gabriel </v>
      </c>
      <c r="J47" s="31" t="s">
        <v>32</v>
      </c>
    </row>
    <row r="48">
      <c r="A48" s="21" t="s">
        <v>138</v>
      </c>
      <c r="B48" s="21">
        <v>22.0</v>
      </c>
      <c r="C48" s="78" t="s">
        <v>125</v>
      </c>
      <c r="D48" s="24" t="s">
        <v>90</v>
      </c>
      <c r="E48" s="24" t="s">
        <v>139</v>
      </c>
      <c r="F48" s="21">
        <v>2.60772109688E11</v>
      </c>
      <c r="G48" s="72">
        <v>46176.0</v>
      </c>
      <c r="H48" s="79">
        <v>1200.0</v>
      </c>
      <c r="I48" s="29" t="str">
        <f t="shared" si="1"/>
        <v>NWG-22-D - Christopher Phiri</v>
      </c>
      <c r="J48" s="31" t="s">
        <v>32</v>
      </c>
    </row>
    <row r="49">
      <c r="A49" s="21" t="s">
        <v>140</v>
      </c>
      <c r="B49" s="21">
        <v>23.0</v>
      </c>
      <c r="C49" s="78" t="s">
        <v>125</v>
      </c>
      <c r="D49" s="24" t="s">
        <v>30</v>
      </c>
      <c r="E49" s="24" t="s">
        <v>13</v>
      </c>
      <c r="F49" s="21">
        <v>2.60973131421E11</v>
      </c>
      <c r="G49" s="72">
        <v>46198.0</v>
      </c>
      <c r="H49" s="79">
        <v>1200.0</v>
      </c>
      <c r="I49" s="29" t="str">
        <f t="shared" si="1"/>
        <v>NWG-23-A - Vacant</v>
      </c>
      <c r="J49" s="31" t="s">
        <v>36</v>
      </c>
    </row>
    <row r="50">
      <c r="A50" s="21" t="s">
        <v>141</v>
      </c>
      <c r="B50" s="21">
        <v>23.0</v>
      </c>
      <c r="C50" s="78" t="s">
        <v>125</v>
      </c>
      <c r="D50" s="24" t="s">
        <v>38</v>
      </c>
      <c r="E50" s="24" t="s">
        <v>142</v>
      </c>
      <c r="F50" s="21">
        <v>2.60963575803E11</v>
      </c>
      <c r="G50" s="72">
        <v>46187.0</v>
      </c>
      <c r="H50" s="79">
        <v>1200.0</v>
      </c>
      <c r="I50" s="29" t="str">
        <f t="shared" si="1"/>
        <v>NWG-23-B - Catherine Mphande</v>
      </c>
      <c r="J50" s="31" t="s">
        <v>36</v>
      </c>
    </row>
    <row r="51">
      <c r="A51" s="21" t="s">
        <v>143</v>
      </c>
      <c r="B51" s="21">
        <v>23.0</v>
      </c>
      <c r="C51" s="78" t="s">
        <v>125</v>
      </c>
      <c r="D51" s="24" t="s">
        <v>48</v>
      </c>
      <c r="E51" s="24" t="s">
        <v>144</v>
      </c>
      <c r="F51" s="21">
        <v>2.60957144512E11</v>
      </c>
      <c r="G51" s="72">
        <v>46184.0</v>
      </c>
      <c r="H51" s="79">
        <v>1200.0</v>
      </c>
      <c r="I51" s="29" t="str">
        <f t="shared" si="1"/>
        <v>NWG-23-C - Grace Mwamba</v>
      </c>
      <c r="J51" s="31" t="s">
        <v>36</v>
      </c>
    </row>
    <row r="52">
      <c r="A52" s="21" t="s">
        <v>145</v>
      </c>
      <c r="B52" s="21">
        <v>23.0</v>
      </c>
      <c r="C52" s="78" t="s">
        <v>125</v>
      </c>
      <c r="D52" s="24" t="s">
        <v>90</v>
      </c>
      <c r="E52" s="24" t="s">
        <v>146</v>
      </c>
      <c r="F52" s="21">
        <v>2.60970183545E11</v>
      </c>
      <c r="G52" s="72">
        <v>46078.0</v>
      </c>
      <c r="H52" s="79">
        <v>1200.0</v>
      </c>
      <c r="I52" s="29" t="str">
        <f t="shared" si="1"/>
        <v>NWG-23-D - Lushomo gambwe</v>
      </c>
      <c r="J52" s="31" t="s">
        <v>36</v>
      </c>
    </row>
    <row r="53">
      <c r="A53" s="21" t="s">
        <v>147</v>
      </c>
      <c r="B53" s="21">
        <v>23.0</v>
      </c>
      <c r="C53" s="78" t="s">
        <v>125</v>
      </c>
      <c r="D53" s="24" t="s">
        <v>148</v>
      </c>
      <c r="E53" s="24" t="s">
        <v>149</v>
      </c>
      <c r="F53" s="21">
        <v>2.60761423674E11</v>
      </c>
      <c r="G53" s="72">
        <v>46190.0</v>
      </c>
      <c r="H53" s="79">
        <v>1200.0</v>
      </c>
      <c r="I53" s="29" t="str">
        <f t="shared" si="1"/>
        <v>NWG-23-E - Jacqueline Mwape</v>
      </c>
      <c r="J53" s="31" t="s">
        <v>36</v>
      </c>
    </row>
    <row r="54">
      <c r="A54" s="21" t="s">
        <v>150</v>
      </c>
      <c r="B54" s="21">
        <v>24.0</v>
      </c>
      <c r="C54" s="78" t="s">
        <v>125</v>
      </c>
      <c r="D54" s="24" t="s">
        <v>30</v>
      </c>
      <c r="E54" s="24" t="s">
        <v>151</v>
      </c>
      <c r="F54" s="21">
        <v>2.609694109E11</v>
      </c>
      <c r="G54" s="72">
        <v>46235.0</v>
      </c>
      <c r="H54" s="79">
        <v>1200.0</v>
      </c>
      <c r="I54" s="29" t="str">
        <f t="shared" si="1"/>
        <v>NWG-24-A - Chami Soneka</v>
      </c>
      <c r="J54" s="31" t="s">
        <v>36</v>
      </c>
    </row>
    <row r="55">
      <c r="A55" s="21" t="s">
        <v>152</v>
      </c>
      <c r="B55" s="21">
        <v>24.0</v>
      </c>
      <c r="C55" s="78" t="s">
        <v>125</v>
      </c>
      <c r="D55" s="24" t="s">
        <v>38</v>
      </c>
      <c r="E55" s="83" t="s">
        <v>154</v>
      </c>
      <c r="F55" s="21">
        <v>2.60774614576E11</v>
      </c>
      <c r="G55" s="72">
        <v>46263.0</v>
      </c>
      <c r="H55" s="79">
        <v>1200.0</v>
      </c>
      <c r="I55" s="29" t="str">
        <f t="shared" si="1"/>
        <v>NWG-24-B - Kuwunda Makondo</v>
      </c>
      <c r="J55" s="31" t="s">
        <v>36</v>
      </c>
    </row>
    <row r="56">
      <c r="A56" s="21" t="s">
        <v>155</v>
      </c>
      <c r="B56" s="21">
        <v>24.0</v>
      </c>
      <c r="C56" s="78" t="s">
        <v>125</v>
      </c>
      <c r="D56" s="24" t="s">
        <v>48</v>
      </c>
      <c r="E56" s="24" t="s">
        <v>156</v>
      </c>
      <c r="F56" s="21">
        <v>2.60974051468E11</v>
      </c>
      <c r="G56" s="72">
        <v>46189.0</v>
      </c>
      <c r="H56" s="79">
        <v>1200.0</v>
      </c>
      <c r="I56" s="29" t="str">
        <f t="shared" si="1"/>
        <v>NWG-24-C - Chansa Chinyama</v>
      </c>
      <c r="J56" s="31" t="s">
        <v>36</v>
      </c>
    </row>
    <row r="57">
      <c r="A57" s="21" t="s">
        <v>157</v>
      </c>
      <c r="B57" s="21">
        <v>24.0</v>
      </c>
      <c r="C57" s="78" t="s">
        <v>125</v>
      </c>
      <c r="D57" s="24" t="s">
        <v>90</v>
      </c>
      <c r="E57" s="83" t="s">
        <v>158</v>
      </c>
      <c r="F57" s="21">
        <v>2.60976534878E11</v>
      </c>
      <c r="G57" s="72">
        <v>46180.0</v>
      </c>
      <c r="H57" s="79">
        <v>1200.0</v>
      </c>
      <c r="I57" s="29" t="str">
        <f t="shared" si="1"/>
        <v>NWG-24-D - Kawina Florence</v>
      </c>
      <c r="J57" s="31" t="s">
        <v>36</v>
      </c>
    </row>
    <row r="58">
      <c r="A58" s="21"/>
      <c r="B58" s="29"/>
      <c r="C58" s="29"/>
      <c r="D58" s="29"/>
      <c r="E58" s="29"/>
      <c r="F58" s="29"/>
      <c r="G58" s="85"/>
      <c r="H58" s="29"/>
      <c r="I58" s="29"/>
      <c r="J58" s="29"/>
    </row>
    <row r="59">
      <c r="A59" s="21"/>
      <c r="B59" s="29"/>
      <c r="C59" s="29"/>
      <c r="D59" s="29"/>
      <c r="E59" s="29"/>
      <c r="F59" s="29"/>
      <c r="G59" s="85"/>
      <c r="H59" s="29"/>
      <c r="I59" s="29"/>
      <c r="J59" s="29"/>
    </row>
    <row r="60">
      <c r="A60" s="21"/>
      <c r="B60" s="68"/>
      <c r="C60" s="29"/>
      <c r="D60" s="29"/>
      <c r="E60" s="29"/>
      <c r="F60" s="29"/>
      <c r="G60" s="85"/>
      <c r="H60" s="29"/>
      <c r="I60" s="29"/>
      <c r="J60" s="29"/>
    </row>
    <row r="61">
      <c r="A61" s="21"/>
      <c r="B61" s="29"/>
      <c r="C61" s="29"/>
      <c r="D61" s="29"/>
      <c r="E61" s="29"/>
      <c r="F61" s="29"/>
      <c r="G61" s="85"/>
      <c r="H61" s="29"/>
      <c r="I61" s="29"/>
      <c r="J61" s="29"/>
    </row>
    <row r="62">
      <c r="A62" s="21"/>
      <c r="B62" s="29"/>
      <c r="C62" s="29"/>
      <c r="D62" s="29"/>
      <c r="E62" s="29"/>
      <c r="F62" s="29"/>
      <c r="G62" s="85"/>
      <c r="H62" s="29"/>
      <c r="I62" s="29"/>
      <c r="J62" s="29"/>
    </row>
    <row r="63">
      <c r="A63" s="21"/>
      <c r="B63" s="29"/>
      <c r="C63" s="29"/>
      <c r="D63" s="29"/>
      <c r="E63" s="29"/>
      <c r="F63" s="29"/>
      <c r="G63" s="85"/>
      <c r="H63" s="29"/>
      <c r="I63" s="29"/>
      <c r="J63" s="29"/>
    </row>
    <row r="64">
      <c r="A64" s="21"/>
      <c r="B64" s="29"/>
      <c r="C64" s="29"/>
      <c r="D64" s="29"/>
      <c r="E64" s="29"/>
      <c r="F64" s="29"/>
      <c r="G64" s="85"/>
      <c r="H64" s="29"/>
      <c r="I64" s="29"/>
      <c r="J64" s="29"/>
    </row>
    <row r="65">
      <c r="A65" s="21"/>
      <c r="B65" s="29"/>
      <c r="C65" s="29"/>
      <c r="D65" s="29"/>
      <c r="E65" s="29"/>
      <c r="F65" s="29"/>
      <c r="G65" s="85"/>
      <c r="H65" s="29"/>
      <c r="I65" s="29"/>
      <c r="J65" s="29"/>
    </row>
    <row r="66">
      <c r="A66" s="29"/>
      <c r="B66" s="29"/>
      <c r="C66" s="29"/>
      <c r="D66" s="29"/>
      <c r="E66" s="29"/>
      <c r="F66" s="29"/>
      <c r="G66" s="85"/>
      <c r="H66" s="29"/>
      <c r="I66" s="29"/>
      <c r="J66" s="29"/>
    </row>
    <row r="67">
      <c r="A67" s="29"/>
      <c r="B67" s="29"/>
      <c r="C67" s="29"/>
      <c r="D67" s="29"/>
      <c r="E67" s="29"/>
      <c r="F67" s="29"/>
      <c r="G67" s="85"/>
      <c r="H67" s="29"/>
      <c r="I67" s="29"/>
      <c r="J67" s="29"/>
    </row>
    <row r="68">
      <c r="A68" s="29"/>
      <c r="B68" s="29"/>
      <c r="C68" s="29"/>
      <c r="D68" s="29"/>
      <c r="E68" s="29"/>
      <c r="F68" s="29"/>
      <c r="G68" s="85"/>
      <c r="H68" s="29"/>
      <c r="I68" s="29"/>
      <c r="J68" s="29"/>
    </row>
    <row r="69">
      <c r="A69" s="29"/>
      <c r="B69" s="29"/>
      <c r="C69" s="29"/>
      <c r="D69" s="29"/>
      <c r="E69" s="29"/>
      <c r="F69" s="29"/>
      <c r="G69" s="85"/>
      <c r="H69" s="29"/>
      <c r="I69" s="29"/>
      <c r="J69" s="29"/>
    </row>
    <row r="70">
      <c r="A70" s="29"/>
      <c r="B70" s="29"/>
      <c r="C70" s="29"/>
      <c r="D70" s="29"/>
      <c r="E70" s="29"/>
      <c r="F70" s="29"/>
      <c r="G70" s="85"/>
      <c r="H70" s="29"/>
      <c r="I70" s="29"/>
      <c r="J70" s="29"/>
    </row>
    <row r="71">
      <c r="A71" s="29"/>
      <c r="B71" s="29"/>
      <c r="C71" s="29"/>
      <c r="D71" s="29"/>
      <c r="E71" s="29"/>
      <c r="F71" s="29"/>
      <c r="G71" s="85"/>
      <c r="H71" s="29"/>
      <c r="I71" s="29"/>
      <c r="J71" s="29"/>
    </row>
    <row r="72">
      <c r="A72" s="29"/>
      <c r="B72" s="29"/>
      <c r="C72" s="29"/>
      <c r="D72" s="29"/>
      <c r="E72" s="29"/>
      <c r="F72" s="29"/>
      <c r="G72" s="85"/>
      <c r="H72" s="29"/>
      <c r="I72" s="29"/>
      <c r="J72" s="29"/>
    </row>
    <row r="73">
      <c r="A73" s="29"/>
      <c r="B73" s="29"/>
      <c r="C73" s="29"/>
      <c r="D73" s="29"/>
      <c r="E73" s="29"/>
      <c r="F73" s="29"/>
      <c r="G73" s="85"/>
      <c r="H73" s="29"/>
      <c r="I73" s="29"/>
      <c r="J73" s="29"/>
    </row>
    <row r="74">
      <c r="A74" s="29"/>
      <c r="B74" s="29"/>
      <c r="C74" s="29"/>
      <c r="D74" s="29"/>
      <c r="E74" s="29"/>
      <c r="F74" s="29"/>
      <c r="G74" s="85"/>
      <c r="H74" s="29"/>
      <c r="I74" s="29"/>
      <c r="J74" s="29"/>
    </row>
    <row r="75">
      <c r="A75" s="29"/>
      <c r="B75" s="29"/>
      <c r="C75" s="29"/>
      <c r="D75" s="29"/>
      <c r="E75" s="29"/>
      <c r="F75" s="29"/>
      <c r="G75" s="85"/>
      <c r="H75" s="29"/>
      <c r="I75" s="29"/>
      <c r="J75" s="29"/>
    </row>
    <row r="76">
      <c r="A76" s="29"/>
      <c r="B76" s="29"/>
      <c r="C76" s="29"/>
      <c r="D76" s="29"/>
      <c r="E76" s="29"/>
      <c r="F76" s="29"/>
      <c r="G76" s="85"/>
      <c r="H76" s="29"/>
      <c r="I76" s="29"/>
      <c r="J76" s="29"/>
    </row>
    <row r="77">
      <c r="A77" s="29"/>
      <c r="B77" s="29"/>
      <c r="C77" s="29"/>
      <c r="D77" s="29"/>
      <c r="E77" s="29"/>
      <c r="F77" s="29"/>
      <c r="G77" s="85"/>
      <c r="H77" s="29"/>
      <c r="I77" s="29"/>
      <c r="J77" s="29"/>
    </row>
    <row r="78">
      <c r="A78" s="29"/>
      <c r="B78" s="29"/>
      <c r="C78" s="29"/>
      <c r="D78" s="29"/>
      <c r="E78" s="29"/>
      <c r="F78" s="29"/>
      <c r="G78" s="85"/>
      <c r="H78" s="29"/>
      <c r="I78" s="29"/>
      <c r="J78" s="29"/>
    </row>
    <row r="79">
      <c r="A79" s="29"/>
      <c r="B79" s="29"/>
      <c r="C79" s="29"/>
      <c r="D79" s="29"/>
      <c r="E79" s="29"/>
      <c r="F79" s="29"/>
      <c r="G79" s="85"/>
      <c r="H79" s="29"/>
      <c r="I79" s="29"/>
      <c r="J79" s="29"/>
    </row>
    <row r="80">
      <c r="A80" s="29"/>
      <c r="B80" s="29"/>
      <c r="C80" s="29"/>
      <c r="D80" s="29"/>
      <c r="E80" s="29"/>
      <c r="F80" s="29"/>
      <c r="G80" s="85"/>
      <c r="H80" s="29"/>
      <c r="I80" s="29"/>
      <c r="J80" s="29"/>
    </row>
    <row r="81">
      <c r="A81" s="29"/>
      <c r="B81" s="29"/>
      <c r="C81" s="29"/>
      <c r="D81" s="29"/>
      <c r="E81" s="29"/>
      <c r="F81" s="29"/>
      <c r="G81" s="88"/>
      <c r="H81" s="29"/>
      <c r="I81" s="29"/>
      <c r="J81" s="29"/>
    </row>
    <row r="82">
      <c r="A82" s="29"/>
      <c r="B82" s="29"/>
      <c r="C82" s="29"/>
      <c r="D82" s="29"/>
      <c r="E82" s="29"/>
      <c r="F82" s="29"/>
      <c r="G82" s="88"/>
      <c r="H82" s="29"/>
      <c r="I82" s="29"/>
      <c r="J82" s="29"/>
    </row>
    <row r="83">
      <c r="A83" s="29"/>
      <c r="B83" s="29"/>
      <c r="C83" s="29"/>
      <c r="D83" s="29"/>
      <c r="E83" s="29"/>
      <c r="F83" s="29"/>
      <c r="G83" s="88"/>
      <c r="H83" s="29"/>
      <c r="I83" s="29"/>
      <c r="J83" s="29"/>
    </row>
    <row r="84">
      <c r="A84" s="29"/>
      <c r="B84" s="29"/>
      <c r="C84" s="29"/>
      <c r="D84" s="29"/>
      <c r="E84" s="29"/>
      <c r="F84" s="29"/>
      <c r="G84" s="88"/>
      <c r="H84" s="29"/>
      <c r="I84" s="29"/>
      <c r="J84" s="29"/>
    </row>
    <row r="85">
      <c r="A85" s="29"/>
      <c r="B85" s="29"/>
      <c r="C85" s="29"/>
      <c r="D85" s="29"/>
      <c r="E85" s="29"/>
      <c r="F85" s="29"/>
      <c r="G85" s="88"/>
      <c r="H85" s="29"/>
      <c r="I85" s="29"/>
      <c r="J85" s="29"/>
    </row>
    <row r="86">
      <c r="A86" s="29"/>
      <c r="B86" s="29"/>
      <c r="C86" s="29"/>
      <c r="D86" s="29"/>
      <c r="E86" s="29"/>
      <c r="F86" s="29"/>
      <c r="G86" s="88"/>
      <c r="H86" s="29"/>
      <c r="I86" s="29"/>
      <c r="J86" s="29"/>
    </row>
    <row r="87">
      <c r="A87" s="29"/>
      <c r="B87" s="29"/>
      <c r="C87" s="29"/>
      <c r="D87" s="29"/>
      <c r="E87" s="29"/>
      <c r="F87" s="29"/>
      <c r="G87" s="88"/>
      <c r="H87" s="29"/>
      <c r="I87" s="29"/>
      <c r="J87" s="29"/>
    </row>
    <row r="88">
      <c r="A88" s="29"/>
      <c r="B88" s="29"/>
      <c r="C88" s="29"/>
      <c r="D88" s="29"/>
      <c r="E88" s="29"/>
      <c r="F88" s="29"/>
      <c r="G88" s="88"/>
      <c r="H88" s="29"/>
      <c r="I88" s="29"/>
      <c r="J88" s="29"/>
    </row>
    <row r="89">
      <c r="A89" s="29"/>
      <c r="B89" s="29"/>
      <c r="C89" s="29"/>
      <c r="D89" s="29"/>
      <c r="E89" s="29"/>
      <c r="F89" s="29"/>
      <c r="G89" s="88"/>
      <c r="H89" s="29"/>
      <c r="I89" s="29"/>
      <c r="J89" s="29"/>
    </row>
    <row r="90">
      <c r="A90" s="29"/>
      <c r="B90" s="29"/>
      <c r="C90" s="29"/>
      <c r="D90" s="29"/>
      <c r="E90" s="29"/>
      <c r="F90" s="29"/>
      <c r="G90" s="88"/>
      <c r="H90" s="29"/>
      <c r="I90" s="29"/>
      <c r="J90" s="29"/>
    </row>
    <row r="91">
      <c r="A91" s="29"/>
      <c r="B91" s="29"/>
      <c r="C91" s="29"/>
      <c r="D91" s="29"/>
      <c r="E91" s="29"/>
      <c r="F91" s="29"/>
      <c r="G91" s="88"/>
      <c r="H91" s="29"/>
      <c r="I91" s="29"/>
      <c r="J91" s="29"/>
    </row>
    <row r="92">
      <c r="A92" s="29"/>
      <c r="B92" s="29"/>
      <c r="C92" s="29"/>
      <c r="D92" s="29"/>
      <c r="E92" s="29"/>
      <c r="F92" s="29"/>
      <c r="G92" s="88"/>
      <c r="H92" s="29"/>
      <c r="I92" s="29"/>
      <c r="J92" s="29"/>
    </row>
    <row r="93">
      <c r="A93" s="29"/>
      <c r="B93" s="29"/>
      <c r="C93" s="29"/>
      <c r="D93" s="29"/>
      <c r="E93" s="29"/>
      <c r="F93" s="29"/>
      <c r="G93" s="88"/>
      <c r="H93" s="29"/>
      <c r="I93" s="29"/>
      <c r="J93" s="29"/>
    </row>
    <row r="94">
      <c r="A94" s="29"/>
      <c r="B94" s="29"/>
      <c r="C94" s="29"/>
      <c r="D94" s="29"/>
      <c r="E94" s="29"/>
      <c r="F94" s="29"/>
      <c r="G94" s="88"/>
      <c r="H94" s="29"/>
      <c r="I94" s="29"/>
      <c r="J94" s="29"/>
    </row>
    <row r="95">
      <c r="A95" s="29"/>
      <c r="B95" s="29"/>
      <c r="C95" s="29"/>
      <c r="D95" s="29"/>
      <c r="E95" s="29"/>
      <c r="F95" s="29"/>
      <c r="G95" s="88"/>
      <c r="H95" s="29"/>
      <c r="I95" s="29"/>
      <c r="J95" s="29"/>
    </row>
    <row r="96">
      <c r="A96" s="29"/>
      <c r="B96" s="29"/>
      <c r="C96" s="29"/>
      <c r="D96" s="29"/>
      <c r="E96" s="29"/>
      <c r="F96" s="29"/>
      <c r="G96" s="88"/>
      <c r="H96" s="29"/>
      <c r="I96" s="29"/>
      <c r="J96" s="29"/>
    </row>
    <row r="97">
      <c r="A97" s="29"/>
      <c r="B97" s="29"/>
      <c r="C97" s="29"/>
      <c r="D97" s="29"/>
      <c r="E97" s="29"/>
      <c r="F97" s="29"/>
      <c r="G97" s="88"/>
      <c r="H97" s="29"/>
      <c r="I97" s="29"/>
      <c r="J97" s="29"/>
    </row>
    <row r="98">
      <c r="A98" s="29"/>
      <c r="B98" s="29"/>
      <c r="C98" s="29"/>
      <c r="D98" s="29"/>
      <c r="E98" s="29"/>
      <c r="F98" s="29"/>
      <c r="G98" s="88"/>
      <c r="H98" s="29"/>
      <c r="I98" s="29"/>
      <c r="J98" s="29"/>
    </row>
    <row r="99">
      <c r="A99" s="29"/>
      <c r="B99" s="29"/>
      <c r="C99" s="29"/>
      <c r="D99" s="29"/>
      <c r="E99" s="29"/>
      <c r="F99" s="29"/>
      <c r="G99" s="88"/>
      <c r="H99" s="29"/>
      <c r="I99" s="29"/>
      <c r="J99" s="29"/>
    </row>
    <row r="100">
      <c r="A100" s="29"/>
      <c r="B100" s="29"/>
      <c r="C100" s="29"/>
      <c r="D100" s="29"/>
      <c r="E100" s="29"/>
      <c r="F100" s="29"/>
      <c r="G100" s="88"/>
      <c r="H100" s="29"/>
      <c r="I100" s="29"/>
      <c r="J100" s="29"/>
    </row>
    <row r="101">
      <c r="A101" s="29"/>
      <c r="B101" s="29"/>
      <c r="C101" s="29"/>
      <c r="D101" s="29"/>
      <c r="E101" s="29"/>
      <c r="F101" s="29"/>
      <c r="G101" s="88"/>
      <c r="H101" s="29"/>
      <c r="I101" s="29"/>
      <c r="J101" s="29"/>
    </row>
    <row r="102">
      <c r="A102" s="29"/>
      <c r="B102" s="29"/>
      <c r="C102" s="29"/>
      <c r="D102" s="29"/>
      <c r="E102" s="29"/>
      <c r="F102" s="29"/>
      <c r="G102" s="88"/>
      <c r="H102" s="29"/>
      <c r="I102" s="29"/>
      <c r="J102" s="29"/>
    </row>
    <row r="103">
      <c r="A103" s="29"/>
      <c r="B103" s="29"/>
      <c r="C103" s="29"/>
      <c r="D103" s="29"/>
      <c r="E103" s="29"/>
      <c r="F103" s="29"/>
      <c r="G103" s="88"/>
      <c r="H103" s="29"/>
      <c r="I103" s="29"/>
      <c r="J103" s="29"/>
    </row>
    <row r="104">
      <c r="A104" s="29"/>
      <c r="B104" s="29"/>
      <c r="C104" s="29"/>
      <c r="D104" s="29"/>
      <c r="E104" s="29"/>
      <c r="F104" s="29"/>
      <c r="G104" s="88"/>
      <c r="H104" s="29"/>
      <c r="I104" s="29"/>
      <c r="J104" s="29"/>
    </row>
    <row r="105">
      <c r="A105" s="29"/>
      <c r="B105" s="29"/>
      <c r="C105" s="29"/>
      <c r="D105" s="29"/>
      <c r="E105" s="29"/>
      <c r="F105" s="29"/>
      <c r="G105" s="88"/>
      <c r="H105" s="29"/>
      <c r="I105" s="29"/>
      <c r="J105" s="29"/>
    </row>
    <row r="106">
      <c r="A106" s="29"/>
      <c r="B106" s="29"/>
      <c r="C106" s="29"/>
      <c r="D106" s="29"/>
      <c r="E106" s="29"/>
      <c r="F106" s="29"/>
      <c r="G106" s="88"/>
      <c r="H106" s="29"/>
      <c r="I106" s="29"/>
      <c r="J106" s="29"/>
    </row>
    <row r="107">
      <c r="A107" s="29"/>
      <c r="B107" s="29"/>
      <c r="C107" s="29"/>
      <c r="D107" s="29"/>
      <c r="E107" s="29"/>
      <c r="F107" s="29"/>
      <c r="G107" s="88"/>
      <c r="H107" s="29"/>
      <c r="I107" s="29"/>
      <c r="J107" s="29"/>
    </row>
    <row r="108">
      <c r="A108" s="29"/>
      <c r="B108" s="29"/>
      <c r="C108" s="29"/>
      <c r="D108" s="29"/>
      <c r="E108" s="29"/>
      <c r="F108" s="29"/>
      <c r="G108" s="88"/>
      <c r="H108" s="29"/>
      <c r="I108" s="29"/>
      <c r="J108" s="29"/>
    </row>
    <row r="109">
      <c r="A109" s="29"/>
      <c r="B109" s="29"/>
      <c r="C109" s="29"/>
      <c r="D109" s="29"/>
      <c r="E109" s="29"/>
      <c r="F109" s="29"/>
      <c r="G109" s="88"/>
      <c r="H109" s="29"/>
      <c r="I109" s="29"/>
      <c r="J109" s="29"/>
    </row>
    <row r="110">
      <c r="A110" s="29"/>
      <c r="B110" s="29"/>
      <c r="C110" s="29"/>
      <c r="D110" s="29"/>
      <c r="E110" s="29"/>
      <c r="F110" s="29"/>
      <c r="G110" s="88"/>
      <c r="H110" s="29"/>
      <c r="I110" s="29"/>
      <c r="J110" s="29"/>
    </row>
    <row r="111">
      <c r="A111" s="29"/>
      <c r="B111" s="29"/>
      <c r="C111" s="29"/>
      <c r="D111" s="29"/>
      <c r="E111" s="29"/>
      <c r="F111" s="29"/>
      <c r="G111" s="88"/>
      <c r="H111" s="29"/>
      <c r="I111" s="29"/>
      <c r="J111" s="29"/>
    </row>
    <row r="112">
      <c r="A112" s="29"/>
      <c r="B112" s="29"/>
      <c r="C112" s="29"/>
      <c r="D112" s="29"/>
      <c r="E112" s="29"/>
      <c r="F112" s="29"/>
      <c r="G112" s="88"/>
      <c r="H112" s="29"/>
      <c r="I112" s="29"/>
      <c r="J112" s="29"/>
    </row>
    <row r="113">
      <c r="A113" s="29"/>
      <c r="B113" s="29"/>
      <c r="C113" s="29"/>
      <c r="D113" s="29"/>
      <c r="E113" s="29"/>
      <c r="F113" s="29"/>
      <c r="G113" s="88"/>
      <c r="H113" s="29"/>
      <c r="I113" s="29"/>
      <c r="J113" s="29"/>
    </row>
    <row r="114">
      <c r="A114" s="29"/>
      <c r="B114" s="29"/>
      <c r="C114" s="29"/>
      <c r="D114" s="29"/>
      <c r="E114" s="29"/>
      <c r="F114" s="29"/>
      <c r="G114" s="88"/>
      <c r="H114" s="29"/>
      <c r="I114" s="29"/>
      <c r="J114" s="29"/>
    </row>
    <row r="115">
      <c r="A115" s="29"/>
      <c r="B115" s="29"/>
      <c r="C115" s="29"/>
      <c r="D115" s="29"/>
      <c r="E115" s="29"/>
      <c r="F115" s="29"/>
      <c r="G115" s="88"/>
      <c r="H115" s="29"/>
      <c r="I115" s="29"/>
      <c r="J115" s="29"/>
    </row>
    <row r="116">
      <c r="A116" s="29"/>
      <c r="B116" s="29"/>
      <c r="C116" s="29"/>
      <c r="D116" s="29"/>
      <c r="E116" s="29"/>
      <c r="F116" s="29"/>
      <c r="G116" s="88"/>
      <c r="H116" s="29"/>
      <c r="I116" s="29"/>
      <c r="J116" s="29"/>
    </row>
    <row r="117">
      <c r="A117" s="29"/>
      <c r="B117" s="29"/>
      <c r="C117" s="29"/>
      <c r="D117" s="29"/>
      <c r="E117" s="29"/>
      <c r="F117" s="29"/>
      <c r="G117" s="88"/>
      <c r="H117" s="29"/>
      <c r="I117" s="29"/>
      <c r="J117" s="29"/>
    </row>
    <row r="118">
      <c r="A118" s="29"/>
      <c r="B118" s="29"/>
      <c r="C118" s="29"/>
      <c r="D118" s="29"/>
      <c r="E118" s="29"/>
      <c r="F118" s="29"/>
      <c r="G118" s="88"/>
      <c r="H118" s="29"/>
      <c r="I118" s="29"/>
      <c r="J118" s="29"/>
    </row>
    <row r="119">
      <c r="A119" s="29"/>
      <c r="B119" s="29"/>
      <c r="C119" s="29"/>
      <c r="D119" s="29"/>
      <c r="E119" s="29"/>
      <c r="F119" s="29"/>
      <c r="G119" s="88"/>
      <c r="H119" s="29"/>
      <c r="I119" s="29"/>
      <c r="J119" s="29"/>
    </row>
    <row r="120">
      <c r="A120" s="29"/>
      <c r="B120" s="29"/>
      <c r="C120" s="29"/>
      <c r="D120" s="29"/>
      <c r="E120" s="29"/>
      <c r="F120" s="29"/>
      <c r="G120" s="88"/>
      <c r="H120" s="29"/>
      <c r="I120" s="29"/>
      <c r="J120" s="29"/>
    </row>
    <row r="121">
      <c r="A121" s="29"/>
      <c r="B121" s="29"/>
      <c r="C121" s="29"/>
      <c r="D121" s="29"/>
      <c r="E121" s="29"/>
      <c r="F121" s="29"/>
      <c r="G121" s="88"/>
      <c r="H121" s="29"/>
      <c r="I121" s="29"/>
      <c r="J121" s="29"/>
    </row>
    <row r="122">
      <c r="A122" s="29"/>
      <c r="B122" s="29"/>
      <c r="C122" s="29"/>
      <c r="D122" s="29"/>
      <c r="E122" s="29"/>
      <c r="F122" s="29"/>
      <c r="G122" s="88"/>
      <c r="H122" s="29"/>
      <c r="I122" s="29"/>
      <c r="J122" s="29"/>
    </row>
    <row r="123">
      <c r="A123" s="29"/>
      <c r="B123" s="29"/>
      <c r="C123" s="29"/>
      <c r="D123" s="29"/>
      <c r="E123" s="29"/>
      <c r="F123" s="29"/>
      <c r="G123" s="88"/>
      <c r="H123" s="29"/>
      <c r="I123" s="29"/>
      <c r="J123" s="29"/>
    </row>
    <row r="124">
      <c r="A124" s="29"/>
      <c r="B124" s="29"/>
      <c r="C124" s="29"/>
      <c r="D124" s="29"/>
      <c r="E124" s="29"/>
      <c r="F124" s="29"/>
      <c r="G124" s="88"/>
      <c r="H124" s="29"/>
      <c r="I124" s="29"/>
      <c r="J124" s="29"/>
    </row>
    <row r="125">
      <c r="A125" s="29"/>
      <c r="B125" s="29"/>
      <c r="C125" s="29"/>
      <c r="D125" s="29"/>
      <c r="E125" s="29"/>
      <c r="F125" s="29"/>
      <c r="G125" s="88"/>
      <c r="H125" s="29"/>
      <c r="I125" s="29"/>
      <c r="J125" s="29"/>
    </row>
    <row r="126">
      <c r="A126" s="29"/>
      <c r="B126" s="29"/>
      <c r="C126" s="29"/>
      <c r="D126" s="29"/>
      <c r="E126" s="29"/>
      <c r="F126" s="29"/>
      <c r="G126" s="88"/>
      <c r="H126" s="29"/>
      <c r="I126" s="29"/>
      <c r="J126" s="29"/>
    </row>
    <row r="127">
      <c r="A127" s="29"/>
      <c r="B127" s="29"/>
      <c r="C127" s="29"/>
      <c r="D127" s="29"/>
      <c r="E127" s="29"/>
      <c r="F127" s="29"/>
      <c r="G127" s="88"/>
      <c r="H127" s="29"/>
      <c r="I127" s="29"/>
      <c r="J127" s="29"/>
    </row>
    <row r="128">
      <c r="A128" s="29"/>
      <c r="B128" s="29"/>
      <c r="C128" s="29"/>
      <c r="D128" s="29"/>
      <c r="E128" s="29"/>
      <c r="F128" s="29"/>
      <c r="G128" s="88"/>
      <c r="H128" s="29"/>
      <c r="I128" s="29"/>
      <c r="J128" s="29"/>
    </row>
    <row r="129">
      <c r="A129" s="29"/>
      <c r="B129" s="29"/>
      <c r="C129" s="29"/>
      <c r="D129" s="29"/>
      <c r="E129" s="29"/>
      <c r="F129" s="29"/>
      <c r="G129" s="88"/>
      <c r="H129" s="29"/>
      <c r="I129" s="29"/>
      <c r="J129" s="29"/>
    </row>
    <row r="130">
      <c r="A130" s="29"/>
      <c r="B130" s="29"/>
      <c r="C130" s="29"/>
      <c r="D130" s="29"/>
      <c r="E130" s="29"/>
      <c r="F130" s="29"/>
      <c r="G130" s="88"/>
      <c r="H130" s="29"/>
      <c r="I130" s="29"/>
      <c r="J130" s="29"/>
    </row>
    <row r="131">
      <c r="A131" s="29"/>
      <c r="B131" s="29"/>
      <c r="C131" s="29"/>
      <c r="D131" s="29"/>
      <c r="E131" s="29"/>
      <c r="F131" s="29"/>
      <c r="G131" s="88"/>
      <c r="H131" s="29"/>
      <c r="I131" s="29"/>
      <c r="J131" s="29"/>
    </row>
    <row r="132">
      <c r="A132" s="29"/>
      <c r="B132" s="29"/>
      <c r="C132" s="29"/>
      <c r="D132" s="29"/>
      <c r="E132" s="29"/>
      <c r="F132" s="29"/>
      <c r="G132" s="88"/>
      <c r="H132" s="29"/>
      <c r="I132" s="29"/>
      <c r="J132" s="29"/>
    </row>
    <row r="133">
      <c r="A133" s="29"/>
      <c r="B133" s="29"/>
      <c r="C133" s="29"/>
      <c r="D133" s="29"/>
      <c r="E133" s="29"/>
      <c r="F133" s="29"/>
      <c r="G133" s="88"/>
      <c r="H133" s="29"/>
      <c r="I133" s="29"/>
      <c r="J133" s="29"/>
    </row>
    <row r="134">
      <c r="A134" s="29"/>
      <c r="B134" s="29"/>
      <c r="C134" s="29"/>
      <c r="D134" s="29"/>
      <c r="E134" s="29"/>
      <c r="F134" s="29"/>
      <c r="G134" s="88"/>
      <c r="H134" s="29"/>
      <c r="I134" s="29"/>
      <c r="J134" s="29"/>
    </row>
    <row r="135">
      <c r="A135" s="29"/>
      <c r="B135" s="29"/>
      <c r="C135" s="29"/>
      <c r="D135" s="29"/>
      <c r="E135" s="29"/>
      <c r="F135" s="29"/>
      <c r="G135" s="88"/>
      <c r="H135" s="29"/>
      <c r="I135" s="29"/>
      <c r="J135" s="29"/>
    </row>
    <row r="136">
      <c r="A136" s="29"/>
      <c r="B136" s="29"/>
      <c r="C136" s="29"/>
      <c r="D136" s="29"/>
      <c r="E136" s="29"/>
      <c r="F136" s="29"/>
      <c r="G136" s="88"/>
      <c r="H136" s="29"/>
      <c r="I136" s="29"/>
      <c r="J136" s="29"/>
    </row>
    <row r="137">
      <c r="A137" s="29"/>
      <c r="B137" s="29"/>
      <c r="C137" s="29"/>
      <c r="D137" s="29"/>
      <c r="E137" s="29"/>
      <c r="F137" s="29"/>
      <c r="G137" s="88"/>
      <c r="H137" s="29"/>
      <c r="I137" s="29"/>
      <c r="J137" s="29"/>
    </row>
    <row r="138">
      <c r="A138" s="29"/>
      <c r="B138" s="29"/>
      <c r="C138" s="29"/>
      <c r="D138" s="29"/>
      <c r="E138" s="29"/>
      <c r="F138" s="29"/>
      <c r="G138" s="88"/>
      <c r="H138" s="29"/>
      <c r="I138" s="29"/>
      <c r="J138" s="29"/>
    </row>
    <row r="139">
      <c r="A139" s="29"/>
      <c r="B139" s="29"/>
      <c r="C139" s="29"/>
      <c r="D139" s="29"/>
      <c r="E139" s="29"/>
      <c r="F139" s="29"/>
      <c r="G139" s="88"/>
      <c r="H139" s="29"/>
      <c r="I139" s="29"/>
      <c r="J139" s="29"/>
    </row>
    <row r="140">
      <c r="A140" s="29"/>
      <c r="B140" s="29"/>
      <c r="C140" s="29"/>
      <c r="D140" s="29"/>
      <c r="E140" s="29"/>
      <c r="F140" s="29"/>
      <c r="G140" s="88"/>
      <c r="H140" s="29"/>
      <c r="I140" s="29"/>
      <c r="J140" s="29"/>
    </row>
    <row r="141">
      <c r="A141" s="29"/>
      <c r="B141" s="29"/>
      <c r="C141" s="29"/>
      <c r="D141" s="29"/>
      <c r="E141" s="29"/>
      <c r="F141" s="29"/>
      <c r="G141" s="88"/>
      <c r="H141" s="29"/>
      <c r="I141" s="29"/>
      <c r="J141" s="29"/>
    </row>
    <row r="142">
      <c r="A142" s="29"/>
      <c r="B142" s="29"/>
      <c r="C142" s="29"/>
      <c r="D142" s="29"/>
      <c r="E142" s="29"/>
      <c r="F142" s="29"/>
      <c r="G142" s="88"/>
      <c r="H142" s="29"/>
      <c r="I142" s="29"/>
      <c r="J142" s="29"/>
    </row>
    <row r="143">
      <c r="A143" s="29"/>
      <c r="B143" s="29"/>
      <c r="C143" s="29"/>
      <c r="D143" s="29"/>
      <c r="E143" s="29"/>
      <c r="F143" s="29"/>
      <c r="G143" s="88"/>
      <c r="H143" s="29"/>
      <c r="I143" s="29"/>
      <c r="J143" s="29"/>
    </row>
    <row r="144">
      <c r="A144" s="29"/>
      <c r="B144" s="29"/>
      <c r="C144" s="29"/>
      <c r="D144" s="29"/>
      <c r="E144" s="29"/>
      <c r="F144" s="29"/>
      <c r="G144" s="88"/>
      <c r="H144" s="29"/>
      <c r="I144" s="29"/>
      <c r="J144" s="29"/>
    </row>
    <row r="145">
      <c r="A145" s="29"/>
      <c r="B145" s="29"/>
      <c r="C145" s="29"/>
      <c r="D145" s="29"/>
      <c r="E145" s="29"/>
      <c r="F145" s="29"/>
      <c r="G145" s="88"/>
      <c r="H145" s="29"/>
      <c r="I145" s="29"/>
      <c r="J145" s="29"/>
    </row>
    <row r="146">
      <c r="A146" s="29"/>
      <c r="B146" s="29"/>
      <c r="C146" s="29"/>
      <c r="D146" s="29"/>
      <c r="E146" s="29"/>
      <c r="F146" s="29"/>
      <c r="G146" s="88"/>
      <c r="H146" s="29"/>
      <c r="I146" s="29"/>
      <c r="J146" s="29"/>
    </row>
    <row r="147">
      <c r="A147" s="29"/>
      <c r="B147" s="29"/>
      <c r="C147" s="29"/>
      <c r="D147" s="29"/>
      <c r="E147" s="29"/>
      <c r="F147" s="29"/>
      <c r="G147" s="88"/>
      <c r="H147" s="29"/>
      <c r="I147" s="29"/>
      <c r="J147" s="29"/>
    </row>
    <row r="148">
      <c r="A148" s="29"/>
      <c r="B148" s="29"/>
      <c r="C148" s="29"/>
      <c r="D148" s="29"/>
      <c r="E148" s="29"/>
      <c r="F148" s="29"/>
      <c r="G148" s="88"/>
      <c r="H148" s="29"/>
      <c r="I148" s="29"/>
      <c r="J148" s="29"/>
    </row>
    <row r="149">
      <c r="A149" s="29"/>
      <c r="B149" s="29"/>
      <c r="C149" s="29"/>
      <c r="D149" s="29"/>
      <c r="E149" s="29"/>
      <c r="F149" s="29"/>
      <c r="G149" s="88"/>
      <c r="H149" s="29"/>
      <c r="I149" s="29"/>
      <c r="J149" s="29"/>
    </row>
    <row r="150">
      <c r="A150" s="29"/>
      <c r="B150" s="29"/>
      <c r="C150" s="29"/>
      <c r="D150" s="29"/>
      <c r="E150" s="29"/>
      <c r="F150" s="29"/>
      <c r="G150" s="88"/>
      <c r="H150" s="29"/>
      <c r="I150" s="29"/>
      <c r="J150" s="29"/>
    </row>
    <row r="151">
      <c r="A151" s="29"/>
      <c r="B151" s="29"/>
      <c r="C151" s="29"/>
      <c r="D151" s="29"/>
      <c r="E151" s="29"/>
      <c r="F151" s="29"/>
      <c r="G151" s="88"/>
      <c r="H151" s="29"/>
      <c r="I151" s="29"/>
      <c r="J151" s="29"/>
    </row>
    <row r="152">
      <c r="A152" s="29"/>
      <c r="B152" s="29"/>
      <c r="C152" s="29"/>
      <c r="D152" s="29"/>
      <c r="E152" s="29"/>
      <c r="F152" s="29"/>
      <c r="G152" s="88"/>
      <c r="H152" s="29"/>
      <c r="I152" s="29"/>
      <c r="J152" s="29"/>
    </row>
    <row r="153">
      <c r="A153" s="29"/>
      <c r="B153" s="29"/>
      <c r="C153" s="29"/>
      <c r="D153" s="29"/>
      <c r="E153" s="29"/>
      <c r="F153" s="29"/>
      <c r="G153" s="88"/>
      <c r="H153" s="29"/>
      <c r="I153" s="29"/>
      <c r="J153" s="29"/>
    </row>
    <row r="154">
      <c r="A154" s="29"/>
      <c r="B154" s="29"/>
      <c r="C154" s="29"/>
      <c r="D154" s="29"/>
      <c r="E154" s="29"/>
      <c r="F154" s="29"/>
      <c r="G154" s="88"/>
      <c r="H154" s="29"/>
      <c r="I154" s="29"/>
      <c r="J154" s="29"/>
    </row>
    <row r="155">
      <c r="A155" s="29"/>
      <c r="B155" s="29"/>
      <c r="C155" s="29"/>
      <c r="D155" s="29"/>
      <c r="E155" s="29"/>
      <c r="F155" s="29"/>
      <c r="G155" s="88"/>
      <c r="H155" s="29"/>
      <c r="I155" s="29"/>
      <c r="J155" s="29"/>
    </row>
    <row r="156">
      <c r="A156" s="29"/>
      <c r="B156" s="29"/>
      <c r="C156" s="29"/>
      <c r="D156" s="29"/>
      <c r="E156" s="29"/>
      <c r="F156" s="29"/>
      <c r="G156" s="88"/>
      <c r="H156" s="29"/>
      <c r="I156" s="29"/>
      <c r="J156" s="29"/>
    </row>
    <row r="157">
      <c r="A157" s="29"/>
      <c r="B157" s="29"/>
      <c r="C157" s="29"/>
      <c r="D157" s="29"/>
      <c r="E157" s="29"/>
      <c r="F157" s="29"/>
      <c r="G157" s="88"/>
      <c r="H157" s="29"/>
      <c r="I157" s="29"/>
      <c r="J157" s="29"/>
    </row>
    <row r="158">
      <c r="A158" s="29"/>
      <c r="B158" s="29"/>
      <c r="C158" s="29"/>
      <c r="D158" s="29"/>
      <c r="E158" s="29"/>
      <c r="F158" s="29"/>
      <c r="G158" s="88"/>
      <c r="H158" s="29"/>
      <c r="I158" s="29"/>
      <c r="J158" s="29"/>
    </row>
    <row r="159">
      <c r="A159" s="29"/>
      <c r="B159" s="29"/>
      <c r="C159" s="29"/>
      <c r="D159" s="29"/>
      <c r="E159" s="29"/>
      <c r="F159" s="29"/>
      <c r="G159" s="88"/>
      <c r="H159" s="29"/>
      <c r="I159" s="29"/>
      <c r="J159" s="29"/>
    </row>
    <row r="160">
      <c r="A160" s="29"/>
      <c r="B160" s="29"/>
      <c r="C160" s="29"/>
      <c r="D160" s="29"/>
      <c r="E160" s="29"/>
      <c r="F160" s="29"/>
      <c r="G160" s="88"/>
      <c r="H160" s="29"/>
      <c r="I160" s="29"/>
      <c r="J160" s="29"/>
    </row>
    <row r="161">
      <c r="A161" s="29"/>
      <c r="B161" s="29"/>
      <c r="C161" s="29"/>
      <c r="D161" s="29"/>
      <c r="E161" s="29"/>
      <c r="F161" s="29"/>
      <c r="G161" s="88"/>
      <c r="H161" s="29"/>
      <c r="I161" s="29"/>
      <c r="J161" s="29"/>
    </row>
    <row r="162">
      <c r="A162" s="29"/>
      <c r="B162" s="29"/>
      <c r="C162" s="29"/>
      <c r="D162" s="29"/>
      <c r="E162" s="29"/>
      <c r="F162" s="29"/>
      <c r="G162" s="88"/>
      <c r="H162" s="29"/>
      <c r="I162" s="29"/>
      <c r="J162" s="29"/>
    </row>
    <row r="163">
      <c r="A163" s="29"/>
      <c r="B163" s="29"/>
      <c r="C163" s="29"/>
      <c r="D163" s="29"/>
      <c r="E163" s="29"/>
      <c r="F163" s="29"/>
      <c r="G163" s="88"/>
      <c r="H163" s="29"/>
      <c r="I163" s="29"/>
      <c r="J163" s="29"/>
    </row>
    <row r="164">
      <c r="A164" s="29"/>
      <c r="B164" s="29"/>
      <c r="C164" s="29"/>
      <c r="D164" s="29"/>
      <c r="E164" s="29"/>
      <c r="F164" s="29"/>
      <c r="G164" s="88"/>
      <c r="H164" s="29"/>
      <c r="I164" s="29"/>
      <c r="J164" s="29"/>
    </row>
    <row r="165">
      <c r="A165" s="29"/>
      <c r="B165" s="29"/>
      <c r="C165" s="29"/>
      <c r="D165" s="29"/>
      <c r="E165" s="29"/>
      <c r="F165" s="29"/>
      <c r="G165" s="88"/>
      <c r="H165" s="29"/>
      <c r="I165" s="29"/>
      <c r="J165" s="29"/>
    </row>
    <row r="166">
      <c r="A166" s="29"/>
      <c r="B166" s="29"/>
      <c r="C166" s="29"/>
      <c r="D166" s="29"/>
      <c r="E166" s="29"/>
      <c r="F166" s="29"/>
      <c r="G166" s="88"/>
      <c r="H166" s="29"/>
      <c r="I166" s="29"/>
      <c r="J166" s="29"/>
    </row>
    <row r="167">
      <c r="A167" s="29"/>
      <c r="B167" s="29"/>
      <c r="C167" s="29"/>
      <c r="D167" s="29"/>
      <c r="E167" s="29"/>
      <c r="F167" s="29"/>
      <c r="G167" s="88"/>
      <c r="H167" s="29"/>
      <c r="I167" s="29"/>
      <c r="J167" s="29"/>
    </row>
    <row r="168">
      <c r="A168" s="29"/>
      <c r="B168" s="29"/>
      <c r="C168" s="29"/>
      <c r="D168" s="29"/>
      <c r="E168" s="29"/>
      <c r="F168" s="29"/>
      <c r="G168" s="88"/>
      <c r="H168" s="29"/>
      <c r="I168" s="29"/>
      <c r="J168" s="29"/>
    </row>
    <row r="169">
      <c r="A169" s="29"/>
      <c r="B169" s="29"/>
      <c r="C169" s="29"/>
      <c r="D169" s="29"/>
      <c r="E169" s="29"/>
      <c r="F169" s="29"/>
      <c r="G169" s="88"/>
      <c r="H169" s="29"/>
      <c r="I169" s="29"/>
      <c r="J169" s="29"/>
    </row>
    <row r="170">
      <c r="A170" s="29"/>
      <c r="B170" s="29"/>
      <c r="C170" s="29"/>
      <c r="D170" s="29"/>
      <c r="E170" s="29"/>
      <c r="F170" s="29"/>
      <c r="G170" s="88"/>
      <c r="H170" s="29"/>
      <c r="I170" s="29"/>
      <c r="J170" s="29"/>
    </row>
    <row r="171">
      <c r="A171" s="29"/>
      <c r="B171" s="29"/>
      <c r="C171" s="29"/>
      <c r="D171" s="29"/>
      <c r="E171" s="29"/>
      <c r="F171" s="29"/>
      <c r="G171" s="88"/>
      <c r="H171" s="29"/>
      <c r="I171" s="29"/>
      <c r="J171" s="29"/>
    </row>
    <row r="172">
      <c r="A172" s="29"/>
      <c r="B172" s="29"/>
      <c r="C172" s="29"/>
      <c r="D172" s="29"/>
      <c r="E172" s="29"/>
      <c r="F172" s="29"/>
      <c r="G172" s="88"/>
      <c r="H172" s="29"/>
      <c r="I172" s="29"/>
      <c r="J172" s="29"/>
    </row>
    <row r="173">
      <c r="A173" s="29"/>
      <c r="B173" s="29"/>
      <c r="C173" s="29"/>
      <c r="D173" s="29"/>
      <c r="E173" s="29"/>
      <c r="F173" s="29"/>
      <c r="G173" s="88"/>
      <c r="H173" s="29"/>
      <c r="I173" s="29"/>
      <c r="J173" s="29"/>
    </row>
    <row r="174">
      <c r="A174" s="29"/>
      <c r="B174" s="29"/>
      <c r="C174" s="29"/>
      <c r="D174" s="29"/>
      <c r="E174" s="29"/>
      <c r="F174" s="29"/>
      <c r="G174" s="88"/>
      <c r="H174" s="29"/>
      <c r="I174" s="29"/>
      <c r="J174" s="29"/>
    </row>
    <row r="175">
      <c r="A175" s="29"/>
      <c r="B175" s="29"/>
      <c r="C175" s="29"/>
      <c r="D175" s="29"/>
      <c r="E175" s="29"/>
      <c r="F175" s="29"/>
      <c r="G175" s="88"/>
      <c r="H175" s="29"/>
      <c r="I175" s="29"/>
      <c r="J175" s="29"/>
    </row>
    <row r="176">
      <c r="A176" s="29"/>
      <c r="B176" s="29"/>
      <c r="C176" s="29"/>
      <c r="D176" s="29"/>
      <c r="E176" s="29"/>
      <c r="F176" s="29"/>
      <c r="G176" s="88"/>
      <c r="H176" s="29"/>
      <c r="I176" s="29"/>
      <c r="J176" s="29"/>
    </row>
    <row r="177">
      <c r="A177" s="29"/>
      <c r="B177" s="29"/>
      <c r="C177" s="29"/>
      <c r="D177" s="29"/>
      <c r="E177" s="29"/>
      <c r="F177" s="29"/>
      <c r="G177" s="88"/>
      <c r="H177" s="29"/>
      <c r="I177" s="29"/>
      <c r="J177" s="29"/>
    </row>
    <row r="178">
      <c r="A178" s="29"/>
      <c r="B178" s="29"/>
      <c r="C178" s="29"/>
      <c r="D178" s="29"/>
      <c r="E178" s="29"/>
      <c r="F178" s="29"/>
      <c r="G178" s="88"/>
      <c r="H178" s="29"/>
      <c r="I178" s="29"/>
      <c r="J178" s="29"/>
    </row>
    <row r="179">
      <c r="A179" s="29"/>
      <c r="B179" s="29"/>
      <c r="C179" s="29"/>
      <c r="D179" s="29"/>
      <c r="E179" s="29"/>
      <c r="F179" s="29"/>
      <c r="G179" s="88"/>
      <c r="H179" s="29"/>
      <c r="I179" s="29"/>
      <c r="J179" s="29"/>
    </row>
    <row r="180">
      <c r="A180" s="29"/>
      <c r="B180" s="29"/>
      <c r="C180" s="29"/>
      <c r="D180" s="29"/>
      <c r="E180" s="29"/>
      <c r="F180" s="29"/>
      <c r="G180" s="88"/>
      <c r="H180" s="29"/>
      <c r="I180" s="29"/>
      <c r="J180" s="29"/>
    </row>
    <row r="181">
      <c r="A181" s="29"/>
      <c r="B181" s="29"/>
      <c r="C181" s="29"/>
      <c r="D181" s="29"/>
      <c r="E181" s="29"/>
      <c r="F181" s="29"/>
      <c r="G181" s="88"/>
      <c r="H181" s="29"/>
      <c r="I181" s="29"/>
      <c r="J181" s="29"/>
    </row>
    <row r="182">
      <c r="A182" s="29"/>
      <c r="B182" s="29"/>
      <c r="C182" s="29"/>
      <c r="D182" s="29"/>
      <c r="E182" s="29"/>
      <c r="F182" s="29"/>
      <c r="G182" s="88"/>
      <c r="H182" s="29"/>
      <c r="I182" s="29"/>
      <c r="J182" s="29"/>
    </row>
    <row r="183">
      <c r="A183" s="29"/>
      <c r="B183" s="29"/>
      <c r="C183" s="29"/>
      <c r="D183" s="29"/>
      <c r="E183" s="29"/>
      <c r="F183" s="29"/>
      <c r="G183" s="88"/>
      <c r="H183" s="29"/>
      <c r="I183" s="29"/>
      <c r="J183" s="29"/>
    </row>
    <row r="184">
      <c r="A184" s="29"/>
      <c r="B184" s="29"/>
      <c r="C184" s="29"/>
      <c r="D184" s="29"/>
      <c r="E184" s="29"/>
      <c r="F184" s="29"/>
      <c r="G184" s="88"/>
      <c r="H184" s="29"/>
      <c r="I184" s="29"/>
      <c r="J184" s="29"/>
    </row>
    <row r="185">
      <c r="A185" s="29"/>
      <c r="B185" s="29"/>
      <c r="C185" s="29"/>
      <c r="D185" s="29"/>
      <c r="E185" s="29"/>
      <c r="F185" s="29"/>
      <c r="G185" s="88"/>
      <c r="H185" s="29"/>
      <c r="I185" s="29"/>
      <c r="J185" s="29"/>
    </row>
    <row r="186">
      <c r="A186" s="29"/>
      <c r="B186" s="29"/>
      <c r="C186" s="29"/>
      <c r="D186" s="29"/>
      <c r="E186" s="29"/>
      <c r="F186" s="29"/>
      <c r="G186" s="88"/>
      <c r="H186" s="29"/>
      <c r="I186" s="29"/>
      <c r="J186" s="29"/>
    </row>
    <row r="187">
      <c r="A187" s="29"/>
      <c r="B187" s="29"/>
      <c r="C187" s="29"/>
      <c r="D187" s="29"/>
      <c r="E187" s="29"/>
      <c r="F187" s="29"/>
      <c r="G187" s="88"/>
      <c r="H187" s="29"/>
      <c r="I187" s="29"/>
      <c r="J187" s="29"/>
    </row>
    <row r="188">
      <c r="A188" s="29"/>
      <c r="B188" s="29"/>
      <c r="C188" s="29"/>
      <c r="D188" s="29"/>
      <c r="E188" s="29"/>
      <c r="F188" s="29"/>
      <c r="G188" s="88"/>
      <c r="H188" s="29"/>
      <c r="I188" s="29"/>
      <c r="J188" s="29"/>
    </row>
    <row r="189">
      <c r="A189" s="29"/>
      <c r="B189" s="29"/>
      <c r="C189" s="29"/>
      <c r="D189" s="29"/>
      <c r="E189" s="29"/>
      <c r="F189" s="29"/>
      <c r="G189" s="88"/>
      <c r="H189" s="29"/>
      <c r="I189" s="29"/>
      <c r="J189" s="29"/>
    </row>
    <row r="190">
      <c r="A190" s="29"/>
      <c r="B190" s="29"/>
      <c r="C190" s="29"/>
      <c r="D190" s="29"/>
      <c r="E190" s="29"/>
      <c r="F190" s="29"/>
      <c r="G190" s="88"/>
      <c r="H190" s="29"/>
      <c r="I190" s="29"/>
      <c r="J190" s="29"/>
    </row>
    <row r="191">
      <c r="A191" s="29"/>
      <c r="B191" s="29"/>
      <c r="C191" s="29"/>
      <c r="D191" s="29"/>
      <c r="E191" s="29"/>
      <c r="F191" s="29"/>
      <c r="G191" s="88"/>
      <c r="H191" s="29"/>
      <c r="I191" s="29"/>
      <c r="J191" s="29"/>
    </row>
    <row r="192">
      <c r="A192" s="29"/>
      <c r="B192" s="29"/>
      <c r="C192" s="29"/>
      <c r="D192" s="29"/>
      <c r="E192" s="29"/>
      <c r="F192" s="29"/>
      <c r="G192" s="88"/>
      <c r="H192" s="29"/>
      <c r="I192" s="29"/>
      <c r="J192" s="29"/>
    </row>
    <row r="193">
      <c r="A193" s="29"/>
      <c r="B193" s="29"/>
      <c r="C193" s="29"/>
      <c r="D193" s="29"/>
      <c r="E193" s="29"/>
      <c r="F193" s="29"/>
      <c r="G193" s="88"/>
      <c r="H193" s="29"/>
      <c r="I193" s="29"/>
      <c r="J193" s="29"/>
    </row>
    <row r="194">
      <c r="A194" s="29"/>
      <c r="B194" s="29"/>
      <c r="C194" s="29"/>
      <c r="D194" s="29"/>
      <c r="E194" s="29"/>
      <c r="F194" s="29"/>
      <c r="G194" s="88"/>
      <c r="H194" s="29"/>
      <c r="I194" s="29"/>
      <c r="J194" s="29"/>
    </row>
    <row r="195">
      <c r="A195" s="29"/>
      <c r="B195" s="29"/>
      <c r="C195" s="29"/>
      <c r="D195" s="29"/>
      <c r="E195" s="29"/>
      <c r="F195" s="29"/>
      <c r="G195" s="88"/>
      <c r="H195" s="29"/>
      <c r="I195" s="29"/>
      <c r="J195" s="29"/>
    </row>
    <row r="196">
      <c r="A196" s="29"/>
      <c r="B196" s="29"/>
      <c r="C196" s="29"/>
      <c r="D196" s="29"/>
      <c r="E196" s="29"/>
      <c r="F196" s="29"/>
      <c r="G196" s="88"/>
      <c r="H196" s="29"/>
      <c r="I196" s="29"/>
      <c r="J196" s="29"/>
    </row>
    <row r="197">
      <c r="A197" s="29"/>
      <c r="B197" s="29"/>
      <c r="C197" s="29"/>
      <c r="D197" s="29"/>
      <c r="E197" s="29"/>
      <c r="F197" s="29"/>
      <c r="G197" s="88"/>
      <c r="H197" s="29"/>
      <c r="I197" s="29"/>
      <c r="J197" s="29"/>
    </row>
    <row r="198">
      <c r="A198" s="29"/>
      <c r="B198" s="29"/>
      <c r="C198" s="29"/>
      <c r="D198" s="29"/>
      <c r="E198" s="29"/>
      <c r="F198" s="29"/>
      <c r="G198" s="88"/>
      <c r="H198" s="29"/>
      <c r="I198" s="29"/>
      <c r="J198" s="29"/>
    </row>
    <row r="199">
      <c r="A199" s="29"/>
      <c r="B199" s="29"/>
      <c r="C199" s="29"/>
      <c r="D199" s="29"/>
      <c r="E199" s="29"/>
      <c r="F199" s="29"/>
      <c r="G199" s="88"/>
      <c r="H199" s="29"/>
      <c r="I199" s="29"/>
      <c r="J199" s="29"/>
    </row>
    <row r="200">
      <c r="A200" s="29"/>
      <c r="B200" s="29"/>
      <c r="C200" s="29"/>
      <c r="D200" s="29"/>
      <c r="E200" s="29"/>
      <c r="F200" s="29"/>
      <c r="G200" s="88"/>
      <c r="H200" s="29"/>
      <c r="I200" s="29"/>
      <c r="J200" s="29"/>
    </row>
    <row r="201">
      <c r="A201" s="29"/>
      <c r="B201" s="29"/>
      <c r="C201" s="29"/>
      <c r="D201" s="29"/>
      <c r="E201" s="29"/>
      <c r="F201" s="29"/>
      <c r="G201" s="88"/>
      <c r="H201" s="29"/>
      <c r="I201" s="29"/>
      <c r="J201" s="29"/>
    </row>
    <row r="202">
      <c r="A202" s="29"/>
      <c r="B202" s="29"/>
      <c r="C202" s="29"/>
      <c r="D202" s="29"/>
      <c r="E202" s="29"/>
      <c r="F202" s="29"/>
      <c r="G202" s="88"/>
      <c r="H202" s="29"/>
      <c r="I202" s="29"/>
      <c r="J202" s="29"/>
    </row>
    <row r="203">
      <c r="A203" s="29"/>
      <c r="B203" s="29"/>
      <c r="C203" s="29"/>
      <c r="D203" s="29"/>
      <c r="E203" s="29"/>
      <c r="F203" s="29"/>
      <c r="G203" s="88"/>
      <c r="H203" s="29"/>
      <c r="I203" s="29"/>
      <c r="J203" s="29"/>
    </row>
    <row r="204">
      <c r="A204" s="29"/>
      <c r="B204" s="29"/>
      <c r="C204" s="29"/>
      <c r="D204" s="29"/>
      <c r="E204" s="29"/>
      <c r="F204" s="29"/>
      <c r="G204" s="88"/>
      <c r="H204" s="29"/>
      <c r="I204" s="29"/>
      <c r="J204" s="29"/>
    </row>
    <row r="205">
      <c r="A205" s="29"/>
      <c r="B205" s="29"/>
      <c r="C205" s="29"/>
      <c r="D205" s="29"/>
      <c r="E205" s="29"/>
      <c r="F205" s="29"/>
      <c r="G205" s="88"/>
      <c r="H205" s="29"/>
      <c r="I205" s="29"/>
      <c r="J205" s="29"/>
    </row>
    <row r="206">
      <c r="A206" s="29"/>
      <c r="B206" s="29"/>
      <c r="C206" s="29"/>
      <c r="D206" s="29"/>
      <c r="E206" s="29"/>
      <c r="F206" s="29"/>
      <c r="G206" s="88"/>
      <c r="H206" s="29"/>
      <c r="I206" s="29"/>
      <c r="J206" s="29"/>
    </row>
    <row r="207">
      <c r="A207" s="29"/>
      <c r="B207" s="29"/>
      <c r="C207" s="29"/>
      <c r="D207" s="29"/>
      <c r="E207" s="29"/>
      <c r="F207" s="29"/>
      <c r="G207" s="88"/>
      <c r="H207" s="29"/>
      <c r="I207" s="29"/>
      <c r="J207" s="29"/>
    </row>
    <row r="208">
      <c r="A208" s="29"/>
      <c r="B208" s="29"/>
      <c r="C208" s="29"/>
      <c r="D208" s="29"/>
      <c r="E208" s="29"/>
      <c r="F208" s="29"/>
      <c r="G208" s="88"/>
      <c r="H208" s="29"/>
      <c r="I208" s="29"/>
      <c r="J208" s="29"/>
    </row>
    <row r="209">
      <c r="A209" s="29"/>
      <c r="B209" s="29"/>
      <c r="C209" s="29"/>
      <c r="D209" s="29"/>
      <c r="E209" s="29"/>
      <c r="F209" s="29"/>
      <c r="G209" s="88"/>
      <c r="H209" s="29"/>
      <c r="I209" s="29"/>
      <c r="J209" s="29"/>
    </row>
    <row r="210">
      <c r="A210" s="29"/>
      <c r="B210" s="29"/>
      <c r="C210" s="29"/>
      <c r="D210" s="29"/>
      <c r="E210" s="29"/>
      <c r="F210" s="29"/>
      <c r="G210" s="88"/>
      <c r="H210" s="29"/>
      <c r="I210" s="29"/>
      <c r="J210" s="29"/>
    </row>
    <row r="211">
      <c r="A211" s="29"/>
      <c r="B211" s="29"/>
      <c r="C211" s="29"/>
      <c r="D211" s="29"/>
      <c r="E211" s="29"/>
      <c r="F211" s="29"/>
      <c r="G211" s="88"/>
      <c r="H211" s="29"/>
      <c r="I211" s="29"/>
      <c r="J211" s="29"/>
    </row>
    <row r="212">
      <c r="A212" s="29"/>
      <c r="B212" s="29"/>
      <c r="C212" s="29"/>
      <c r="D212" s="29"/>
      <c r="E212" s="29"/>
      <c r="F212" s="29"/>
      <c r="G212" s="88"/>
      <c r="H212" s="29"/>
      <c r="I212" s="29"/>
      <c r="J212" s="29"/>
    </row>
    <row r="213">
      <c r="A213" s="29"/>
      <c r="B213" s="29"/>
      <c r="C213" s="29"/>
      <c r="D213" s="29"/>
      <c r="E213" s="29"/>
      <c r="F213" s="29"/>
      <c r="G213" s="88"/>
      <c r="H213" s="29"/>
      <c r="I213" s="29"/>
      <c r="J213" s="29"/>
    </row>
    <row r="214">
      <c r="A214" s="29"/>
      <c r="B214" s="29"/>
      <c r="C214" s="29"/>
      <c r="D214" s="29"/>
      <c r="E214" s="29"/>
      <c r="F214" s="29"/>
      <c r="G214" s="88"/>
      <c r="H214" s="29"/>
      <c r="I214" s="29"/>
      <c r="J214" s="29"/>
    </row>
    <row r="215">
      <c r="A215" s="29"/>
      <c r="B215" s="29"/>
      <c r="C215" s="29"/>
      <c r="D215" s="29"/>
      <c r="E215" s="29"/>
      <c r="F215" s="29"/>
      <c r="G215" s="88"/>
      <c r="H215" s="29"/>
      <c r="I215" s="29"/>
      <c r="J215" s="29"/>
    </row>
    <row r="216">
      <c r="A216" s="29"/>
      <c r="B216" s="29"/>
      <c r="C216" s="29"/>
      <c r="D216" s="29"/>
      <c r="E216" s="29"/>
      <c r="F216" s="29"/>
      <c r="G216" s="88"/>
      <c r="H216" s="29"/>
      <c r="I216" s="29"/>
      <c r="J216" s="29"/>
    </row>
    <row r="217">
      <c r="A217" s="29"/>
      <c r="B217" s="29"/>
      <c r="C217" s="29"/>
      <c r="D217" s="29"/>
      <c r="E217" s="29"/>
      <c r="F217" s="29"/>
      <c r="G217" s="88"/>
      <c r="H217" s="29"/>
      <c r="I217" s="29"/>
      <c r="J217" s="29"/>
    </row>
    <row r="218">
      <c r="A218" s="29"/>
      <c r="B218" s="29"/>
      <c r="C218" s="29"/>
      <c r="D218" s="29"/>
      <c r="E218" s="29"/>
      <c r="F218" s="29"/>
      <c r="G218" s="88"/>
      <c r="H218" s="29"/>
      <c r="I218" s="29"/>
      <c r="J218" s="29"/>
    </row>
    <row r="219">
      <c r="A219" s="29"/>
      <c r="B219" s="29"/>
      <c r="C219" s="29"/>
      <c r="D219" s="29"/>
      <c r="E219" s="29"/>
      <c r="F219" s="29"/>
      <c r="G219" s="88"/>
      <c r="H219" s="29"/>
      <c r="I219" s="29"/>
      <c r="J219" s="29"/>
    </row>
    <row r="220">
      <c r="A220" s="29"/>
      <c r="B220" s="29"/>
      <c r="C220" s="29"/>
      <c r="D220" s="29"/>
      <c r="E220" s="29"/>
      <c r="F220" s="29"/>
      <c r="G220" s="88"/>
      <c r="H220" s="29"/>
      <c r="I220" s="29"/>
      <c r="J220" s="29"/>
    </row>
    <row r="221">
      <c r="A221" s="29"/>
      <c r="B221" s="29"/>
      <c r="C221" s="29"/>
      <c r="D221" s="29"/>
      <c r="E221" s="29"/>
      <c r="F221" s="29"/>
      <c r="G221" s="88"/>
      <c r="H221" s="29"/>
      <c r="I221" s="29"/>
      <c r="J221" s="29"/>
    </row>
    <row r="222">
      <c r="A222" s="29"/>
      <c r="B222" s="29"/>
      <c r="C222" s="29"/>
      <c r="D222" s="29"/>
      <c r="E222" s="29"/>
      <c r="F222" s="29"/>
      <c r="G222" s="88"/>
      <c r="H222" s="29"/>
      <c r="I222" s="29"/>
      <c r="J222" s="29"/>
    </row>
    <row r="223">
      <c r="A223" s="29"/>
      <c r="B223" s="29"/>
      <c r="C223" s="29"/>
      <c r="D223" s="29"/>
      <c r="E223" s="29"/>
      <c r="F223" s="29"/>
      <c r="G223" s="88"/>
      <c r="H223" s="29"/>
      <c r="I223" s="29"/>
      <c r="J223" s="29"/>
    </row>
    <row r="224">
      <c r="A224" s="29"/>
      <c r="B224" s="29"/>
      <c r="C224" s="29"/>
      <c r="D224" s="29"/>
      <c r="E224" s="29"/>
      <c r="F224" s="29"/>
      <c r="G224" s="88"/>
      <c r="H224" s="29"/>
      <c r="I224" s="29"/>
      <c r="J224" s="29"/>
    </row>
    <row r="225">
      <c r="A225" s="29"/>
      <c r="B225" s="29"/>
      <c r="C225" s="29"/>
      <c r="D225" s="29"/>
      <c r="E225" s="29"/>
      <c r="F225" s="29"/>
      <c r="G225" s="88"/>
      <c r="H225" s="29"/>
      <c r="I225" s="29"/>
      <c r="J225" s="29"/>
    </row>
    <row r="226">
      <c r="A226" s="29"/>
      <c r="B226" s="29"/>
      <c r="C226" s="29"/>
      <c r="D226" s="29"/>
      <c r="E226" s="29"/>
      <c r="F226" s="29"/>
      <c r="G226" s="88"/>
      <c r="H226" s="29"/>
      <c r="I226" s="29"/>
      <c r="J226" s="29"/>
    </row>
    <row r="227">
      <c r="A227" s="29"/>
      <c r="B227" s="29"/>
      <c r="C227" s="29"/>
      <c r="D227" s="29"/>
      <c r="E227" s="29"/>
      <c r="F227" s="29"/>
      <c r="G227" s="88"/>
      <c r="H227" s="29"/>
      <c r="I227" s="29"/>
      <c r="J227" s="29"/>
    </row>
    <row r="228">
      <c r="A228" s="29"/>
      <c r="B228" s="29"/>
      <c r="C228" s="29"/>
      <c r="D228" s="29"/>
      <c r="E228" s="29"/>
      <c r="F228" s="29"/>
      <c r="G228" s="88"/>
      <c r="H228" s="29"/>
      <c r="I228" s="29"/>
      <c r="J228" s="29"/>
    </row>
    <row r="229">
      <c r="A229" s="29"/>
      <c r="B229" s="29"/>
      <c r="C229" s="29"/>
      <c r="D229" s="29"/>
      <c r="E229" s="29"/>
      <c r="F229" s="29"/>
      <c r="G229" s="88"/>
      <c r="H229" s="29"/>
      <c r="I229" s="29"/>
      <c r="J229" s="29"/>
    </row>
    <row r="230">
      <c r="A230" s="29"/>
      <c r="B230" s="29"/>
      <c r="C230" s="29"/>
      <c r="D230" s="29"/>
      <c r="E230" s="29"/>
      <c r="F230" s="29"/>
      <c r="G230" s="88"/>
      <c r="H230" s="29"/>
      <c r="I230" s="29"/>
      <c r="J230" s="29"/>
    </row>
    <row r="231">
      <c r="A231" s="29"/>
      <c r="B231" s="29"/>
      <c r="C231" s="29"/>
      <c r="D231" s="29"/>
      <c r="E231" s="29"/>
      <c r="F231" s="29"/>
      <c r="G231" s="88"/>
      <c r="H231" s="29"/>
      <c r="I231" s="29"/>
      <c r="J231" s="29"/>
    </row>
    <row r="232">
      <c r="A232" s="29"/>
      <c r="B232" s="29"/>
      <c r="C232" s="29"/>
      <c r="D232" s="29"/>
      <c r="E232" s="29"/>
      <c r="F232" s="29"/>
      <c r="G232" s="88"/>
      <c r="H232" s="29"/>
      <c r="I232" s="29"/>
      <c r="J232" s="29"/>
    </row>
    <row r="233">
      <c r="A233" s="29"/>
      <c r="B233" s="29"/>
      <c r="C233" s="29"/>
      <c r="D233" s="29"/>
      <c r="E233" s="29"/>
      <c r="F233" s="29"/>
      <c r="G233" s="88"/>
      <c r="H233" s="29"/>
      <c r="I233" s="29"/>
      <c r="J233" s="29"/>
    </row>
    <row r="234">
      <c r="A234" s="29"/>
      <c r="B234" s="29"/>
      <c r="C234" s="29"/>
      <c r="D234" s="29"/>
      <c r="E234" s="29"/>
      <c r="F234" s="29"/>
      <c r="G234" s="88"/>
      <c r="H234" s="29"/>
      <c r="I234" s="29"/>
      <c r="J234" s="29"/>
    </row>
    <row r="235">
      <c r="A235" s="29"/>
      <c r="B235" s="29"/>
      <c r="C235" s="29"/>
      <c r="D235" s="29"/>
      <c r="E235" s="29"/>
      <c r="F235" s="29"/>
      <c r="G235" s="88"/>
      <c r="H235" s="29"/>
      <c r="I235" s="29"/>
      <c r="J235" s="29"/>
    </row>
    <row r="236">
      <c r="A236" s="29"/>
      <c r="B236" s="29"/>
      <c r="C236" s="29"/>
      <c r="D236" s="29"/>
      <c r="E236" s="29"/>
      <c r="F236" s="29"/>
      <c r="G236" s="88"/>
      <c r="H236" s="29"/>
      <c r="I236" s="29"/>
      <c r="J236" s="29"/>
    </row>
    <row r="237">
      <c r="A237" s="29"/>
      <c r="B237" s="29"/>
      <c r="C237" s="29"/>
      <c r="D237" s="29"/>
      <c r="E237" s="29"/>
      <c r="F237" s="29"/>
      <c r="G237" s="88"/>
      <c r="H237" s="29"/>
      <c r="I237" s="29"/>
      <c r="J237" s="29"/>
    </row>
    <row r="238">
      <c r="A238" s="29"/>
      <c r="B238" s="29"/>
      <c r="C238" s="29"/>
      <c r="D238" s="29"/>
      <c r="E238" s="29"/>
      <c r="F238" s="29"/>
      <c r="G238" s="88"/>
      <c r="H238" s="29"/>
      <c r="I238" s="29"/>
      <c r="J238" s="29"/>
    </row>
    <row r="239">
      <c r="A239" s="29"/>
      <c r="B239" s="29"/>
      <c r="C239" s="29"/>
      <c r="D239" s="29"/>
      <c r="E239" s="29"/>
      <c r="F239" s="29"/>
      <c r="G239" s="88"/>
      <c r="H239" s="29"/>
      <c r="I239" s="29"/>
      <c r="J239" s="29"/>
    </row>
    <row r="240">
      <c r="A240" s="29"/>
      <c r="B240" s="29"/>
      <c r="C240" s="29"/>
      <c r="D240" s="29"/>
      <c r="E240" s="29"/>
      <c r="F240" s="29"/>
      <c r="G240" s="88"/>
      <c r="H240" s="29"/>
      <c r="I240" s="29"/>
      <c r="J240" s="29"/>
    </row>
    <row r="241">
      <c r="A241" s="29"/>
      <c r="B241" s="29"/>
      <c r="C241" s="29"/>
      <c r="D241" s="29"/>
      <c r="E241" s="29"/>
      <c r="F241" s="29"/>
      <c r="G241" s="88"/>
      <c r="H241" s="29"/>
      <c r="I241" s="29"/>
      <c r="J241" s="29"/>
    </row>
    <row r="242">
      <c r="A242" s="29"/>
      <c r="B242" s="29"/>
      <c r="C242" s="29"/>
      <c r="D242" s="29"/>
      <c r="E242" s="29"/>
      <c r="F242" s="29"/>
      <c r="G242" s="88"/>
      <c r="H242" s="29"/>
      <c r="I242" s="29"/>
      <c r="J242" s="29"/>
    </row>
    <row r="243">
      <c r="A243" s="29"/>
      <c r="B243" s="29"/>
      <c r="C243" s="29"/>
      <c r="D243" s="29"/>
      <c r="E243" s="29"/>
      <c r="F243" s="29"/>
      <c r="G243" s="88"/>
      <c r="H243" s="29"/>
      <c r="I243" s="29"/>
      <c r="J243" s="29"/>
    </row>
    <row r="244">
      <c r="A244" s="29"/>
      <c r="B244" s="29"/>
      <c r="C244" s="29"/>
      <c r="D244" s="29"/>
      <c r="E244" s="29"/>
      <c r="F244" s="29"/>
      <c r="G244" s="88"/>
      <c r="H244" s="29"/>
      <c r="I244" s="29"/>
      <c r="J244" s="29"/>
    </row>
    <row r="245">
      <c r="A245" s="29"/>
      <c r="B245" s="29"/>
      <c r="C245" s="29"/>
      <c r="D245" s="29"/>
      <c r="E245" s="29"/>
      <c r="F245" s="29"/>
      <c r="G245" s="88"/>
      <c r="H245" s="29"/>
      <c r="I245" s="29"/>
      <c r="J245" s="29"/>
    </row>
    <row r="246">
      <c r="A246" s="29"/>
      <c r="B246" s="29"/>
      <c r="C246" s="29"/>
      <c r="D246" s="29"/>
      <c r="E246" s="29"/>
      <c r="F246" s="29"/>
      <c r="G246" s="88"/>
      <c r="H246" s="29"/>
      <c r="I246" s="29"/>
      <c r="J246" s="29"/>
    </row>
    <row r="247">
      <c r="A247" s="29"/>
      <c r="B247" s="29"/>
      <c r="C247" s="29"/>
      <c r="D247" s="29"/>
      <c r="E247" s="29"/>
      <c r="F247" s="29"/>
      <c r="G247" s="88"/>
      <c r="H247" s="29"/>
      <c r="I247" s="29"/>
      <c r="J247" s="29"/>
    </row>
    <row r="248">
      <c r="A248" s="29"/>
      <c r="B248" s="29"/>
      <c r="C248" s="29"/>
      <c r="D248" s="29"/>
      <c r="E248" s="29"/>
      <c r="F248" s="29"/>
      <c r="G248" s="88"/>
      <c r="H248" s="29"/>
      <c r="I248" s="29"/>
      <c r="J248" s="29"/>
    </row>
    <row r="249">
      <c r="A249" s="29"/>
      <c r="B249" s="29"/>
      <c r="C249" s="29"/>
      <c r="D249" s="29"/>
      <c r="E249" s="29"/>
      <c r="F249" s="29"/>
      <c r="G249" s="88"/>
      <c r="H249" s="29"/>
      <c r="I249" s="29"/>
      <c r="J249" s="29"/>
    </row>
    <row r="250">
      <c r="A250" s="29"/>
      <c r="B250" s="29"/>
      <c r="C250" s="29"/>
      <c r="D250" s="29"/>
      <c r="E250" s="29"/>
      <c r="F250" s="29"/>
      <c r="G250" s="88"/>
      <c r="H250" s="29"/>
      <c r="I250" s="29"/>
      <c r="J250" s="29"/>
    </row>
    <row r="251">
      <c r="A251" s="29"/>
      <c r="B251" s="29"/>
      <c r="C251" s="29"/>
      <c r="D251" s="29"/>
      <c r="E251" s="29"/>
      <c r="F251" s="29"/>
      <c r="G251" s="88"/>
      <c r="H251" s="29"/>
      <c r="I251" s="29"/>
      <c r="J251" s="29"/>
    </row>
    <row r="252">
      <c r="A252" s="29"/>
      <c r="B252" s="29"/>
      <c r="C252" s="29"/>
      <c r="D252" s="29"/>
      <c r="E252" s="29"/>
      <c r="F252" s="29"/>
      <c r="G252" s="88"/>
      <c r="H252" s="29"/>
      <c r="I252" s="29"/>
      <c r="J252" s="29"/>
    </row>
    <row r="253">
      <c r="A253" s="29"/>
      <c r="B253" s="29"/>
      <c r="C253" s="29"/>
      <c r="D253" s="29"/>
      <c r="E253" s="29"/>
      <c r="F253" s="29"/>
      <c r="G253" s="88"/>
      <c r="H253" s="29"/>
      <c r="I253" s="29"/>
      <c r="J253" s="29"/>
    </row>
    <row r="254">
      <c r="A254" s="29"/>
      <c r="B254" s="29"/>
      <c r="C254" s="29"/>
      <c r="D254" s="29"/>
      <c r="E254" s="29"/>
      <c r="F254" s="29"/>
      <c r="G254" s="88"/>
      <c r="H254" s="29"/>
      <c r="I254" s="29"/>
      <c r="J254" s="29"/>
    </row>
    <row r="255">
      <c r="A255" s="29"/>
      <c r="B255" s="29"/>
      <c r="C255" s="29"/>
      <c r="D255" s="29"/>
      <c r="E255" s="29"/>
      <c r="F255" s="29"/>
      <c r="G255" s="88"/>
      <c r="H255" s="29"/>
      <c r="I255" s="29"/>
      <c r="J255" s="29"/>
    </row>
    <row r="256">
      <c r="A256" s="29"/>
      <c r="B256" s="29"/>
      <c r="C256" s="29"/>
      <c r="D256" s="29"/>
      <c r="E256" s="29"/>
      <c r="F256" s="29"/>
      <c r="G256" s="88"/>
      <c r="H256" s="29"/>
      <c r="I256" s="29"/>
      <c r="J256" s="29"/>
    </row>
    <row r="257">
      <c r="A257" s="29"/>
      <c r="B257" s="29"/>
      <c r="C257" s="29"/>
      <c r="D257" s="29"/>
      <c r="E257" s="29"/>
      <c r="F257" s="29"/>
      <c r="G257" s="88"/>
      <c r="H257" s="29"/>
      <c r="I257" s="29"/>
      <c r="J257" s="29"/>
    </row>
    <row r="258">
      <c r="A258" s="29"/>
      <c r="B258" s="29"/>
      <c r="C258" s="29"/>
      <c r="D258" s="29"/>
      <c r="E258" s="29"/>
      <c r="F258" s="29"/>
      <c r="G258" s="88"/>
      <c r="H258" s="29"/>
      <c r="I258" s="29"/>
      <c r="J258" s="29"/>
    </row>
    <row r="259">
      <c r="A259" s="29"/>
      <c r="B259" s="29"/>
      <c r="C259" s="29"/>
      <c r="D259" s="29"/>
      <c r="E259" s="29"/>
      <c r="F259" s="29"/>
      <c r="G259" s="88"/>
      <c r="H259" s="29"/>
      <c r="I259" s="29"/>
      <c r="J259" s="29"/>
    </row>
    <row r="260">
      <c r="A260" s="29"/>
      <c r="B260" s="29"/>
      <c r="C260" s="29"/>
      <c r="D260" s="29"/>
      <c r="E260" s="29"/>
      <c r="F260" s="29"/>
      <c r="G260" s="88"/>
      <c r="H260" s="29"/>
      <c r="I260" s="29"/>
      <c r="J260" s="29"/>
    </row>
    <row r="261">
      <c r="A261" s="29"/>
      <c r="B261" s="29"/>
      <c r="C261" s="29"/>
      <c r="D261" s="29"/>
      <c r="E261" s="29"/>
      <c r="F261" s="29"/>
      <c r="G261" s="88"/>
      <c r="H261" s="29"/>
      <c r="I261" s="29"/>
      <c r="J261" s="29"/>
    </row>
    <row r="262">
      <c r="A262" s="29"/>
      <c r="B262" s="29"/>
      <c r="C262" s="29"/>
      <c r="D262" s="29"/>
      <c r="E262" s="29"/>
      <c r="F262" s="29"/>
      <c r="G262" s="88"/>
      <c r="H262" s="29"/>
      <c r="I262" s="29"/>
      <c r="J262" s="29"/>
    </row>
    <row r="263">
      <c r="A263" s="29"/>
      <c r="B263" s="29"/>
      <c r="C263" s="29"/>
      <c r="D263" s="29"/>
      <c r="E263" s="29"/>
      <c r="F263" s="29"/>
      <c r="G263" s="88"/>
      <c r="H263" s="29"/>
      <c r="I263" s="29"/>
      <c r="J263" s="29"/>
    </row>
    <row r="264">
      <c r="A264" s="29"/>
      <c r="B264" s="29"/>
      <c r="C264" s="29"/>
      <c r="D264" s="29"/>
      <c r="E264" s="29"/>
      <c r="F264" s="29"/>
      <c r="G264" s="88"/>
      <c r="H264" s="29"/>
      <c r="I264" s="29"/>
      <c r="J264" s="29"/>
    </row>
    <row r="265">
      <c r="A265" s="29"/>
      <c r="B265" s="29"/>
      <c r="C265" s="29"/>
      <c r="D265" s="29"/>
      <c r="E265" s="29"/>
      <c r="F265" s="29"/>
      <c r="G265" s="88"/>
      <c r="H265" s="29"/>
      <c r="I265" s="29"/>
      <c r="J265" s="29"/>
    </row>
    <row r="266">
      <c r="A266" s="29"/>
      <c r="B266" s="29"/>
      <c r="C266" s="29"/>
      <c r="D266" s="29"/>
      <c r="E266" s="29"/>
      <c r="F266" s="29"/>
      <c r="G266" s="88"/>
      <c r="H266" s="29"/>
      <c r="I266" s="29"/>
      <c r="J266" s="29"/>
    </row>
    <row r="267">
      <c r="A267" s="29"/>
      <c r="B267" s="29"/>
      <c r="C267" s="29"/>
      <c r="D267" s="29"/>
      <c r="E267" s="29"/>
      <c r="F267" s="29"/>
      <c r="G267" s="88"/>
      <c r="H267" s="29"/>
      <c r="I267" s="29"/>
      <c r="J267" s="29"/>
    </row>
    <row r="268">
      <c r="A268" s="29"/>
      <c r="B268" s="29"/>
      <c r="C268" s="29"/>
      <c r="D268" s="29"/>
      <c r="E268" s="29"/>
      <c r="F268" s="29"/>
      <c r="G268" s="88"/>
      <c r="H268" s="29"/>
      <c r="I268" s="29"/>
      <c r="J268" s="29"/>
    </row>
    <row r="269">
      <c r="A269" s="29"/>
      <c r="B269" s="29"/>
      <c r="C269" s="29"/>
      <c r="D269" s="29"/>
      <c r="E269" s="29"/>
      <c r="F269" s="29"/>
      <c r="G269" s="88"/>
      <c r="H269" s="29"/>
      <c r="I269" s="29"/>
      <c r="J269" s="29"/>
    </row>
    <row r="270">
      <c r="A270" s="29"/>
      <c r="B270" s="29"/>
      <c r="C270" s="29"/>
      <c r="D270" s="29"/>
      <c r="E270" s="29"/>
      <c r="F270" s="29"/>
      <c r="G270" s="88"/>
      <c r="H270" s="29"/>
      <c r="I270" s="29"/>
      <c r="J270" s="29"/>
    </row>
    <row r="271">
      <c r="A271" s="29"/>
      <c r="B271" s="29"/>
      <c r="C271" s="29"/>
      <c r="D271" s="29"/>
      <c r="E271" s="29"/>
      <c r="F271" s="29"/>
      <c r="G271" s="88"/>
      <c r="H271" s="29"/>
      <c r="I271" s="29"/>
      <c r="J271" s="29"/>
    </row>
    <row r="272">
      <c r="A272" s="29"/>
      <c r="B272" s="29"/>
      <c r="C272" s="29"/>
      <c r="D272" s="29"/>
      <c r="E272" s="29"/>
      <c r="F272" s="29"/>
      <c r="G272" s="88"/>
      <c r="H272" s="29"/>
      <c r="I272" s="29"/>
      <c r="J272" s="29"/>
    </row>
    <row r="273">
      <c r="A273" s="29"/>
      <c r="B273" s="29"/>
      <c r="C273" s="29"/>
      <c r="D273" s="29"/>
      <c r="E273" s="29"/>
      <c r="F273" s="29"/>
      <c r="G273" s="88"/>
      <c r="H273" s="29"/>
      <c r="I273" s="29"/>
      <c r="J273" s="29"/>
    </row>
    <row r="274">
      <c r="A274" s="29"/>
      <c r="B274" s="29"/>
      <c r="C274" s="29"/>
      <c r="D274" s="29"/>
      <c r="E274" s="29"/>
      <c r="F274" s="29"/>
      <c r="G274" s="88"/>
      <c r="H274" s="29"/>
      <c r="I274" s="29"/>
      <c r="J274" s="29"/>
    </row>
    <row r="275">
      <c r="A275" s="29"/>
      <c r="B275" s="29"/>
      <c r="C275" s="29"/>
      <c r="D275" s="29"/>
      <c r="E275" s="29"/>
      <c r="F275" s="29"/>
      <c r="G275" s="88"/>
      <c r="H275" s="29"/>
      <c r="I275" s="29"/>
      <c r="J275" s="29"/>
    </row>
    <row r="276">
      <c r="A276" s="29"/>
      <c r="B276" s="29"/>
      <c r="C276" s="29"/>
      <c r="D276" s="29"/>
      <c r="E276" s="29"/>
      <c r="F276" s="29"/>
      <c r="G276" s="88"/>
      <c r="H276" s="29"/>
      <c r="I276" s="29"/>
      <c r="J276" s="29"/>
    </row>
    <row r="277">
      <c r="A277" s="29"/>
      <c r="B277" s="29"/>
      <c r="C277" s="29"/>
      <c r="D277" s="29"/>
      <c r="E277" s="29"/>
      <c r="F277" s="29"/>
      <c r="G277" s="88"/>
      <c r="H277" s="29"/>
      <c r="I277" s="29"/>
      <c r="J277" s="29"/>
    </row>
    <row r="278">
      <c r="A278" s="29"/>
      <c r="B278" s="29"/>
      <c r="C278" s="29"/>
      <c r="D278" s="29"/>
      <c r="E278" s="29"/>
      <c r="F278" s="29"/>
      <c r="G278" s="88"/>
      <c r="H278" s="29"/>
      <c r="I278" s="29"/>
      <c r="J278" s="29"/>
    </row>
    <row r="279">
      <c r="A279" s="29"/>
      <c r="B279" s="29"/>
      <c r="C279" s="29"/>
      <c r="D279" s="29"/>
      <c r="E279" s="29"/>
      <c r="F279" s="29"/>
      <c r="G279" s="88"/>
      <c r="H279" s="29"/>
      <c r="I279" s="29"/>
      <c r="J279" s="29"/>
    </row>
    <row r="280">
      <c r="A280" s="29"/>
      <c r="B280" s="29"/>
      <c r="C280" s="29"/>
      <c r="D280" s="29"/>
      <c r="E280" s="29"/>
      <c r="F280" s="29"/>
      <c r="G280" s="88"/>
      <c r="H280" s="29"/>
      <c r="I280" s="29"/>
      <c r="J280" s="29"/>
    </row>
    <row r="281">
      <c r="A281" s="29"/>
      <c r="B281" s="29"/>
      <c r="C281" s="29"/>
      <c r="D281" s="29"/>
      <c r="E281" s="29"/>
      <c r="F281" s="29"/>
      <c r="G281" s="88"/>
      <c r="H281" s="29"/>
      <c r="I281" s="29"/>
      <c r="J281" s="29"/>
    </row>
    <row r="282">
      <c r="A282" s="29"/>
      <c r="B282" s="29"/>
      <c r="C282" s="29"/>
      <c r="D282" s="29"/>
      <c r="E282" s="29"/>
      <c r="F282" s="29"/>
      <c r="G282" s="88"/>
      <c r="H282" s="29"/>
      <c r="I282" s="29"/>
      <c r="J282" s="29"/>
    </row>
    <row r="283">
      <c r="A283" s="29"/>
      <c r="B283" s="29"/>
      <c r="C283" s="29"/>
      <c r="D283" s="29"/>
      <c r="E283" s="29"/>
      <c r="F283" s="29"/>
      <c r="G283" s="88"/>
      <c r="H283" s="29"/>
      <c r="I283" s="29"/>
      <c r="J283" s="29"/>
    </row>
    <row r="284">
      <c r="A284" s="29"/>
      <c r="B284" s="29"/>
      <c r="C284" s="29"/>
      <c r="D284" s="29"/>
      <c r="E284" s="29"/>
      <c r="F284" s="29"/>
      <c r="G284" s="88"/>
      <c r="H284" s="29"/>
      <c r="I284" s="29"/>
      <c r="J284" s="29"/>
    </row>
    <row r="285">
      <c r="A285" s="29"/>
      <c r="B285" s="29"/>
      <c r="C285" s="29"/>
      <c r="D285" s="29"/>
      <c r="E285" s="29"/>
      <c r="F285" s="29"/>
      <c r="G285" s="88"/>
      <c r="H285" s="29"/>
      <c r="I285" s="29"/>
      <c r="J285" s="29"/>
    </row>
    <row r="286">
      <c r="A286" s="29"/>
      <c r="B286" s="29"/>
      <c r="C286" s="29"/>
      <c r="D286" s="29"/>
      <c r="E286" s="29"/>
      <c r="F286" s="29"/>
      <c r="G286" s="88"/>
      <c r="H286" s="29"/>
      <c r="I286" s="29"/>
      <c r="J286" s="29"/>
    </row>
    <row r="287">
      <c r="A287" s="29"/>
      <c r="B287" s="29"/>
      <c r="C287" s="29"/>
      <c r="D287" s="29"/>
      <c r="E287" s="29"/>
      <c r="F287" s="29"/>
      <c r="G287" s="88"/>
      <c r="H287" s="29"/>
      <c r="I287" s="29"/>
      <c r="J287" s="29"/>
    </row>
    <row r="288">
      <c r="A288" s="29"/>
      <c r="B288" s="29"/>
      <c r="C288" s="29"/>
      <c r="D288" s="29"/>
      <c r="E288" s="29"/>
      <c r="F288" s="29"/>
      <c r="G288" s="88"/>
      <c r="H288" s="29"/>
      <c r="I288" s="29"/>
      <c r="J288" s="29"/>
    </row>
    <row r="289">
      <c r="A289" s="29"/>
      <c r="B289" s="29"/>
      <c r="C289" s="29"/>
      <c r="D289" s="29"/>
      <c r="E289" s="29"/>
      <c r="F289" s="29"/>
      <c r="G289" s="88"/>
      <c r="H289" s="29"/>
      <c r="I289" s="29"/>
      <c r="J289" s="29"/>
    </row>
    <row r="290">
      <c r="A290" s="29"/>
      <c r="B290" s="29"/>
      <c r="C290" s="29"/>
      <c r="D290" s="29"/>
      <c r="E290" s="29"/>
      <c r="F290" s="29"/>
      <c r="G290" s="88"/>
      <c r="H290" s="29"/>
      <c r="I290" s="29"/>
      <c r="J290" s="29"/>
    </row>
    <row r="291">
      <c r="A291" s="29"/>
      <c r="B291" s="29"/>
      <c r="C291" s="29"/>
      <c r="D291" s="29"/>
      <c r="E291" s="29"/>
      <c r="F291" s="29"/>
      <c r="G291" s="88"/>
      <c r="H291" s="29"/>
      <c r="I291" s="29"/>
      <c r="J291" s="29"/>
    </row>
    <row r="292">
      <c r="A292" s="29"/>
      <c r="B292" s="29"/>
      <c r="C292" s="29"/>
      <c r="D292" s="29"/>
      <c r="E292" s="29"/>
      <c r="F292" s="29"/>
      <c r="G292" s="88"/>
      <c r="H292" s="29"/>
      <c r="I292" s="29"/>
      <c r="J292" s="29"/>
    </row>
    <row r="293">
      <c r="A293" s="29"/>
      <c r="B293" s="29"/>
      <c r="C293" s="29"/>
      <c r="D293" s="29"/>
      <c r="E293" s="29"/>
      <c r="F293" s="29"/>
      <c r="G293" s="88"/>
      <c r="H293" s="29"/>
      <c r="I293" s="29"/>
      <c r="J293" s="29"/>
    </row>
    <row r="294">
      <c r="A294" s="29"/>
      <c r="B294" s="29"/>
      <c r="C294" s="29"/>
      <c r="D294" s="29"/>
      <c r="E294" s="29"/>
      <c r="F294" s="29"/>
      <c r="G294" s="88"/>
      <c r="H294" s="29"/>
      <c r="I294" s="29"/>
      <c r="J294" s="29"/>
    </row>
    <row r="295">
      <c r="A295" s="29"/>
      <c r="B295" s="29"/>
      <c r="C295" s="29"/>
      <c r="D295" s="29"/>
      <c r="E295" s="29"/>
      <c r="F295" s="29"/>
      <c r="G295" s="88"/>
      <c r="H295" s="29"/>
      <c r="I295" s="29"/>
      <c r="J295" s="29"/>
    </row>
    <row r="296">
      <c r="A296" s="29"/>
      <c r="B296" s="29"/>
      <c r="C296" s="29"/>
      <c r="D296" s="29"/>
      <c r="E296" s="29"/>
      <c r="F296" s="29"/>
      <c r="G296" s="88"/>
      <c r="H296" s="29"/>
      <c r="I296" s="29"/>
      <c r="J296" s="29"/>
    </row>
    <row r="297">
      <c r="A297" s="29"/>
      <c r="B297" s="29"/>
      <c r="C297" s="29"/>
      <c r="D297" s="29"/>
      <c r="E297" s="29"/>
      <c r="F297" s="29"/>
      <c r="G297" s="88"/>
      <c r="H297" s="29"/>
      <c r="I297" s="29"/>
      <c r="J297" s="29"/>
    </row>
    <row r="298">
      <c r="A298" s="29"/>
      <c r="B298" s="29"/>
      <c r="C298" s="29"/>
      <c r="D298" s="29"/>
      <c r="E298" s="29"/>
      <c r="F298" s="29"/>
      <c r="G298" s="88"/>
      <c r="H298" s="29"/>
      <c r="I298" s="29"/>
      <c r="J298" s="29"/>
    </row>
    <row r="299">
      <c r="A299" s="29"/>
      <c r="B299" s="29"/>
      <c r="C299" s="29"/>
      <c r="D299" s="29"/>
      <c r="E299" s="29"/>
      <c r="F299" s="29"/>
      <c r="G299" s="88"/>
      <c r="H299" s="29"/>
      <c r="I299" s="29"/>
      <c r="J299" s="29"/>
    </row>
    <row r="300">
      <c r="A300" s="29"/>
      <c r="B300" s="29"/>
      <c r="C300" s="29"/>
      <c r="D300" s="29"/>
      <c r="E300" s="29"/>
      <c r="F300" s="29"/>
      <c r="G300" s="88"/>
      <c r="H300" s="29"/>
      <c r="I300" s="29"/>
      <c r="J300" s="29"/>
    </row>
    <row r="301">
      <c r="A301" s="29"/>
      <c r="B301" s="29"/>
      <c r="C301" s="29"/>
      <c r="D301" s="29"/>
      <c r="E301" s="29"/>
      <c r="F301" s="29"/>
      <c r="G301" s="88"/>
      <c r="H301" s="29"/>
      <c r="I301" s="29"/>
      <c r="J301" s="29"/>
    </row>
    <row r="302">
      <c r="A302" s="29"/>
      <c r="B302" s="29"/>
      <c r="C302" s="29"/>
      <c r="D302" s="29"/>
      <c r="E302" s="29"/>
      <c r="F302" s="29"/>
      <c r="G302" s="88"/>
      <c r="H302" s="29"/>
      <c r="I302" s="29"/>
      <c r="J302" s="29"/>
    </row>
    <row r="303">
      <c r="A303" s="29"/>
      <c r="B303" s="29"/>
      <c r="C303" s="29"/>
      <c r="D303" s="29"/>
      <c r="E303" s="29"/>
      <c r="F303" s="29"/>
      <c r="G303" s="88"/>
      <c r="H303" s="29"/>
      <c r="I303" s="29"/>
      <c r="J303" s="29"/>
    </row>
    <row r="304">
      <c r="A304" s="29"/>
      <c r="B304" s="29"/>
      <c r="C304" s="29"/>
      <c r="D304" s="29"/>
      <c r="E304" s="29"/>
      <c r="F304" s="29"/>
      <c r="G304" s="88"/>
      <c r="H304" s="29"/>
      <c r="I304" s="29"/>
      <c r="J304" s="29"/>
    </row>
    <row r="305">
      <c r="A305" s="29"/>
      <c r="B305" s="29"/>
      <c r="C305" s="29"/>
      <c r="D305" s="29"/>
      <c r="E305" s="29"/>
      <c r="F305" s="29"/>
      <c r="G305" s="88"/>
      <c r="H305" s="29"/>
      <c r="I305" s="29"/>
      <c r="J305" s="29"/>
    </row>
    <row r="306">
      <c r="A306" s="29"/>
      <c r="B306" s="29"/>
      <c r="C306" s="29"/>
      <c r="D306" s="29"/>
      <c r="E306" s="29"/>
      <c r="F306" s="29"/>
      <c r="G306" s="88"/>
      <c r="H306" s="29"/>
      <c r="I306" s="29"/>
      <c r="J306" s="29"/>
    </row>
    <row r="307">
      <c r="A307" s="29"/>
      <c r="B307" s="29"/>
      <c r="C307" s="29"/>
      <c r="D307" s="29"/>
      <c r="E307" s="29"/>
      <c r="F307" s="29"/>
      <c r="G307" s="88"/>
      <c r="H307" s="29"/>
      <c r="I307" s="29"/>
      <c r="J307" s="29"/>
    </row>
    <row r="308">
      <c r="A308" s="29"/>
      <c r="B308" s="29"/>
      <c r="C308" s="29"/>
      <c r="D308" s="29"/>
      <c r="E308" s="29"/>
      <c r="F308" s="29"/>
      <c r="G308" s="88"/>
      <c r="H308" s="29"/>
      <c r="I308" s="29"/>
      <c r="J308" s="29"/>
    </row>
    <row r="309">
      <c r="A309" s="29"/>
      <c r="B309" s="29"/>
      <c r="C309" s="29"/>
      <c r="D309" s="29"/>
      <c r="E309" s="29"/>
      <c r="F309" s="29"/>
      <c r="G309" s="88"/>
      <c r="H309" s="29"/>
      <c r="I309" s="29"/>
      <c r="J309" s="29"/>
    </row>
    <row r="310">
      <c r="A310" s="29"/>
      <c r="B310" s="29"/>
      <c r="C310" s="29"/>
      <c r="D310" s="29"/>
      <c r="E310" s="29"/>
      <c r="F310" s="29"/>
      <c r="G310" s="88"/>
      <c r="H310" s="29"/>
      <c r="I310" s="29"/>
      <c r="J310" s="29"/>
    </row>
    <row r="311">
      <c r="A311" s="29"/>
      <c r="B311" s="29"/>
      <c r="C311" s="29"/>
      <c r="D311" s="29"/>
      <c r="E311" s="29"/>
      <c r="F311" s="29"/>
      <c r="G311" s="88"/>
      <c r="H311" s="29"/>
      <c r="I311" s="29"/>
      <c r="J311" s="29"/>
    </row>
    <row r="312">
      <c r="A312" s="29"/>
      <c r="B312" s="29"/>
      <c r="C312" s="29"/>
      <c r="D312" s="29"/>
      <c r="E312" s="29"/>
      <c r="F312" s="29"/>
      <c r="G312" s="88"/>
      <c r="H312" s="29"/>
      <c r="I312" s="29"/>
      <c r="J312" s="29"/>
    </row>
    <row r="313">
      <c r="A313" s="29"/>
      <c r="B313" s="29"/>
      <c r="C313" s="29"/>
      <c r="D313" s="29"/>
      <c r="E313" s="29"/>
      <c r="F313" s="29"/>
      <c r="G313" s="88"/>
      <c r="H313" s="29"/>
      <c r="I313" s="29"/>
      <c r="J313" s="29"/>
    </row>
    <row r="314">
      <c r="A314" s="29"/>
      <c r="B314" s="29"/>
      <c r="C314" s="29"/>
      <c r="D314" s="29"/>
      <c r="E314" s="29"/>
      <c r="F314" s="29"/>
      <c r="G314" s="88"/>
      <c r="H314" s="29"/>
      <c r="I314" s="29"/>
      <c r="J314" s="29"/>
    </row>
    <row r="315">
      <c r="A315" s="29"/>
      <c r="B315" s="29"/>
      <c r="C315" s="29"/>
      <c r="D315" s="29"/>
      <c r="E315" s="29"/>
      <c r="F315" s="29"/>
      <c r="G315" s="88"/>
      <c r="H315" s="29"/>
      <c r="I315" s="29"/>
      <c r="J315" s="29"/>
    </row>
    <row r="316">
      <c r="A316" s="29"/>
      <c r="B316" s="29"/>
      <c r="C316" s="29"/>
      <c r="D316" s="29"/>
      <c r="E316" s="29"/>
      <c r="F316" s="29"/>
      <c r="G316" s="88"/>
      <c r="H316" s="29"/>
      <c r="I316" s="29"/>
      <c r="J316" s="29"/>
    </row>
    <row r="317">
      <c r="A317" s="29"/>
      <c r="B317" s="29"/>
      <c r="C317" s="29"/>
      <c r="D317" s="29"/>
      <c r="E317" s="29"/>
      <c r="F317" s="29"/>
      <c r="G317" s="88"/>
      <c r="H317" s="29"/>
      <c r="I317" s="29"/>
      <c r="J317" s="29"/>
    </row>
    <row r="318">
      <c r="A318" s="29"/>
      <c r="B318" s="29"/>
      <c r="C318" s="29"/>
      <c r="D318" s="29"/>
      <c r="E318" s="29"/>
      <c r="F318" s="29"/>
      <c r="G318" s="88"/>
      <c r="H318" s="29"/>
      <c r="I318" s="29"/>
      <c r="J318" s="29"/>
    </row>
    <row r="319">
      <c r="A319" s="29"/>
      <c r="B319" s="29"/>
      <c r="C319" s="29"/>
      <c r="D319" s="29"/>
      <c r="E319" s="29"/>
      <c r="F319" s="29"/>
      <c r="G319" s="88"/>
      <c r="H319" s="29"/>
      <c r="I319" s="29"/>
      <c r="J319" s="29"/>
    </row>
    <row r="320">
      <c r="A320" s="29"/>
      <c r="B320" s="29"/>
      <c r="C320" s="29"/>
      <c r="D320" s="29"/>
      <c r="E320" s="29"/>
      <c r="F320" s="29"/>
      <c r="G320" s="88"/>
      <c r="H320" s="29"/>
      <c r="I320" s="29"/>
      <c r="J320" s="29"/>
    </row>
    <row r="321">
      <c r="A321" s="29"/>
      <c r="B321" s="29"/>
      <c r="C321" s="29"/>
      <c r="D321" s="29"/>
      <c r="E321" s="29"/>
      <c r="F321" s="29"/>
      <c r="G321" s="88"/>
      <c r="H321" s="29"/>
      <c r="I321" s="29"/>
      <c r="J321" s="29"/>
    </row>
    <row r="322">
      <c r="A322" s="29"/>
      <c r="B322" s="29"/>
      <c r="C322" s="29"/>
      <c r="D322" s="29"/>
      <c r="E322" s="29"/>
      <c r="F322" s="29"/>
      <c r="G322" s="88"/>
      <c r="H322" s="29"/>
      <c r="I322" s="29"/>
      <c r="J322" s="29"/>
    </row>
    <row r="323">
      <c r="A323" s="29"/>
      <c r="B323" s="29"/>
      <c r="C323" s="29"/>
      <c r="D323" s="29"/>
      <c r="E323" s="29"/>
      <c r="F323" s="29"/>
      <c r="G323" s="88"/>
      <c r="H323" s="29"/>
      <c r="I323" s="29"/>
      <c r="J323" s="29"/>
    </row>
    <row r="324">
      <c r="A324" s="29"/>
      <c r="B324" s="29"/>
      <c r="C324" s="29"/>
      <c r="D324" s="29"/>
      <c r="E324" s="29"/>
      <c r="F324" s="29"/>
      <c r="G324" s="88"/>
      <c r="H324" s="29"/>
      <c r="I324" s="29"/>
      <c r="J324" s="29"/>
    </row>
    <row r="325">
      <c r="A325" s="29"/>
      <c r="B325" s="29"/>
      <c r="C325" s="29"/>
      <c r="D325" s="29"/>
      <c r="E325" s="29"/>
      <c r="F325" s="29"/>
      <c r="G325" s="88"/>
      <c r="H325" s="29"/>
      <c r="I325" s="29"/>
      <c r="J325" s="29"/>
    </row>
    <row r="326">
      <c r="A326" s="29"/>
      <c r="B326" s="29"/>
      <c r="C326" s="29"/>
      <c r="D326" s="29"/>
      <c r="E326" s="29"/>
      <c r="F326" s="29"/>
      <c r="G326" s="88"/>
      <c r="H326" s="29"/>
      <c r="I326" s="29"/>
      <c r="J326" s="29"/>
    </row>
    <row r="327">
      <c r="A327" s="29"/>
      <c r="B327" s="29"/>
      <c r="C327" s="29"/>
      <c r="D327" s="29"/>
      <c r="E327" s="29"/>
      <c r="F327" s="29"/>
      <c r="G327" s="88"/>
      <c r="H327" s="29"/>
      <c r="I327" s="29"/>
      <c r="J327" s="29"/>
    </row>
    <row r="328">
      <c r="A328" s="29"/>
      <c r="B328" s="29"/>
      <c r="C328" s="29"/>
      <c r="D328" s="29"/>
      <c r="E328" s="29"/>
      <c r="F328" s="29"/>
      <c r="G328" s="88"/>
      <c r="H328" s="29"/>
      <c r="I328" s="29"/>
      <c r="J328" s="29"/>
    </row>
    <row r="329">
      <c r="A329" s="29"/>
      <c r="B329" s="29"/>
      <c r="C329" s="29"/>
      <c r="D329" s="29"/>
      <c r="E329" s="29"/>
      <c r="F329" s="29"/>
      <c r="G329" s="88"/>
      <c r="H329" s="29"/>
      <c r="I329" s="29"/>
      <c r="J329" s="29"/>
    </row>
    <row r="330">
      <c r="A330" s="29"/>
      <c r="B330" s="29"/>
      <c r="C330" s="29"/>
      <c r="D330" s="29"/>
      <c r="E330" s="29"/>
      <c r="F330" s="29"/>
      <c r="G330" s="88"/>
      <c r="H330" s="29"/>
      <c r="I330" s="29"/>
      <c r="J330" s="29"/>
    </row>
    <row r="331">
      <c r="A331" s="29"/>
      <c r="B331" s="29"/>
      <c r="C331" s="29"/>
      <c r="D331" s="29"/>
      <c r="E331" s="29"/>
      <c r="F331" s="29"/>
      <c r="G331" s="88"/>
      <c r="H331" s="29"/>
      <c r="I331" s="29"/>
      <c r="J331" s="29"/>
    </row>
    <row r="332">
      <c r="A332" s="29"/>
      <c r="B332" s="29"/>
      <c r="C332" s="29"/>
      <c r="D332" s="29"/>
      <c r="E332" s="29"/>
      <c r="F332" s="29"/>
      <c r="G332" s="88"/>
      <c r="H332" s="29"/>
      <c r="I332" s="29"/>
      <c r="J332" s="29"/>
    </row>
    <row r="333">
      <c r="A333" s="29"/>
      <c r="B333" s="29"/>
      <c r="C333" s="29"/>
      <c r="D333" s="29"/>
      <c r="E333" s="29"/>
      <c r="F333" s="29"/>
      <c r="G333" s="88"/>
      <c r="H333" s="29"/>
      <c r="I333" s="29"/>
      <c r="J333" s="29"/>
    </row>
    <row r="334">
      <c r="A334" s="29"/>
      <c r="B334" s="29"/>
      <c r="C334" s="29"/>
      <c r="D334" s="29"/>
      <c r="E334" s="29"/>
      <c r="F334" s="29"/>
      <c r="G334" s="88"/>
      <c r="H334" s="29"/>
      <c r="I334" s="29"/>
      <c r="J334" s="29"/>
    </row>
    <row r="335">
      <c r="A335" s="29"/>
      <c r="B335" s="29"/>
      <c r="C335" s="29"/>
      <c r="D335" s="29"/>
      <c r="E335" s="29"/>
      <c r="F335" s="29"/>
      <c r="G335" s="88"/>
      <c r="H335" s="29"/>
      <c r="I335" s="29"/>
      <c r="J335" s="29"/>
    </row>
    <row r="336">
      <c r="A336" s="29"/>
      <c r="B336" s="29"/>
      <c r="C336" s="29"/>
      <c r="D336" s="29"/>
      <c r="E336" s="29"/>
      <c r="F336" s="29"/>
      <c r="G336" s="88"/>
      <c r="H336" s="29"/>
      <c r="I336" s="29"/>
      <c r="J336" s="29"/>
    </row>
    <row r="337">
      <c r="A337" s="29"/>
      <c r="B337" s="29"/>
      <c r="C337" s="29"/>
      <c r="D337" s="29"/>
      <c r="E337" s="29"/>
      <c r="F337" s="29"/>
      <c r="G337" s="88"/>
      <c r="H337" s="29"/>
      <c r="I337" s="29"/>
      <c r="J337" s="29"/>
    </row>
    <row r="338">
      <c r="A338" s="29"/>
      <c r="B338" s="29"/>
      <c r="C338" s="29"/>
      <c r="D338" s="29"/>
      <c r="E338" s="29"/>
      <c r="F338" s="29"/>
      <c r="G338" s="88"/>
      <c r="H338" s="29"/>
      <c r="I338" s="29"/>
      <c r="J338" s="29"/>
    </row>
    <row r="339">
      <c r="A339" s="29"/>
      <c r="B339" s="29"/>
      <c r="C339" s="29"/>
      <c r="D339" s="29"/>
      <c r="E339" s="29"/>
      <c r="F339" s="29"/>
      <c r="G339" s="88"/>
      <c r="H339" s="29"/>
      <c r="I339" s="29"/>
      <c r="J339" s="29"/>
    </row>
    <row r="340">
      <c r="A340" s="29"/>
      <c r="B340" s="29"/>
      <c r="C340" s="29"/>
      <c r="D340" s="29"/>
      <c r="E340" s="29"/>
      <c r="F340" s="29"/>
      <c r="G340" s="88"/>
      <c r="H340" s="29"/>
      <c r="I340" s="29"/>
      <c r="J340" s="29"/>
    </row>
    <row r="341">
      <c r="A341" s="29"/>
      <c r="B341" s="29"/>
      <c r="C341" s="29"/>
      <c r="D341" s="29"/>
      <c r="E341" s="29"/>
      <c r="F341" s="29"/>
      <c r="G341" s="88"/>
      <c r="H341" s="29"/>
      <c r="I341" s="29"/>
      <c r="J341" s="29"/>
    </row>
    <row r="342">
      <c r="A342" s="29"/>
      <c r="B342" s="29"/>
      <c r="C342" s="29"/>
      <c r="D342" s="29"/>
      <c r="E342" s="29"/>
      <c r="F342" s="29"/>
      <c r="G342" s="88"/>
      <c r="H342" s="29"/>
      <c r="I342" s="29"/>
      <c r="J342" s="29"/>
    </row>
    <row r="343">
      <c r="A343" s="29"/>
      <c r="B343" s="29"/>
      <c r="C343" s="29"/>
      <c r="D343" s="29"/>
      <c r="E343" s="29"/>
      <c r="F343" s="29"/>
      <c r="G343" s="88"/>
      <c r="H343" s="29"/>
      <c r="I343" s="29"/>
      <c r="J343" s="29"/>
    </row>
    <row r="344">
      <c r="A344" s="29"/>
      <c r="B344" s="29"/>
      <c r="C344" s="29"/>
      <c r="D344" s="29"/>
      <c r="E344" s="29"/>
      <c r="F344" s="29"/>
      <c r="G344" s="88"/>
      <c r="H344" s="29"/>
      <c r="I344" s="29"/>
      <c r="J344" s="29"/>
    </row>
    <row r="345">
      <c r="A345" s="29"/>
      <c r="B345" s="29"/>
      <c r="C345" s="29"/>
      <c r="D345" s="29"/>
      <c r="E345" s="29"/>
      <c r="F345" s="29"/>
      <c r="G345" s="88"/>
      <c r="H345" s="29"/>
      <c r="I345" s="29"/>
      <c r="J345" s="29"/>
    </row>
    <row r="346">
      <c r="A346" s="29"/>
      <c r="B346" s="29"/>
      <c r="C346" s="29"/>
      <c r="D346" s="29"/>
      <c r="E346" s="29"/>
      <c r="F346" s="29"/>
      <c r="G346" s="88"/>
      <c r="H346" s="29"/>
      <c r="I346" s="29"/>
      <c r="J346" s="29"/>
    </row>
    <row r="347">
      <c r="A347" s="29"/>
      <c r="B347" s="29"/>
      <c r="C347" s="29"/>
      <c r="D347" s="29"/>
      <c r="E347" s="29"/>
      <c r="F347" s="29"/>
      <c r="G347" s="88"/>
      <c r="H347" s="29"/>
      <c r="I347" s="29"/>
      <c r="J347" s="29"/>
    </row>
    <row r="348">
      <c r="A348" s="29"/>
      <c r="B348" s="29"/>
      <c r="C348" s="29"/>
      <c r="D348" s="29"/>
      <c r="E348" s="29"/>
      <c r="F348" s="29"/>
      <c r="G348" s="88"/>
      <c r="H348" s="29"/>
      <c r="I348" s="29"/>
      <c r="J348" s="29"/>
    </row>
    <row r="349">
      <c r="A349" s="29"/>
      <c r="B349" s="29"/>
      <c r="C349" s="29"/>
      <c r="D349" s="29"/>
      <c r="E349" s="29"/>
      <c r="F349" s="29"/>
      <c r="G349" s="88"/>
      <c r="H349" s="29"/>
      <c r="I349" s="29"/>
      <c r="J349" s="29"/>
    </row>
    <row r="350">
      <c r="A350" s="29"/>
      <c r="B350" s="29"/>
      <c r="C350" s="29"/>
      <c r="D350" s="29"/>
      <c r="E350" s="29"/>
      <c r="F350" s="29"/>
      <c r="G350" s="88"/>
      <c r="H350" s="29"/>
      <c r="I350" s="29"/>
      <c r="J350" s="29"/>
    </row>
    <row r="351">
      <c r="A351" s="29"/>
      <c r="B351" s="29"/>
      <c r="C351" s="29"/>
      <c r="D351" s="29"/>
      <c r="E351" s="29"/>
      <c r="F351" s="29"/>
      <c r="G351" s="88"/>
      <c r="H351" s="29"/>
      <c r="I351" s="29"/>
      <c r="J351" s="29"/>
    </row>
    <row r="352">
      <c r="A352" s="29"/>
      <c r="B352" s="29"/>
      <c r="C352" s="29"/>
      <c r="D352" s="29"/>
      <c r="E352" s="29"/>
      <c r="F352" s="29"/>
      <c r="G352" s="88"/>
      <c r="H352" s="29"/>
      <c r="I352" s="29"/>
      <c r="J352" s="29"/>
    </row>
    <row r="353">
      <c r="A353" s="29"/>
      <c r="B353" s="29"/>
      <c r="C353" s="29"/>
      <c r="D353" s="29"/>
      <c r="E353" s="29"/>
      <c r="F353" s="29"/>
      <c r="G353" s="88"/>
      <c r="H353" s="29"/>
      <c r="I353" s="29"/>
      <c r="J353" s="29"/>
    </row>
    <row r="354">
      <c r="A354" s="29"/>
      <c r="B354" s="29"/>
      <c r="C354" s="29"/>
      <c r="D354" s="29"/>
      <c r="E354" s="29"/>
      <c r="F354" s="29"/>
      <c r="G354" s="88"/>
      <c r="H354" s="29"/>
      <c r="I354" s="29"/>
      <c r="J354" s="29"/>
    </row>
    <row r="355">
      <c r="A355" s="29"/>
      <c r="B355" s="29"/>
      <c r="C355" s="29"/>
      <c r="D355" s="29"/>
      <c r="E355" s="29"/>
      <c r="F355" s="29"/>
      <c r="G355" s="88"/>
      <c r="H355" s="29"/>
      <c r="I355" s="29"/>
      <c r="J355" s="29"/>
    </row>
    <row r="356">
      <c r="A356" s="29"/>
      <c r="B356" s="29"/>
      <c r="C356" s="29"/>
      <c r="D356" s="29"/>
      <c r="E356" s="29"/>
      <c r="F356" s="29"/>
      <c r="G356" s="88"/>
      <c r="H356" s="29"/>
      <c r="I356" s="29"/>
      <c r="J356" s="29"/>
    </row>
    <row r="357">
      <c r="A357" s="29"/>
      <c r="B357" s="29"/>
      <c r="C357" s="29"/>
      <c r="D357" s="29"/>
      <c r="E357" s="29"/>
      <c r="F357" s="29"/>
      <c r="G357" s="88"/>
      <c r="H357" s="29"/>
      <c r="I357" s="29"/>
      <c r="J357" s="29"/>
    </row>
    <row r="358">
      <c r="A358" s="29"/>
      <c r="B358" s="29"/>
      <c r="C358" s="29"/>
      <c r="D358" s="29"/>
      <c r="E358" s="29"/>
      <c r="F358" s="29"/>
      <c r="G358" s="88"/>
      <c r="H358" s="29"/>
      <c r="I358" s="29"/>
      <c r="J358" s="29"/>
    </row>
    <row r="359">
      <c r="A359" s="29"/>
      <c r="B359" s="29"/>
      <c r="C359" s="29"/>
      <c r="D359" s="29"/>
      <c r="E359" s="29"/>
      <c r="F359" s="29"/>
      <c r="G359" s="88"/>
      <c r="H359" s="29"/>
      <c r="I359" s="29"/>
      <c r="J359" s="29"/>
    </row>
    <row r="360">
      <c r="A360" s="29"/>
      <c r="B360" s="29"/>
      <c r="C360" s="29"/>
      <c r="D360" s="29"/>
      <c r="E360" s="29"/>
      <c r="F360" s="29"/>
      <c r="G360" s="88"/>
      <c r="H360" s="29"/>
      <c r="I360" s="29"/>
      <c r="J360" s="29"/>
    </row>
    <row r="361">
      <c r="A361" s="29"/>
      <c r="B361" s="29"/>
      <c r="C361" s="29"/>
      <c r="D361" s="29"/>
      <c r="E361" s="29"/>
      <c r="F361" s="29"/>
      <c r="G361" s="88"/>
      <c r="H361" s="29"/>
      <c r="I361" s="29"/>
      <c r="J361" s="29"/>
    </row>
    <row r="362">
      <c r="A362" s="29"/>
      <c r="B362" s="29"/>
      <c r="C362" s="29"/>
      <c r="D362" s="29"/>
      <c r="E362" s="29"/>
      <c r="F362" s="29"/>
      <c r="G362" s="88"/>
      <c r="H362" s="29"/>
      <c r="I362" s="29"/>
      <c r="J362" s="29"/>
    </row>
    <row r="363">
      <c r="A363" s="29"/>
      <c r="B363" s="29"/>
      <c r="C363" s="29"/>
      <c r="D363" s="29"/>
      <c r="E363" s="29"/>
      <c r="F363" s="29"/>
      <c r="G363" s="88"/>
      <c r="H363" s="29"/>
      <c r="I363" s="29"/>
      <c r="J363" s="29"/>
    </row>
    <row r="364">
      <c r="A364" s="29"/>
      <c r="B364" s="29"/>
      <c r="C364" s="29"/>
      <c r="D364" s="29"/>
      <c r="E364" s="29"/>
      <c r="F364" s="29"/>
      <c r="G364" s="88"/>
      <c r="H364" s="29"/>
      <c r="I364" s="29"/>
      <c r="J364" s="29"/>
    </row>
    <row r="365">
      <c r="A365" s="29"/>
      <c r="B365" s="29"/>
      <c r="C365" s="29"/>
      <c r="D365" s="29"/>
      <c r="E365" s="29"/>
      <c r="F365" s="29"/>
      <c r="G365" s="88"/>
      <c r="H365" s="29"/>
      <c r="I365" s="29"/>
      <c r="J365" s="29"/>
    </row>
    <row r="366">
      <c r="A366" s="29"/>
      <c r="B366" s="29"/>
      <c r="C366" s="29"/>
      <c r="D366" s="29"/>
      <c r="E366" s="29"/>
      <c r="F366" s="29"/>
      <c r="G366" s="88"/>
      <c r="H366" s="29"/>
      <c r="I366" s="29"/>
      <c r="J366" s="29"/>
    </row>
    <row r="367">
      <c r="A367" s="29"/>
      <c r="B367" s="29"/>
      <c r="C367" s="29"/>
      <c r="D367" s="29"/>
      <c r="E367" s="29"/>
      <c r="F367" s="29"/>
      <c r="G367" s="88"/>
      <c r="H367" s="29"/>
      <c r="I367" s="29"/>
      <c r="J367" s="29"/>
    </row>
    <row r="368">
      <c r="A368" s="29"/>
      <c r="B368" s="29"/>
      <c r="C368" s="29"/>
      <c r="D368" s="29"/>
      <c r="E368" s="29"/>
      <c r="F368" s="29"/>
      <c r="G368" s="88"/>
      <c r="H368" s="29"/>
      <c r="I368" s="29"/>
      <c r="J368" s="29"/>
    </row>
    <row r="369">
      <c r="A369" s="29"/>
      <c r="B369" s="29"/>
      <c r="C369" s="29"/>
      <c r="D369" s="29"/>
      <c r="E369" s="29"/>
      <c r="F369" s="29"/>
      <c r="G369" s="88"/>
      <c r="H369" s="29"/>
      <c r="I369" s="29"/>
      <c r="J369" s="29"/>
    </row>
    <row r="370">
      <c r="A370" s="29"/>
      <c r="B370" s="29"/>
      <c r="C370" s="29"/>
      <c r="D370" s="29"/>
      <c r="E370" s="29"/>
      <c r="F370" s="29"/>
      <c r="G370" s="88"/>
      <c r="H370" s="29"/>
      <c r="I370" s="29"/>
      <c r="J370" s="29"/>
    </row>
    <row r="371">
      <c r="A371" s="29"/>
      <c r="B371" s="29"/>
      <c r="C371" s="29"/>
      <c r="D371" s="29"/>
      <c r="E371" s="29"/>
      <c r="F371" s="29"/>
      <c r="G371" s="88"/>
      <c r="H371" s="29"/>
      <c r="I371" s="29"/>
      <c r="J371" s="29"/>
    </row>
    <row r="372">
      <c r="A372" s="29"/>
      <c r="B372" s="29"/>
      <c r="C372" s="29"/>
      <c r="D372" s="29"/>
      <c r="E372" s="29"/>
      <c r="F372" s="29"/>
      <c r="G372" s="88"/>
      <c r="H372" s="29"/>
      <c r="I372" s="29"/>
      <c r="J372" s="29"/>
    </row>
    <row r="373">
      <c r="A373" s="29"/>
      <c r="B373" s="29"/>
      <c r="C373" s="29"/>
      <c r="D373" s="29"/>
      <c r="E373" s="29"/>
      <c r="F373" s="29"/>
      <c r="G373" s="88"/>
      <c r="H373" s="29"/>
      <c r="I373" s="29"/>
      <c r="J373" s="29"/>
    </row>
    <row r="374">
      <c r="A374" s="29"/>
      <c r="B374" s="29"/>
      <c r="C374" s="29"/>
      <c r="D374" s="29"/>
      <c r="E374" s="29"/>
      <c r="F374" s="29"/>
      <c r="G374" s="88"/>
      <c r="H374" s="29"/>
      <c r="I374" s="29"/>
      <c r="J374" s="29"/>
    </row>
    <row r="375">
      <c r="A375" s="29"/>
      <c r="B375" s="29"/>
      <c r="C375" s="29"/>
      <c r="D375" s="29"/>
      <c r="E375" s="29"/>
      <c r="F375" s="29"/>
      <c r="G375" s="88"/>
      <c r="H375" s="29"/>
      <c r="I375" s="29"/>
      <c r="J375" s="29"/>
    </row>
    <row r="376">
      <c r="A376" s="29"/>
      <c r="B376" s="29"/>
      <c r="C376" s="29"/>
      <c r="D376" s="29"/>
      <c r="E376" s="29"/>
      <c r="F376" s="29"/>
      <c r="G376" s="88"/>
      <c r="H376" s="29"/>
      <c r="I376" s="29"/>
      <c r="J376" s="29"/>
    </row>
    <row r="377">
      <c r="A377" s="29"/>
      <c r="B377" s="29"/>
      <c r="C377" s="29"/>
      <c r="D377" s="29"/>
      <c r="E377" s="29"/>
      <c r="F377" s="29"/>
      <c r="G377" s="88"/>
      <c r="H377" s="29"/>
      <c r="I377" s="29"/>
      <c r="J377" s="29"/>
    </row>
    <row r="378">
      <c r="A378" s="29"/>
      <c r="B378" s="29"/>
      <c r="C378" s="29"/>
      <c r="D378" s="29"/>
      <c r="E378" s="29"/>
      <c r="F378" s="29"/>
      <c r="G378" s="88"/>
      <c r="H378" s="29"/>
      <c r="I378" s="29"/>
      <c r="J378" s="29"/>
    </row>
    <row r="379">
      <c r="A379" s="29"/>
      <c r="B379" s="29"/>
      <c r="C379" s="29"/>
      <c r="D379" s="29"/>
      <c r="E379" s="29"/>
      <c r="F379" s="29"/>
      <c r="G379" s="88"/>
      <c r="H379" s="29"/>
      <c r="I379" s="29"/>
      <c r="J379" s="29"/>
    </row>
    <row r="380">
      <c r="A380" s="29"/>
      <c r="B380" s="29"/>
      <c r="C380" s="29"/>
      <c r="D380" s="29"/>
      <c r="E380" s="29"/>
      <c r="F380" s="29"/>
      <c r="G380" s="88"/>
      <c r="H380" s="29"/>
      <c r="I380" s="29"/>
      <c r="J380" s="29"/>
    </row>
    <row r="381">
      <c r="A381" s="29"/>
      <c r="B381" s="29"/>
      <c r="C381" s="29"/>
      <c r="D381" s="29"/>
      <c r="E381" s="29"/>
      <c r="F381" s="29"/>
      <c r="G381" s="88"/>
      <c r="H381" s="29"/>
      <c r="I381" s="29"/>
      <c r="J381" s="29"/>
    </row>
    <row r="382">
      <c r="A382" s="29"/>
      <c r="B382" s="29"/>
      <c r="C382" s="29"/>
      <c r="D382" s="29"/>
      <c r="E382" s="29"/>
      <c r="F382" s="29"/>
      <c r="G382" s="88"/>
      <c r="H382" s="29"/>
      <c r="I382" s="29"/>
      <c r="J382" s="29"/>
    </row>
    <row r="383">
      <c r="A383" s="29"/>
      <c r="B383" s="29"/>
      <c r="C383" s="29"/>
      <c r="D383" s="29"/>
      <c r="E383" s="29"/>
      <c r="F383" s="29"/>
      <c r="G383" s="88"/>
      <c r="H383" s="29"/>
      <c r="I383" s="29"/>
      <c r="J383" s="29"/>
    </row>
    <row r="384">
      <c r="A384" s="29"/>
      <c r="B384" s="29"/>
      <c r="C384" s="29"/>
      <c r="D384" s="29"/>
      <c r="E384" s="29"/>
      <c r="F384" s="29"/>
      <c r="G384" s="88"/>
      <c r="H384" s="29"/>
      <c r="I384" s="29"/>
      <c r="J384" s="29"/>
    </row>
    <row r="385">
      <c r="A385" s="29"/>
      <c r="B385" s="29"/>
      <c r="C385" s="29"/>
      <c r="D385" s="29"/>
      <c r="E385" s="29"/>
      <c r="F385" s="29"/>
      <c r="G385" s="88"/>
      <c r="H385" s="29"/>
      <c r="I385" s="29"/>
      <c r="J385" s="29"/>
    </row>
    <row r="386">
      <c r="A386" s="29"/>
      <c r="B386" s="29"/>
      <c r="C386" s="29"/>
      <c r="D386" s="29"/>
      <c r="E386" s="29"/>
      <c r="F386" s="29"/>
      <c r="G386" s="88"/>
      <c r="H386" s="29"/>
      <c r="I386" s="29"/>
      <c r="J386" s="29"/>
    </row>
    <row r="387">
      <c r="A387" s="29"/>
      <c r="B387" s="29"/>
      <c r="C387" s="29"/>
      <c r="D387" s="29"/>
      <c r="E387" s="29"/>
      <c r="F387" s="29"/>
      <c r="G387" s="88"/>
      <c r="H387" s="29"/>
      <c r="I387" s="29"/>
      <c r="J387" s="29"/>
    </row>
    <row r="388">
      <c r="A388" s="29"/>
      <c r="B388" s="29"/>
      <c r="C388" s="29"/>
      <c r="D388" s="29"/>
      <c r="E388" s="29"/>
      <c r="F388" s="29"/>
      <c r="G388" s="88"/>
      <c r="H388" s="29"/>
      <c r="I388" s="29"/>
      <c r="J388" s="29"/>
    </row>
    <row r="389">
      <c r="A389" s="29"/>
      <c r="B389" s="29"/>
      <c r="C389" s="29"/>
      <c r="D389" s="29"/>
      <c r="E389" s="29"/>
      <c r="F389" s="29"/>
      <c r="G389" s="88"/>
      <c r="H389" s="29"/>
      <c r="I389" s="29"/>
      <c r="J389" s="29"/>
    </row>
    <row r="390">
      <c r="A390" s="29"/>
      <c r="B390" s="29"/>
      <c r="C390" s="29"/>
      <c r="D390" s="29"/>
      <c r="E390" s="29"/>
      <c r="F390" s="29"/>
      <c r="G390" s="88"/>
      <c r="H390" s="29"/>
      <c r="I390" s="29"/>
      <c r="J390" s="29"/>
    </row>
    <row r="391">
      <c r="A391" s="29"/>
      <c r="B391" s="29"/>
      <c r="C391" s="29"/>
      <c r="D391" s="29"/>
      <c r="E391" s="29"/>
      <c r="F391" s="29"/>
      <c r="G391" s="88"/>
      <c r="H391" s="29"/>
      <c r="I391" s="29"/>
      <c r="J391" s="29"/>
    </row>
    <row r="392">
      <c r="A392" s="29"/>
      <c r="B392" s="29"/>
      <c r="C392" s="29"/>
      <c r="D392" s="29"/>
      <c r="E392" s="29"/>
      <c r="F392" s="29"/>
      <c r="G392" s="88"/>
      <c r="H392" s="29"/>
      <c r="I392" s="29"/>
      <c r="J392" s="29"/>
    </row>
    <row r="393">
      <c r="A393" s="29"/>
      <c r="B393" s="29"/>
      <c r="C393" s="29"/>
      <c r="D393" s="29"/>
      <c r="E393" s="29"/>
      <c r="F393" s="29"/>
      <c r="G393" s="88"/>
      <c r="H393" s="29"/>
      <c r="I393" s="29"/>
      <c r="J393" s="29"/>
    </row>
    <row r="394">
      <c r="A394" s="29"/>
      <c r="B394" s="29"/>
      <c r="C394" s="29"/>
      <c r="D394" s="29"/>
      <c r="E394" s="29"/>
      <c r="F394" s="29"/>
      <c r="G394" s="88"/>
      <c r="H394" s="29"/>
      <c r="I394" s="29"/>
      <c r="J394" s="29"/>
    </row>
    <row r="395">
      <c r="A395" s="29"/>
      <c r="B395" s="29"/>
      <c r="C395" s="29"/>
      <c r="D395" s="29"/>
      <c r="E395" s="29"/>
      <c r="F395" s="29"/>
      <c r="G395" s="88"/>
      <c r="H395" s="29"/>
      <c r="I395" s="29"/>
      <c r="J395" s="29"/>
    </row>
    <row r="396">
      <c r="A396" s="29"/>
      <c r="B396" s="29"/>
      <c r="C396" s="29"/>
      <c r="D396" s="29"/>
      <c r="E396" s="29"/>
      <c r="F396" s="29"/>
      <c r="G396" s="88"/>
      <c r="H396" s="29"/>
      <c r="I396" s="29"/>
      <c r="J396" s="29"/>
    </row>
    <row r="397">
      <c r="A397" s="29"/>
      <c r="B397" s="29"/>
      <c r="C397" s="29"/>
      <c r="D397" s="29"/>
      <c r="E397" s="29"/>
      <c r="F397" s="29"/>
      <c r="G397" s="88"/>
      <c r="H397" s="29"/>
      <c r="I397" s="29"/>
      <c r="J397" s="29"/>
    </row>
    <row r="398">
      <c r="A398" s="29"/>
      <c r="B398" s="29"/>
      <c r="C398" s="29"/>
      <c r="D398" s="29"/>
      <c r="E398" s="29"/>
      <c r="F398" s="29"/>
      <c r="G398" s="88"/>
      <c r="H398" s="29"/>
      <c r="I398" s="29"/>
      <c r="J398" s="29"/>
    </row>
    <row r="399">
      <c r="A399" s="29"/>
      <c r="B399" s="29"/>
      <c r="C399" s="29"/>
      <c r="D399" s="29"/>
      <c r="E399" s="29"/>
      <c r="F399" s="29"/>
      <c r="G399" s="88"/>
      <c r="H399" s="29"/>
      <c r="I399" s="29"/>
      <c r="J399" s="29"/>
    </row>
    <row r="400">
      <c r="A400" s="29"/>
      <c r="B400" s="29"/>
      <c r="C400" s="29"/>
      <c r="D400" s="29"/>
      <c r="E400" s="29"/>
      <c r="F400" s="29"/>
      <c r="G400" s="88"/>
      <c r="H400" s="29"/>
      <c r="I400" s="29"/>
      <c r="J400" s="29"/>
    </row>
    <row r="401">
      <c r="A401" s="29"/>
      <c r="B401" s="29"/>
      <c r="C401" s="29"/>
      <c r="D401" s="29"/>
      <c r="E401" s="29"/>
      <c r="F401" s="29"/>
      <c r="G401" s="88"/>
      <c r="H401" s="29"/>
      <c r="I401" s="29"/>
      <c r="J401" s="29"/>
    </row>
    <row r="402">
      <c r="A402" s="29"/>
      <c r="B402" s="29"/>
      <c r="C402" s="29"/>
      <c r="D402" s="29"/>
      <c r="E402" s="29"/>
      <c r="F402" s="29"/>
      <c r="G402" s="88"/>
      <c r="H402" s="29"/>
      <c r="I402" s="29"/>
      <c r="J402" s="29"/>
    </row>
    <row r="403">
      <c r="A403" s="29"/>
      <c r="B403" s="29"/>
      <c r="C403" s="29"/>
      <c r="D403" s="29"/>
      <c r="E403" s="29"/>
      <c r="F403" s="29"/>
      <c r="G403" s="88"/>
      <c r="H403" s="29"/>
      <c r="I403" s="29"/>
      <c r="J403" s="29"/>
    </row>
    <row r="404">
      <c r="A404" s="29"/>
      <c r="B404" s="29"/>
      <c r="C404" s="29"/>
      <c r="D404" s="29"/>
      <c r="E404" s="29"/>
      <c r="F404" s="29"/>
      <c r="G404" s="88"/>
      <c r="H404" s="29"/>
      <c r="I404" s="29"/>
      <c r="J404" s="29"/>
    </row>
    <row r="405">
      <c r="A405" s="29"/>
      <c r="B405" s="29"/>
      <c r="C405" s="29"/>
      <c r="D405" s="29"/>
      <c r="E405" s="29"/>
      <c r="F405" s="29"/>
      <c r="G405" s="88"/>
      <c r="H405" s="29"/>
      <c r="I405" s="29"/>
      <c r="J405" s="29"/>
    </row>
    <row r="406">
      <c r="A406" s="29"/>
      <c r="B406" s="29"/>
      <c r="C406" s="29"/>
      <c r="D406" s="29"/>
      <c r="E406" s="29"/>
      <c r="F406" s="29"/>
      <c r="G406" s="88"/>
      <c r="H406" s="29"/>
      <c r="I406" s="29"/>
      <c r="J406" s="29"/>
    </row>
    <row r="407">
      <c r="A407" s="29"/>
      <c r="B407" s="29"/>
      <c r="C407" s="29"/>
      <c r="D407" s="29"/>
      <c r="E407" s="29"/>
      <c r="F407" s="29"/>
      <c r="G407" s="88"/>
      <c r="H407" s="29"/>
      <c r="I407" s="29"/>
      <c r="J407" s="29"/>
    </row>
    <row r="408">
      <c r="A408" s="29"/>
      <c r="B408" s="29"/>
      <c r="C408" s="29"/>
      <c r="D408" s="29"/>
      <c r="E408" s="29"/>
      <c r="F408" s="29"/>
      <c r="G408" s="88"/>
      <c r="H408" s="29"/>
      <c r="I408" s="29"/>
      <c r="J408" s="29"/>
    </row>
    <row r="409">
      <c r="A409" s="29"/>
      <c r="B409" s="29"/>
      <c r="C409" s="29"/>
      <c r="D409" s="29"/>
      <c r="E409" s="29"/>
      <c r="F409" s="29"/>
      <c r="G409" s="88"/>
      <c r="H409" s="29"/>
      <c r="I409" s="29"/>
      <c r="J409" s="29"/>
    </row>
    <row r="410">
      <c r="A410" s="29"/>
      <c r="B410" s="29"/>
      <c r="C410" s="29"/>
      <c r="D410" s="29"/>
      <c r="E410" s="29"/>
      <c r="F410" s="29"/>
      <c r="G410" s="88"/>
      <c r="H410" s="29"/>
      <c r="I410" s="29"/>
      <c r="J410" s="29"/>
    </row>
    <row r="411">
      <c r="A411" s="29"/>
      <c r="B411" s="29"/>
      <c r="C411" s="29"/>
      <c r="D411" s="29"/>
      <c r="E411" s="29"/>
      <c r="F411" s="29"/>
      <c r="G411" s="88"/>
      <c r="H411" s="29"/>
      <c r="I411" s="29"/>
      <c r="J411" s="29"/>
    </row>
    <row r="412">
      <c r="A412" s="29"/>
      <c r="B412" s="29"/>
      <c r="C412" s="29"/>
      <c r="D412" s="29"/>
      <c r="E412" s="29"/>
      <c r="F412" s="29"/>
      <c r="G412" s="88"/>
      <c r="H412" s="29"/>
      <c r="I412" s="29"/>
      <c r="J412" s="29"/>
    </row>
    <row r="413">
      <c r="A413" s="29"/>
      <c r="B413" s="29"/>
      <c r="C413" s="29"/>
      <c r="D413" s="29"/>
      <c r="E413" s="29"/>
      <c r="F413" s="29"/>
      <c r="G413" s="88"/>
      <c r="H413" s="29"/>
      <c r="I413" s="29"/>
      <c r="J413" s="29"/>
    </row>
    <row r="414">
      <c r="A414" s="29"/>
      <c r="B414" s="29"/>
      <c r="C414" s="29"/>
      <c r="D414" s="29"/>
      <c r="E414" s="29"/>
      <c r="F414" s="29"/>
      <c r="G414" s="88"/>
      <c r="H414" s="29"/>
      <c r="I414" s="29"/>
      <c r="J414" s="29"/>
    </row>
    <row r="415">
      <c r="A415" s="29"/>
      <c r="B415" s="29"/>
      <c r="C415" s="29"/>
      <c r="D415" s="29"/>
      <c r="E415" s="29"/>
      <c r="F415" s="29"/>
      <c r="G415" s="88"/>
      <c r="H415" s="29"/>
      <c r="I415" s="29"/>
      <c r="J415" s="29"/>
    </row>
    <row r="416">
      <c r="A416" s="29"/>
      <c r="B416" s="29"/>
      <c r="C416" s="29"/>
      <c r="D416" s="29"/>
      <c r="E416" s="29"/>
      <c r="F416" s="29"/>
      <c r="G416" s="88"/>
      <c r="H416" s="29"/>
      <c r="I416" s="29"/>
      <c r="J416" s="29"/>
    </row>
    <row r="417">
      <c r="A417" s="29"/>
      <c r="B417" s="29"/>
      <c r="C417" s="29"/>
      <c r="D417" s="29"/>
      <c r="E417" s="29"/>
      <c r="F417" s="29"/>
      <c r="G417" s="88"/>
      <c r="H417" s="29"/>
      <c r="I417" s="29"/>
      <c r="J417" s="29"/>
    </row>
    <row r="418">
      <c r="A418" s="29"/>
      <c r="B418" s="29"/>
      <c r="C418" s="29"/>
      <c r="D418" s="29"/>
      <c r="E418" s="29"/>
      <c r="F418" s="29"/>
      <c r="G418" s="88"/>
      <c r="H418" s="29"/>
      <c r="I418" s="29"/>
      <c r="J418" s="29"/>
    </row>
    <row r="419">
      <c r="A419" s="29"/>
      <c r="B419" s="29"/>
      <c r="C419" s="29"/>
      <c r="D419" s="29"/>
      <c r="E419" s="29"/>
      <c r="F419" s="29"/>
      <c r="G419" s="88"/>
      <c r="H419" s="29"/>
      <c r="I419" s="29"/>
      <c r="J419" s="29"/>
    </row>
    <row r="420">
      <c r="A420" s="29"/>
      <c r="B420" s="29"/>
      <c r="C420" s="29"/>
      <c r="D420" s="29"/>
      <c r="E420" s="29"/>
      <c r="F420" s="29"/>
      <c r="G420" s="88"/>
      <c r="H420" s="29"/>
      <c r="I420" s="29"/>
      <c r="J420" s="29"/>
    </row>
    <row r="421">
      <c r="A421" s="29"/>
      <c r="B421" s="29"/>
      <c r="C421" s="29"/>
      <c r="D421" s="29"/>
      <c r="E421" s="29"/>
      <c r="F421" s="29"/>
      <c r="G421" s="88"/>
      <c r="H421" s="29"/>
      <c r="I421" s="29"/>
      <c r="J421" s="29"/>
    </row>
    <row r="422">
      <c r="A422" s="29"/>
      <c r="B422" s="29"/>
      <c r="C422" s="29"/>
      <c r="D422" s="29"/>
      <c r="E422" s="29"/>
      <c r="F422" s="29"/>
      <c r="G422" s="88"/>
      <c r="H422" s="29"/>
      <c r="I422" s="29"/>
      <c r="J422" s="29"/>
    </row>
    <row r="423">
      <c r="A423" s="29"/>
      <c r="B423" s="29"/>
      <c r="C423" s="29"/>
      <c r="D423" s="29"/>
      <c r="E423" s="29"/>
      <c r="F423" s="29"/>
      <c r="G423" s="88"/>
      <c r="H423" s="29"/>
      <c r="I423" s="29"/>
      <c r="J423" s="29"/>
    </row>
    <row r="424">
      <c r="A424" s="29"/>
      <c r="B424" s="29"/>
      <c r="C424" s="29"/>
      <c r="D424" s="29"/>
      <c r="E424" s="29"/>
      <c r="F424" s="29"/>
      <c r="G424" s="88"/>
      <c r="H424" s="29"/>
      <c r="I424" s="29"/>
      <c r="J424" s="29"/>
    </row>
    <row r="425">
      <c r="A425" s="29"/>
      <c r="B425" s="29"/>
      <c r="C425" s="29"/>
      <c r="D425" s="29"/>
      <c r="E425" s="29"/>
      <c r="F425" s="29"/>
      <c r="G425" s="88"/>
      <c r="H425" s="29"/>
      <c r="I425" s="29"/>
      <c r="J425" s="29"/>
    </row>
    <row r="426">
      <c r="A426" s="29"/>
      <c r="B426" s="29"/>
      <c r="C426" s="29"/>
      <c r="D426" s="29"/>
      <c r="E426" s="29"/>
      <c r="F426" s="29"/>
      <c r="G426" s="88"/>
      <c r="H426" s="29"/>
      <c r="I426" s="29"/>
      <c r="J426" s="29"/>
    </row>
    <row r="427">
      <c r="A427" s="29"/>
      <c r="B427" s="29"/>
      <c r="C427" s="29"/>
      <c r="D427" s="29"/>
      <c r="E427" s="29"/>
      <c r="F427" s="29"/>
      <c r="G427" s="88"/>
      <c r="H427" s="29"/>
      <c r="I427" s="29"/>
      <c r="J427" s="29"/>
    </row>
    <row r="428">
      <c r="A428" s="29"/>
      <c r="B428" s="29"/>
      <c r="C428" s="29"/>
      <c r="D428" s="29"/>
      <c r="E428" s="29"/>
      <c r="F428" s="29"/>
      <c r="G428" s="88"/>
      <c r="H428" s="29"/>
      <c r="I428" s="29"/>
      <c r="J428" s="29"/>
    </row>
    <row r="429">
      <c r="A429" s="29"/>
      <c r="B429" s="29"/>
      <c r="C429" s="29"/>
      <c r="D429" s="29"/>
      <c r="E429" s="29"/>
      <c r="F429" s="29"/>
      <c r="G429" s="88"/>
      <c r="H429" s="29"/>
      <c r="I429" s="29"/>
      <c r="J429" s="29"/>
    </row>
    <row r="430">
      <c r="A430" s="29"/>
      <c r="B430" s="29"/>
      <c r="C430" s="29"/>
      <c r="D430" s="29"/>
      <c r="E430" s="29"/>
      <c r="F430" s="29"/>
      <c r="G430" s="88"/>
      <c r="H430" s="29"/>
      <c r="I430" s="29"/>
      <c r="J430" s="29"/>
    </row>
    <row r="431">
      <c r="A431" s="29"/>
      <c r="B431" s="29"/>
      <c r="C431" s="29"/>
      <c r="D431" s="29"/>
      <c r="E431" s="29"/>
      <c r="F431" s="29"/>
      <c r="G431" s="88"/>
      <c r="H431" s="29"/>
      <c r="I431" s="29"/>
      <c r="J431" s="29"/>
    </row>
    <row r="432">
      <c r="A432" s="29"/>
      <c r="B432" s="29"/>
      <c r="C432" s="29"/>
      <c r="D432" s="29"/>
      <c r="E432" s="29"/>
      <c r="F432" s="29"/>
      <c r="G432" s="88"/>
      <c r="H432" s="29"/>
      <c r="I432" s="29"/>
      <c r="J432" s="29"/>
    </row>
    <row r="433">
      <c r="A433" s="29"/>
      <c r="B433" s="29"/>
      <c r="C433" s="29"/>
      <c r="D433" s="29"/>
      <c r="E433" s="29"/>
      <c r="F433" s="29"/>
      <c r="G433" s="88"/>
      <c r="H433" s="29"/>
      <c r="I433" s="29"/>
      <c r="J433" s="29"/>
    </row>
    <row r="434">
      <c r="A434" s="29"/>
      <c r="B434" s="29"/>
      <c r="C434" s="29"/>
      <c r="D434" s="29"/>
      <c r="E434" s="29"/>
      <c r="F434" s="29"/>
      <c r="G434" s="88"/>
      <c r="H434" s="29"/>
      <c r="I434" s="29"/>
      <c r="J434" s="29"/>
    </row>
    <row r="435">
      <c r="A435" s="29"/>
      <c r="B435" s="29"/>
      <c r="C435" s="29"/>
      <c r="D435" s="29"/>
      <c r="E435" s="29"/>
      <c r="F435" s="29"/>
      <c r="G435" s="88"/>
      <c r="H435" s="29"/>
      <c r="I435" s="29"/>
      <c r="J435" s="29"/>
    </row>
    <row r="436">
      <c r="A436" s="29"/>
      <c r="B436" s="29"/>
      <c r="C436" s="29"/>
      <c r="D436" s="29"/>
      <c r="E436" s="29"/>
      <c r="F436" s="29"/>
      <c r="G436" s="88"/>
      <c r="H436" s="29"/>
      <c r="I436" s="29"/>
      <c r="J436" s="29"/>
    </row>
    <row r="437">
      <c r="A437" s="29"/>
      <c r="B437" s="29"/>
      <c r="C437" s="29"/>
      <c r="D437" s="29"/>
      <c r="E437" s="29"/>
      <c r="F437" s="29"/>
      <c r="G437" s="88"/>
      <c r="H437" s="29"/>
      <c r="I437" s="29"/>
      <c r="J437" s="29"/>
    </row>
    <row r="438">
      <c r="A438" s="29"/>
      <c r="B438" s="29"/>
      <c r="C438" s="29"/>
      <c r="D438" s="29"/>
      <c r="E438" s="29"/>
      <c r="F438" s="29"/>
      <c r="G438" s="88"/>
      <c r="H438" s="29"/>
      <c r="I438" s="29"/>
      <c r="J438" s="29"/>
    </row>
    <row r="439">
      <c r="A439" s="29"/>
      <c r="B439" s="29"/>
      <c r="C439" s="29"/>
      <c r="D439" s="29"/>
      <c r="E439" s="29"/>
      <c r="F439" s="29"/>
      <c r="G439" s="88"/>
      <c r="H439" s="29"/>
      <c r="I439" s="29"/>
      <c r="J439" s="29"/>
    </row>
    <row r="440">
      <c r="A440" s="29"/>
      <c r="B440" s="29"/>
      <c r="C440" s="29"/>
      <c r="D440" s="29"/>
      <c r="E440" s="29"/>
      <c r="F440" s="29"/>
      <c r="G440" s="88"/>
      <c r="H440" s="29"/>
      <c r="I440" s="29"/>
      <c r="J440" s="29"/>
    </row>
    <row r="441">
      <c r="A441" s="29"/>
      <c r="B441" s="29"/>
      <c r="C441" s="29"/>
      <c r="D441" s="29"/>
      <c r="E441" s="29"/>
      <c r="F441" s="29"/>
      <c r="G441" s="88"/>
      <c r="H441" s="29"/>
      <c r="I441" s="29"/>
      <c r="J441" s="29"/>
    </row>
    <row r="442">
      <c r="A442" s="29"/>
      <c r="B442" s="29"/>
      <c r="C442" s="29"/>
      <c r="D442" s="29"/>
      <c r="E442" s="29"/>
      <c r="F442" s="29"/>
      <c r="G442" s="88"/>
      <c r="H442" s="29"/>
      <c r="I442" s="29"/>
      <c r="J442" s="29"/>
    </row>
    <row r="443">
      <c r="A443" s="29"/>
      <c r="B443" s="29"/>
      <c r="C443" s="29"/>
      <c r="D443" s="29"/>
      <c r="E443" s="29"/>
      <c r="F443" s="29"/>
      <c r="G443" s="88"/>
      <c r="H443" s="29"/>
      <c r="I443" s="29"/>
      <c r="J443" s="29"/>
    </row>
    <row r="444">
      <c r="A444" s="29"/>
      <c r="B444" s="29"/>
      <c r="C444" s="29"/>
      <c r="D444" s="29"/>
      <c r="E444" s="29"/>
      <c r="F444" s="29"/>
      <c r="G444" s="88"/>
      <c r="H444" s="29"/>
      <c r="I444" s="29"/>
      <c r="J444" s="29"/>
    </row>
    <row r="445">
      <c r="A445" s="29"/>
      <c r="B445" s="29"/>
      <c r="C445" s="29"/>
      <c r="D445" s="29"/>
      <c r="E445" s="29"/>
      <c r="F445" s="29"/>
      <c r="G445" s="88"/>
      <c r="H445" s="29"/>
      <c r="I445" s="29"/>
      <c r="J445" s="29"/>
    </row>
    <row r="446">
      <c r="A446" s="29"/>
      <c r="B446" s="29"/>
      <c r="C446" s="29"/>
      <c r="D446" s="29"/>
      <c r="E446" s="29"/>
      <c r="F446" s="29"/>
      <c r="G446" s="88"/>
      <c r="H446" s="29"/>
      <c r="I446" s="29"/>
      <c r="J446" s="29"/>
    </row>
    <row r="447">
      <c r="A447" s="29"/>
      <c r="B447" s="29"/>
      <c r="C447" s="29"/>
      <c r="D447" s="29"/>
      <c r="E447" s="29"/>
      <c r="F447" s="29"/>
      <c r="G447" s="88"/>
      <c r="H447" s="29"/>
      <c r="I447" s="29"/>
      <c r="J447" s="29"/>
    </row>
    <row r="448">
      <c r="A448" s="29"/>
      <c r="B448" s="29"/>
      <c r="C448" s="29"/>
      <c r="D448" s="29"/>
      <c r="E448" s="29"/>
      <c r="F448" s="29"/>
      <c r="G448" s="88"/>
      <c r="H448" s="29"/>
      <c r="I448" s="29"/>
      <c r="J448" s="29"/>
    </row>
    <row r="449">
      <c r="A449" s="29"/>
      <c r="B449" s="29"/>
      <c r="C449" s="29"/>
      <c r="D449" s="29"/>
      <c r="E449" s="29"/>
      <c r="F449" s="29"/>
      <c r="G449" s="88"/>
      <c r="H449" s="29"/>
      <c r="I449" s="29"/>
      <c r="J449" s="29"/>
    </row>
    <row r="450">
      <c r="A450" s="29"/>
      <c r="B450" s="29"/>
      <c r="C450" s="29"/>
      <c r="D450" s="29"/>
      <c r="E450" s="29"/>
      <c r="F450" s="29"/>
      <c r="G450" s="88"/>
      <c r="H450" s="29"/>
      <c r="I450" s="29"/>
      <c r="J450" s="29"/>
    </row>
    <row r="451">
      <c r="A451" s="29"/>
      <c r="B451" s="29"/>
      <c r="C451" s="29"/>
      <c r="D451" s="29"/>
      <c r="E451" s="29"/>
      <c r="F451" s="29"/>
      <c r="G451" s="88"/>
      <c r="H451" s="29"/>
      <c r="I451" s="29"/>
      <c r="J451" s="29"/>
    </row>
    <row r="452">
      <c r="A452" s="29"/>
      <c r="B452" s="29"/>
      <c r="C452" s="29"/>
      <c r="D452" s="29"/>
      <c r="E452" s="29"/>
      <c r="F452" s="29"/>
      <c r="G452" s="88"/>
      <c r="H452" s="29"/>
      <c r="I452" s="29"/>
      <c r="J452" s="29"/>
    </row>
    <row r="453">
      <c r="A453" s="29"/>
      <c r="B453" s="29"/>
      <c r="C453" s="29"/>
      <c r="D453" s="29"/>
      <c r="E453" s="29"/>
      <c r="F453" s="29"/>
      <c r="G453" s="88"/>
      <c r="H453" s="29"/>
      <c r="I453" s="29"/>
      <c r="J453" s="29"/>
    </row>
    <row r="454">
      <c r="A454" s="29"/>
      <c r="B454" s="29"/>
      <c r="C454" s="29"/>
      <c r="D454" s="29"/>
      <c r="E454" s="29"/>
      <c r="F454" s="29"/>
      <c r="G454" s="88"/>
      <c r="H454" s="29"/>
      <c r="I454" s="29"/>
      <c r="J454" s="29"/>
    </row>
    <row r="455">
      <c r="A455" s="29"/>
      <c r="B455" s="29"/>
      <c r="C455" s="29"/>
      <c r="D455" s="29"/>
      <c r="E455" s="29"/>
      <c r="F455" s="29"/>
      <c r="G455" s="88"/>
      <c r="H455" s="29"/>
      <c r="I455" s="29"/>
      <c r="J455" s="29"/>
    </row>
    <row r="456">
      <c r="A456" s="29"/>
      <c r="B456" s="29"/>
      <c r="C456" s="29"/>
      <c r="D456" s="29"/>
      <c r="E456" s="29"/>
      <c r="F456" s="29"/>
      <c r="G456" s="88"/>
      <c r="H456" s="29"/>
      <c r="I456" s="29"/>
      <c r="J456" s="29"/>
    </row>
    <row r="457">
      <c r="A457" s="29"/>
      <c r="B457" s="29"/>
      <c r="C457" s="29"/>
      <c r="D457" s="29"/>
      <c r="E457" s="29"/>
      <c r="F457" s="29"/>
      <c r="G457" s="88"/>
      <c r="H457" s="29"/>
      <c r="I457" s="29"/>
      <c r="J457" s="29"/>
    </row>
    <row r="458">
      <c r="A458" s="29"/>
      <c r="B458" s="29"/>
      <c r="C458" s="29"/>
      <c r="D458" s="29"/>
      <c r="E458" s="29"/>
      <c r="F458" s="29"/>
      <c r="G458" s="88"/>
      <c r="H458" s="29"/>
      <c r="I458" s="29"/>
      <c r="J458" s="29"/>
    </row>
    <row r="459">
      <c r="A459" s="29"/>
      <c r="B459" s="29"/>
      <c r="C459" s="29"/>
      <c r="D459" s="29"/>
      <c r="E459" s="29"/>
      <c r="F459" s="29"/>
      <c r="G459" s="88"/>
      <c r="H459" s="29"/>
      <c r="I459" s="29"/>
      <c r="J459" s="29"/>
    </row>
    <row r="460">
      <c r="A460" s="29"/>
      <c r="B460" s="29"/>
      <c r="C460" s="29"/>
      <c r="D460" s="29"/>
      <c r="E460" s="29"/>
      <c r="F460" s="29"/>
      <c r="G460" s="88"/>
      <c r="H460" s="29"/>
      <c r="I460" s="29"/>
      <c r="J460" s="29"/>
    </row>
    <row r="461">
      <c r="A461" s="29"/>
      <c r="B461" s="29"/>
      <c r="C461" s="29"/>
      <c r="D461" s="29"/>
      <c r="E461" s="29"/>
      <c r="F461" s="29"/>
      <c r="G461" s="88"/>
      <c r="H461" s="29"/>
      <c r="I461" s="29"/>
      <c r="J461" s="29"/>
    </row>
    <row r="462">
      <c r="A462" s="29"/>
      <c r="B462" s="29"/>
      <c r="C462" s="29"/>
      <c r="D462" s="29"/>
      <c r="E462" s="29"/>
      <c r="F462" s="29"/>
      <c r="G462" s="88"/>
      <c r="H462" s="29"/>
      <c r="I462" s="29"/>
      <c r="J462" s="29"/>
    </row>
    <row r="463">
      <c r="A463" s="29"/>
      <c r="B463" s="29"/>
      <c r="C463" s="29"/>
      <c r="D463" s="29"/>
      <c r="E463" s="29"/>
      <c r="F463" s="29"/>
      <c r="G463" s="88"/>
      <c r="H463" s="29"/>
      <c r="I463" s="29"/>
      <c r="J463" s="29"/>
    </row>
    <row r="464">
      <c r="A464" s="29"/>
      <c r="B464" s="29"/>
      <c r="C464" s="29"/>
      <c r="D464" s="29"/>
      <c r="E464" s="29"/>
      <c r="F464" s="29"/>
      <c r="G464" s="88"/>
      <c r="H464" s="29"/>
      <c r="I464" s="29"/>
      <c r="J464" s="29"/>
    </row>
    <row r="465">
      <c r="A465" s="29"/>
      <c r="B465" s="29"/>
      <c r="C465" s="29"/>
      <c r="D465" s="29"/>
      <c r="E465" s="29"/>
      <c r="F465" s="29"/>
      <c r="G465" s="88"/>
      <c r="H465" s="29"/>
      <c r="I465" s="29"/>
      <c r="J465" s="29"/>
    </row>
    <row r="466">
      <c r="A466" s="29"/>
      <c r="B466" s="29"/>
      <c r="C466" s="29"/>
      <c r="D466" s="29"/>
      <c r="E466" s="29"/>
      <c r="F466" s="29"/>
      <c r="G466" s="88"/>
      <c r="H466" s="29"/>
      <c r="I466" s="29"/>
      <c r="J466" s="29"/>
    </row>
    <row r="467">
      <c r="A467" s="29"/>
      <c r="B467" s="29"/>
      <c r="C467" s="29"/>
      <c r="D467" s="29"/>
      <c r="E467" s="29"/>
      <c r="F467" s="29"/>
      <c r="G467" s="88"/>
      <c r="H467" s="29"/>
      <c r="I467" s="29"/>
      <c r="J467" s="29"/>
    </row>
    <row r="468">
      <c r="A468" s="29"/>
      <c r="B468" s="29"/>
      <c r="C468" s="29"/>
      <c r="D468" s="29"/>
      <c r="E468" s="29"/>
      <c r="F468" s="29"/>
      <c r="G468" s="88"/>
      <c r="H468" s="29"/>
      <c r="I468" s="29"/>
      <c r="J468" s="29"/>
    </row>
    <row r="469">
      <c r="A469" s="29"/>
      <c r="B469" s="29"/>
      <c r="C469" s="29"/>
      <c r="D469" s="29"/>
      <c r="E469" s="29"/>
      <c r="F469" s="29"/>
      <c r="G469" s="88"/>
      <c r="H469" s="29"/>
      <c r="I469" s="29"/>
      <c r="J469" s="29"/>
    </row>
    <row r="470">
      <c r="A470" s="29"/>
      <c r="B470" s="29"/>
      <c r="C470" s="29"/>
      <c r="D470" s="29"/>
      <c r="E470" s="29"/>
      <c r="F470" s="29"/>
      <c r="G470" s="88"/>
      <c r="H470" s="29"/>
      <c r="I470" s="29"/>
      <c r="J470" s="29"/>
    </row>
    <row r="471">
      <c r="A471" s="29"/>
      <c r="B471" s="29"/>
      <c r="C471" s="29"/>
      <c r="D471" s="29"/>
      <c r="E471" s="29"/>
      <c r="F471" s="29"/>
      <c r="G471" s="88"/>
      <c r="H471" s="29"/>
      <c r="I471" s="29"/>
      <c r="J471" s="29"/>
    </row>
    <row r="472">
      <c r="A472" s="29"/>
      <c r="B472" s="29"/>
      <c r="C472" s="29"/>
      <c r="D472" s="29"/>
      <c r="E472" s="29"/>
      <c r="F472" s="29"/>
      <c r="G472" s="88"/>
      <c r="H472" s="29"/>
      <c r="I472" s="29"/>
      <c r="J472" s="29"/>
    </row>
    <row r="473">
      <c r="A473" s="29"/>
      <c r="B473" s="29"/>
      <c r="C473" s="29"/>
      <c r="D473" s="29"/>
      <c r="E473" s="29"/>
      <c r="F473" s="29"/>
      <c r="G473" s="88"/>
      <c r="H473" s="29"/>
      <c r="I473" s="29"/>
      <c r="J473" s="29"/>
    </row>
    <row r="474">
      <c r="A474" s="29"/>
      <c r="B474" s="29"/>
      <c r="C474" s="29"/>
      <c r="D474" s="29"/>
      <c r="E474" s="29"/>
      <c r="F474" s="29"/>
      <c r="G474" s="88"/>
      <c r="H474" s="29"/>
      <c r="I474" s="29"/>
      <c r="J474" s="29"/>
    </row>
    <row r="475">
      <c r="A475" s="29"/>
      <c r="B475" s="29"/>
      <c r="C475" s="29"/>
      <c r="D475" s="29"/>
      <c r="E475" s="29"/>
      <c r="F475" s="29"/>
      <c r="G475" s="88"/>
      <c r="H475" s="29"/>
      <c r="I475" s="29"/>
      <c r="J475" s="29"/>
    </row>
    <row r="476">
      <c r="A476" s="29"/>
      <c r="B476" s="29"/>
      <c r="C476" s="29"/>
      <c r="D476" s="29"/>
      <c r="E476" s="29"/>
      <c r="F476" s="29"/>
      <c r="G476" s="88"/>
      <c r="H476" s="29"/>
      <c r="I476" s="29"/>
      <c r="J476" s="29"/>
    </row>
    <row r="477">
      <c r="A477" s="29"/>
      <c r="B477" s="29"/>
      <c r="C477" s="29"/>
      <c r="D477" s="29"/>
      <c r="E477" s="29"/>
      <c r="F477" s="29"/>
      <c r="G477" s="88"/>
      <c r="H477" s="29"/>
      <c r="I477" s="29"/>
      <c r="J477" s="29"/>
    </row>
    <row r="478">
      <c r="A478" s="29"/>
      <c r="B478" s="29"/>
      <c r="C478" s="29"/>
      <c r="D478" s="29"/>
      <c r="E478" s="29"/>
      <c r="F478" s="29"/>
      <c r="G478" s="88"/>
      <c r="H478" s="29"/>
      <c r="I478" s="29"/>
      <c r="J478" s="29"/>
    </row>
    <row r="479">
      <c r="A479" s="29"/>
      <c r="B479" s="29"/>
      <c r="C479" s="29"/>
      <c r="D479" s="29"/>
      <c r="E479" s="29"/>
      <c r="F479" s="29"/>
      <c r="G479" s="88"/>
      <c r="H479" s="29"/>
      <c r="I479" s="29"/>
      <c r="J479" s="29"/>
    </row>
    <row r="480">
      <c r="A480" s="29"/>
      <c r="B480" s="29"/>
      <c r="C480" s="29"/>
      <c r="D480" s="29"/>
      <c r="E480" s="29"/>
      <c r="F480" s="29"/>
      <c r="G480" s="88"/>
      <c r="H480" s="29"/>
      <c r="I480" s="29"/>
      <c r="J480" s="29"/>
    </row>
    <row r="481">
      <c r="A481" s="29"/>
      <c r="B481" s="29"/>
      <c r="C481" s="29"/>
      <c r="D481" s="29"/>
      <c r="E481" s="29"/>
      <c r="F481" s="29"/>
      <c r="G481" s="88"/>
      <c r="H481" s="29"/>
      <c r="I481" s="29"/>
      <c r="J481" s="29"/>
    </row>
    <row r="482">
      <c r="A482" s="29"/>
      <c r="B482" s="29"/>
      <c r="C482" s="29"/>
      <c r="D482" s="29"/>
      <c r="E482" s="29"/>
      <c r="F482" s="29"/>
      <c r="G482" s="88"/>
      <c r="H482" s="29"/>
      <c r="I482" s="29"/>
      <c r="J482" s="29"/>
    </row>
    <row r="483">
      <c r="A483" s="29"/>
      <c r="B483" s="29"/>
      <c r="C483" s="29"/>
      <c r="D483" s="29"/>
      <c r="E483" s="29"/>
      <c r="F483" s="29"/>
      <c r="G483" s="88"/>
      <c r="H483" s="29"/>
      <c r="I483" s="29"/>
      <c r="J483" s="29"/>
    </row>
    <row r="484">
      <c r="A484" s="29"/>
      <c r="B484" s="29"/>
      <c r="C484" s="29"/>
      <c r="D484" s="29"/>
      <c r="E484" s="29"/>
      <c r="F484" s="29"/>
      <c r="G484" s="88"/>
      <c r="H484" s="29"/>
      <c r="I484" s="29"/>
      <c r="J484" s="29"/>
    </row>
    <row r="485">
      <c r="A485" s="29"/>
      <c r="B485" s="29"/>
      <c r="C485" s="29"/>
      <c r="D485" s="29"/>
      <c r="E485" s="29"/>
      <c r="F485" s="29"/>
      <c r="G485" s="88"/>
      <c r="H485" s="29"/>
      <c r="I485" s="29"/>
      <c r="J485" s="29"/>
    </row>
    <row r="486">
      <c r="A486" s="29"/>
      <c r="B486" s="29"/>
      <c r="C486" s="29"/>
      <c r="D486" s="29"/>
      <c r="E486" s="29"/>
      <c r="F486" s="29"/>
      <c r="G486" s="88"/>
      <c r="H486" s="29"/>
      <c r="I486" s="29"/>
      <c r="J486" s="29"/>
    </row>
    <row r="487">
      <c r="A487" s="29"/>
      <c r="B487" s="29"/>
      <c r="C487" s="29"/>
      <c r="D487" s="29"/>
      <c r="E487" s="29"/>
      <c r="F487" s="29"/>
      <c r="G487" s="88"/>
      <c r="H487" s="29"/>
      <c r="I487" s="29"/>
      <c r="J487" s="29"/>
    </row>
    <row r="488">
      <c r="A488" s="29"/>
      <c r="B488" s="29"/>
      <c r="C488" s="29"/>
      <c r="D488" s="29"/>
      <c r="E488" s="29"/>
      <c r="F488" s="29"/>
      <c r="G488" s="88"/>
      <c r="H488" s="29"/>
      <c r="I488" s="29"/>
      <c r="J488" s="29"/>
    </row>
    <row r="489">
      <c r="A489" s="29"/>
      <c r="B489" s="29"/>
      <c r="C489" s="29"/>
      <c r="D489" s="29"/>
      <c r="E489" s="29"/>
      <c r="F489" s="29"/>
      <c r="G489" s="88"/>
      <c r="H489" s="29"/>
      <c r="I489" s="29"/>
      <c r="J489" s="29"/>
    </row>
    <row r="490">
      <c r="A490" s="29"/>
      <c r="B490" s="29"/>
      <c r="C490" s="29"/>
      <c r="D490" s="29"/>
      <c r="E490" s="29"/>
      <c r="F490" s="29"/>
      <c r="G490" s="88"/>
      <c r="H490" s="29"/>
      <c r="I490" s="29"/>
      <c r="J490" s="29"/>
    </row>
    <row r="491">
      <c r="A491" s="29"/>
      <c r="B491" s="29"/>
      <c r="C491" s="29"/>
      <c r="D491" s="29"/>
      <c r="E491" s="29"/>
      <c r="F491" s="29"/>
      <c r="G491" s="88"/>
      <c r="H491" s="29"/>
      <c r="I491" s="29"/>
      <c r="J491" s="29"/>
    </row>
    <row r="492">
      <c r="A492" s="29"/>
      <c r="B492" s="29"/>
      <c r="C492" s="29"/>
      <c r="D492" s="29"/>
      <c r="E492" s="29"/>
      <c r="F492" s="29"/>
      <c r="G492" s="88"/>
      <c r="H492" s="29"/>
      <c r="I492" s="29"/>
      <c r="J492" s="29"/>
    </row>
    <row r="493">
      <c r="A493" s="29"/>
      <c r="B493" s="29"/>
      <c r="C493" s="29"/>
      <c r="D493" s="29"/>
      <c r="E493" s="29"/>
      <c r="F493" s="29"/>
      <c r="G493" s="88"/>
      <c r="H493" s="29"/>
      <c r="I493" s="29"/>
      <c r="J493" s="29"/>
    </row>
    <row r="494">
      <c r="A494" s="29"/>
      <c r="B494" s="29"/>
      <c r="C494" s="29"/>
      <c r="D494" s="29"/>
      <c r="E494" s="29"/>
      <c r="F494" s="29"/>
      <c r="G494" s="88"/>
      <c r="H494" s="29"/>
      <c r="I494" s="29"/>
      <c r="J494" s="29"/>
    </row>
    <row r="495">
      <c r="A495" s="29"/>
      <c r="B495" s="29"/>
      <c r="C495" s="29"/>
      <c r="D495" s="29"/>
      <c r="E495" s="29"/>
      <c r="F495" s="29"/>
      <c r="G495" s="88"/>
      <c r="H495" s="29"/>
      <c r="I495" s="29"/>
      <c r="J495" s="29"/>
    </row>
    <row r="496">
      <c r="A496" s="29"/>
      <c r="B496" s="29"/>
      <c r="C496" s="29"/>
      <c r="D496" s="29"/>
      <c r="E496" s="29"/>
      <c r="F496" s="29"/>
      <c r="G496" s="88"/>
      <c r="H496" s="29"/>
      <c r="I496" s="29"/>
      <c r="J496" s="29"/>
    </row>
    <row r="497">
      <c r="A497" s="29"/>
      <c r="B497" s="29"/>
      <c r="C497" s="29"/>
      <c r="D497" s="29"/>
      <c r="E497" s="29"/>
      <c r="F497" s="29"/>
      <c r="G497" s="88"/>
      <c r="H497" s="29"/>
      <c r="I497" s="29"/>
      <c r="J497" s="29"/>
    </row>
    <row r="498">
      <c r="A498" s="29"/>
      <c r="B498" s="29"/>
      <c r="C498" s="29"/>
      <c r="D498" s="29"/>
      <c r="E498" s="29"/>
      <c r="F498" s="29"/>
      <c r="G498" s="88"/>
      <c r="H498" s="29"/>
      <c r="I498" s="29"/>
      <c r="J498" s="29"/>
    </row>
    <row r="499">
      <c r="A499" s="29"/>
      <c r="B499" s="29"/>
      <c r="C499" s="29"/>
      <c r="D499" s="29"/>
      <c r="E499" s="29"/>
      <c r="F499" s="29"/>
      <c r="G499" s="88"/>
      <c r="H499" s="29"/>
      <c r="I499" s="29"/>
      <c r="J499" s="29"/>
    </row>
    <row r="500">
      <c r="A500" s="29"/>
      <c r="B500" s="29"/>
      <c r="C500" s="29"/>
      <c r="D500" s="29"/>
      <c r="E500" s="29"/>
      <c r="F500" s="29"/>
      <c r="G500" s="88"/>
      <c r="H500" s="29"/>
      <c r="I500" s="29"/>
      <c r="J500" s="29"/>
    </row>
    <row r="501">
      <c r="A501" s="29"/>
      <c r="B501" s="29"/>
      <c r="C501" s="29"/>
      <c r="D501" s="29"/>
      <c r="E501" s="29"/>
      <c r="F501" s="29"/>
      <c r="G501" s="88"/>
      <c r="H501" s="29"/>
      <c r="I501" s="29"/>
      <c r="J501" s="29"/>
    </row>
    <row r="502">
      <c r="A502" s="29"/>
      <c r="B502" s="29"/>
      <c r="C502" s="29"/>
      <c r="D502" s="29"/>
      <c r="E502" s="29"/>
      <c r="F502" s="29"/>
      <c r="G502" s="88"/>
      <c r="H502" s="29"/>
      <c r="I502" s="29"/>
      <c r="J502" s="29"/>
    </row>
    <row r="503">
      <c r="A503" s="29"/>
      <c r="B503" s="29"/>
      <c r="C503" s="29"/>
      <c r="D503" s="29"/>
      <c r="E503" s="29"/>
      <c r="F503" s="29"/>
      <c r="G503" s="88"/>
      <c r="H503" s="29"/>
      <c r="I503" s="29"/>
      <c r="J503" s="29"/>
    </row>
    <row r="504">
      <c r="A504" s="29"/>
      <c r="B504" s="29"/>
      <c r="C504" s="29"/>
      <c r="D504" s="29"/>
      <c r="E504" s="29"/>
      <c r="F504" s="29"/>
      <c r="G504" s="88"/>
      <c r="H504" s="29"/>
      <c r="I504" s="29"/>
      <c r="J504" s="29"/>
    </row>
    <row r="505">
      <c r="A505" s="29"/>
      <c r="B505" s="29"/>
      <c r="C505" s="29"/>
      <c r="D505" s="29"/>
      <c r="E505" s="29"/>
      <c r="F505" s="29"/>
      <c r="G505" s="88"/>
      <c r="H505" s="29"/>
      <c r="I505" s="29"/>
      <c r="J505" s="29"/>
    </row>
    <row r="506">
      <c r="A506" s="29"/>
      <c r="B506" s="29"/>
      <c r="C506" s="29"/>
      <c r="D506" s="29"/>
      <c r="E506" s="29"/>
      <c r="F506" s="29"/>
      <c r="G506" s="88"/>
      <c r="H506" s="29"/>
      <c r="I506" s="29"/>
      <c r="J506" s="29"/>
    </row>
    <row r="507">
      <c r="A507" s="29"/>
      <c r="B507" s="29"/>
      <c r="C507" s="29"/>
      <c r="D507" s="29"/>
      <c r="E507" s="29"/>
      <c r="F507" s="29"/>
      <c r="G507" s="88"/>
      <c r="H507" s="29"/>
      <c r="I507" s="29"/>
      <c r="J507" s="29"/>
    </row>
    <row r="508">
      <c r="A508" s="29"/>
      <c r="B508" s="29"/>
      <c r="C508" s="29"/>
      <c r="D508" s="29"/>
      <c r="E508" s="29"/>
      <c r="F508" s="29"/>
      <c r="G508" s="88"/>
      <c r="H508" s="29"/>
      <c r="I508" s="29"/>
      <c r="J508" s="29"/>
    </row>
    <row r="509">
      <c r="A509" s="29"/>
      <c r="B509" s="29"/>
      <c r="C509" s="29"/>
      <c r="D509" s="29"/>
      <c r="E509" s="29"/>
      <c r="F509" s="29"/>
      <c r="G509" s="88"/>
      <c r="H509" s="29"/>
      <c r="I509" s="29"/>
      <c r="J509" s="29"/>
    </row>
    <row r="510">
      <c r="A510" s="29"/>
      <c r="B510" s="29"/>
      <c r="C510" s="29"/>
      <c r="D510" s="29"/>
      <c r="E510" s="29"/>
      <c r="F510" s="29"/>
      <c r="G510" s="88"/>
      <c r="H510" s="29"/>
      <c r="I510" s="29"/>
      <c r="J510" s="29"/>
    </row>
    <row r="511">
      <c r="A511" s="29"/>
      <c r="B511" s="29"/>
      <c r="C511" s="29"/>
      <c r="D511" s="29"/>
      <c r="E511" s="29"/>
      <c r="F511" s="29"/>
      <c r="G511" s="88"/>
      <c r="H511" s="29"/>
      <c r="I511" s="29"/>
      <c r="J511" s="29"/>
    </row>
    <row r="512">
      <c r="A512" s="29"/>
      <c r="B512" s="29"/>
      <c r="C512" s="29"/>
      <c r="D512" s="29"/>
      <c r="E512" s="29"/>
      <c r="F512" s="29"/>
      <c r="G512" s="88"/>
      <c r="H512" s="29"/>
      <c r="I512" s="29"/>
      <c r="J512" s="29"/>
    </row>
    <row r="513">
      <c r="A513" s="29"/>
      <c r="B513" s="29"/>
      <c r="C513" s="29"/>
      <c r="D513" s="29"/>
      <c r="E513" s="29"/>
      <c r="F513" s="29"/>
      <c r="G513" s="88"/>
      <c r="H513" s="29"/>
      <c r="I513" s="29"/>
      <c r="J513" s="29"/>
    </row>
    <row r="514">
      <c r="A514" s="29"/>
      <c r="B514" s="29"/>
      <c r="C514" s="29"/>
      <c r="D514" s="29"/>
      <c r="E514" s="29"/>
      <c r="F514" s="29"/>
      <c r="G514" s="88"/>
      <c r="H514" s="29"/>
      <c r="I514" s="29"/>
      <c r="J514" s="29"/>
    </row>
    <row r="515">
      <c r="A515" s="29"/>
      <c r="B515" s="29"/>
      <c r="C515" s="29"/>
      <c r="D515" s="29"/>
      <c r="E515" s="29"/>
      <c r="F515" s="29"/>
      <c r="G515" s="88"/>
      <c r="H515" s="29"/>
      <c r="I515" s="29"/>
      <c r="J515" s="29"/>
    </row>
    <row r="516">
      <c r="A516" s="29"/>
      <c r="B516" s="29"/>
      <c r="C516" s="29"/>
      <c r="D516" s="29"/>
      <c r="E516" s="29"/>
      <c r="F516" s="29"/>
      <c r="G516" s="88"/>
      <c r="H516" s="29"/>
      <c r="I516" s="29"/>
      <c r="J516" s="29"/>
    </row>
    <row r="517">
      <c r="A517" s="29"/>
      <c r="B517" s="29"/>
      <c r="C517" s="29"/>
      <c r="D517" s="29"/>
      <c r="E517" s="29"/>
      <c r="F517" s="29"/>
      <c r="G517" s="88"/>
      <c r="H517" s="29"/>
      <c r="I517" s="29"/>
      <c r="J517" s="29"/>
    </row>
    <row r="518">
      <c r="A518" s="29"/>
      <c r="B518" s="29"/>
      <c r="C518" s="29"/>
      <c r="D518" s="29"/>
      <c r="E518" s="29"/>
      <c r="F518" s="29"/>
      <c r="G518" s="88"/>
      <c r="H518" s="29"/>
      <c r="I518" s="29"/>
      <c r="J518" s="29"/>
    </row>
    <row r="519">
      <c r="A519" s="29"/>
      <c r="B519" s="29"/>
      <c r="C519" s="29"/>
      <c r="D519" s="29"/>
      <c r="E519" s="29"/>
      <c r="F519" s="29"/>
      <c r="G519" s="88"/>
      <c r="H519" s="29"/>
      <c r="I519" s="29"/>
      <c r="J519" s="29"/>
    </row>
    <row r="520">
      <c r="A520" s="29"/>
      <c r="B520" s="29"/>
      <c r="C520" s="29"/>
      <c r="D520" s="29"/>
      <c r="E520" s="29"/>
      <c r="F520" s="29"/>
      <c r="G520" s="88"/>
      <c r="H520" s="29"/>
      <c r="I520" s="29"/>
      <c r="J520" s="29"/>
    </row>
    <row r="521">
      <c r="A521" s="29"/>
      <c r="B521" s="29"/>
      <c r="C521" s="29"/>
      <c r="D521" s="29"/>
      <c r="E521" s="29"/>
      <c r="F521" s="29"/>
      <c r="G521" s="88"/>
      <c r="H521" s="29"/>
      <c r="I521" s="29"/>
      <c r="J521" s="29"/>
    </row>
    <row r="522">
      <c r="A522" s="29"/>
      <c r="B522" s="29"/>
      <c r="C522" s="29"/>
      <c r="D522" s="29"/>
      <c r="E522" s="29"/>
      <c r="F522" s="29"/>
      <c r="G522" s="88"/>
      <c r="H522" s="29"/>
      <c r="I522" s="29"/>
      <c r="J522" s="29"/>
    </row>
    <row r="523">
      <c r="A523" s="29"/>
      <c r="B523" s="29"/>
      <c r="C523" s="29"/>
      <c r="D523" s="29"/>
      <c r="E523" s="29"/>
      <c r="F523" s="29"/>
      <c r="G523" s="88"/>
      <c r="H523" s="29"/>
      <c r="I523" s="29"/>
      <c r="J523" s="29"/>
    </row>
    <row r="524">
      <c r="A524" s="29"/>
      <c r="B524" s="29"/>
      <c r="C524" s="29"/>
      <c r="D524" s="29"/>
      <c r="E524" s="29"/>
      <c r="F524" s="29"/>
      <c r="G524" s="88"/>
      <c r="H524" s="29"/>
      <c r="I524" s="29"/>
      <c r="J524" s="29"/>
    </row>
    <row r="525">
      <c r="A525" s="29"/>
      <c r="B525" s="29"/>
      <c r="C525" s="29"/>
      <c r="D525" s="29"/>
      <c r="E525" s="29"/>
      <c r="F525" s="29"/>
      <c r="G525" s="88"/>
      <c r="H525" s="29"/>
      <c r="I525" s="29"/>
      <c r="J525" s="29"/>
    </row>
    <row r="526">
      <c r="A526" s="29"/>
      <c r="B526" s="29"/>
      <c r="C526" s="29"/>
      <c r="D526" s="29"/>
      <c r="E526" s="29"/>
      <c r="F526" s="29"/>
      <c r="G526" s="88"/>
      <c r="H526" s="29"/>
      <c r="I526" s="29"/>
      <c r="J526" s="29"/>
    </row>
    <row r="527">
      <c r="A527" s="29"/>
      <c r="B527" s="29"/>
      <c r="C527" s="29"/>
      <c r="D527" s="29"/>
      <c r="E527" s="29"/>
      <c r="F527" s="29"/>
      <c r="G527" s="88"/>
      <c r="H527" s="29"/>
      <c r="I527" s="29"/>
      <c r="J527" s="29"/>
    </row>
    <row r="528">
      <c r="A528" s="29"/>
      <c r="B528" s="29"/>
      <c r="C528" s="29"/>
      <c r="D528" s="29"/>
      <c r="E528" s="29"/>
      <c r="F528" s="29"/>
      <c r="G528" s="88"/>
      <c r="H528" s="29"/>
      <c r="I528" s="29"/>
      <c r="J528" s="29"/>
    </row>
    <row r="529">
      <c r="A529" s="29"/>
      <c r="B529" s="29"/>
      <c r="C529" s="29"/>
      <c r="D529" s="29"/>
      <c r="E529" s="29"/>
      <c r="F529" s="29"/>
      <c r="G529" s="88"/>
      <c r="H529" s="29"/>
      <c r="I529" s="29"/>
      <c r="J529" s="29"/>
    </row>
    <row r="530">
      <c r="A530" s="29"/>
      <c r="B530" s="29"/>
      <c r="C530" s="29"/>
      <c r="D530" s="29"/>
      <c r="E530" s="29"/>
      <c r="F530" s="29"/>
      <c r="G530" s="88"/>
      <c r="H530" s="29"/>
      <c r="I530" s="29"/>
      <c r="J530" s="29"/>
    </row>
    <row r="531">
      <c r="A531" s="29"/>
      <c r="B531" s="29"/>
      <c r="C531" s="29"/>
      <c r="D531" s="29"/>
      <c r="E531" s="29"/>
      <c r="F531" s="29"/>
      <c r="G531" s="88"/>
      <c r="H531" s="29"/>
      <c r="I531" s="29"/>
      <c r="J531" s="29"/>
    </row>
    <row r="532">
      <c r="A532" s="29"/>
      <c r="B532" s="29"/>
      <c r="C532" s="29"/>
      <c r="D532" s="29"/>
      <c r="E532" s="29"/>
      <c r="F532" s="29"/>
      <c r="G532" s="88"/>
      <c r="H532" s="29"/>
      <c r="I532" s="29"/>
      <c r="J532" s="29"/>
    </row>
    <row r="533">
      <c r="A533" s="29"/>
      <c r="B533" s="29"/>
      <c r="C533" s="29"/>
      <c r="D533" s="29"/>
      <c r="E533" s="29"/>
      <c r="F533" s="29"/>
      <c r="G533" s="88"/>
      <c r="H533" s="29"/>
      <c r="I533" s="29"/>
      <c r="J533" s="29"/>
    </row>
    <row r="534">
      <c r="A534" s="29"/>
      <c r="B534" s="29"/>
      <c r="C534" s="29"/>
      <c r="D534" s="29"/>
      <c r="E534" s="29"/>
      <c r="F534" s="29"/>
      <c r="G534" s="88"/>
      <c r="H534" s="29"/>
      <c r="I534" s="29"/>
      <c r="J534" s="29"/>
    </row>
    <row r="535">
      <c r="A535" s="29"/>
      <c r="B535" s="29"/>
      <c r="C535" s="29"/>
      <c r="D535" s="29"/>
      <c r="E535" s="29"/>
      <c r="F535" s="29"/>
      <c r="G535" s="88"/>
      <c r="H535" s="29"/>
      <c r="I535" s="29"/>
      <c r="J535" s="29"/>
    </row>
    <row r="536">
      <c r="A536" s="29"/>
      <c r="B536" s="29"/>
      <c r="C536" s="29"/>
      <c r="D536" s="29"/>
      <c r="E536" s="29"/>
      <c r="F536" s="29"/>
      <c r="G536" s="88"/>
      <c r="H536" s="29"/>
      <c r="I536" s="29"/>
      <c r="J536" s="29"/>
    </row>
    <row r="537">
      <c r="A537" s="29"/>
      <c r="B537" s="29"/>
      <c r="C537" s="29"/>
      <c r="D537" s="29"/>
      <c r="E537" s="29"/>
      <c r="F537" s="29"/>
      <c r="G537" s="88"/>
      <c r="H537" s="29"/>
      <c r="I537" s="29"/>
      <c r="J537" s="29"/>
    </row>
    <row r="538">
      <c r="A538" s="29"/>
      <c r="B538" s="29"/>
      <c r="C538" s="29"/>
      <c r="D538" s="29"/>
      <c r="E538" s="29"/>
      <c r="F538" s="29"/>
      <c r="G538" s="88"/>
      <c r="H538" s="29"/>
      <c r="I538" s="29"/>
      <c r="J538" s="29"/>
    </row>
    <row r="539">
      <c r="A539" s="29"/>
      <c r="B539" s="29"/>
      <c r="C539" s="29"/>
      <c r="D539" s="29"/>
      <c r="E539" s="29"/>
      <c r="F539" s="29"/>
      <c r="G539" s="88"/>
      <c r="H539" s="29"/>
      <c r="I539" s="29"/>
      <c r="J539" s="29"/>
    </row>
    <row r="540">
      <c r="A540" s="29"/>
      <c r="B540" s="29"/>
      <c r="C540" s="29"/>
      <c r="D540" s="29"/>
      <c r="E540" s="29"/>
      <c r="F540" s="29"/>
      <c r="G540" s="88"/>
      <c r="H540" s="29"/>
      <c r="I540" s="29"/>
      <c r="J540" s="29"/>
    </row>
    <row r="541">
      <c r="A541" s="29"/>
      <c r="B541" s="29"/>
      <c r="C541" s="29"/>
      <c r="D541" s="29"/>
      <c r="E541" s="29"/>
      <c r="F541" s="29"/>
      <c r="G541" s="88"/>
      <c r="H541" s="29"/>
      <c r="I541" s="29"/>
      <c r="J541" s="29"/>
    </row>
    <row r="542">
      <c r="A542" s="29"/>
      <c r="B542" s="29"/>
      <c r="C542" s="29"/>
      <c r="D542" s="29"/>
      <c r="E542" s="29"/>
      <c r="F542" s="29"/>
      <c r="G542" s="88"/>
      <c r="H542" s="29"/>
      <c r="I542" s="29"/>
      <c r="J542" s="29"/>
    </row>
    <row r="543">
      <c r="A543" s="29"/>
      <c r="B543" s="29"/>
      <c r="C543" s="29"/>
      <c r="D543" s="29"/>
      <c r="E543" s="29"/>
      <c r="F543" s="29"/>
      <c r="G543" s="88"/>
      <c r="H543" s="29"/>
      <c r="I543" s="29"/>
      <c r="J543" s="29"/>
    </row>
    <row r="544">
      <c r="A544" s="29"/>
      <c r="B544" s="29"/>
      <c r="C544" s="29"/>
      <c r="D544" s="29"/>
      <c r="E544" s="29"/>
      <c r="F544" s="29"/>
      <c r="G544" s="88"/>
      <c r="H544" s="29"/>
      <c r="I544" s="29"/>
      <c r="J544" s="29"/>
    </row>
    <row r="545">
      <c r="A545" s="29"/>
      <c r="B545" s="29"/>
      <c r="C545" s="29"/>
      <c r="D545" s="29"/>
      <c r="E545" s="29"/>
      <c r="F545" s="29"/>
      <c r="G545" s="88"/>
      <c r="H545" s="29"/>
      <c r="I545" s="29"/>
      <c r="J545" s="29"/>
    </row>
    <row r="546">
      <c r="A546" s="29"/>
      <c r="B546" s="29"/>
      <c r="C546" s="29"/>
      <c r="D546" s="29"/>
      <c r="E546" s="29"/>
      <c r="F546" s="29"/>
      <c r="G546" s="88"/>
      <c r="H546" s="29"/>
      <c r="I546" s="29"/>
      <c r="J546" s="29"/>
    </row>
    <row r="547">
      <c r="A547" s="29"/>
      <c r="B547" s="29"/>
      <c r="C547" s="29"/>
      <c r="D547" s="29"/>
      <c r="E547" s="29"/>
      <c r="F547" s="29"/>
      <c r="G547" s="88"/>
      <c r="H547" s="29"/>
      <c r="I547" s="29"/>
      <c r="J547" s="29"/>
    </row>
    <row r="548">
      <c r="A548" s="29"/>
      <c r="B548" s="29"/>
      <c r="C548" s="29"/>
      <c r="D548" s="29"/>
      <c r="E548" s="29"/>
      <c r="F548" s="29"/>
      <c r="G548" s="88"/>
      <c r="H548" s="29"/>
      <c r="I548" s="29"/>
      <c r="J548" s="29"/>
    </row>
    <row r="549">
      <c r="A549" s="29"/>
      <c r="B549" s="29"/>
      <c r="C549" s="29"/>
      <c r="D549" s="29"/>
      <c r="E549" s="29"/>
      <c r="F549" s="29"/>
      <c r="G549" s="88"/>
      <c r="H549" s="29"/>
      <c r="I549" s="29"/>
      <c r="J549" s="29"/>
    </row>
    <row r="550">
      <c r="A550" s="29"/>
      <c r="B550" s="29"/>
      <c r="C550" s="29"/>
      <c r="D550" s="29"/>
      <c r="E550" s="29"/>
      <c r="F550" s="29"/>
      <c r="G550" s="88"/>
      <c r="H550" s="29"/>
      <c r="I550" s="29"/>
      <c r="J550" s="29"/>
    </row>
    <row r="551">
      <c r="A551" s="29"/>
      <c r="B551" s="29"/>
      <c r="C551" s="29"/>
      <c r="D551" s="29"/>
      <c r="E551" s="29"/>
      <c r="F551" s="29"/>
      <c r="G551" s="88"/>
      <c r="H551" s="29"/>
      <c r="I551" s="29"/>
      <c r="J551" s="29"/>
    </row>
    <row r="552">
      <c r="A552" s="29"/>
      <c r="B552" s="29"/>
      <c r="C552" s="29"/>
      <c r="D552" s="29"/>
      <c r="E552" s="29"/>
      <c r="F552" s="29"/>
      <c r="G552" s="88"/>
      <c r="H552" s="29"/>
      <c r="I552" s="29"/>
      <c r="J552" s="29"/>
    </row>
    <row r="553">
      <c r="A553" s="29"/>
      <c r="B553" s="29"/>
      <c r="C553" s="29"/>
      <c r="D553" s="29"/>
      <c r="E553" s="29"/>
      <c r="F553" s="29"/>
      <c r="G553" s="88"/>
      <c r="H553" s="29"/>
      <c r="I553" s="29"/>
      <c r="J553" s="29"/>
    </row>
    <row r="554">
      <c r="A554" s="29"/>
      <c r="B554" s="29"/>
      <c r="C554" s="29"/>
      <c r="D554" s="29"/>
      <c r="E554" s="29"/>
      <c r="F554" s="29"/>
      <c r="G554" s="88"/>
      <c r="H554" s="29"/>
      <c r="I554" s="29"/>
      <c r="J554" s="29"/>
    </row>
    <row r="555">
      <c r="A555" s="29"/>
      <c r="B555" s="29"/>
      <c r="C555" s="29"/>
      <c r="D555" s="29"/>
      <c r="E555" s="29"/>
      <c r="F555" s="29"/>
      <c r="G555" s="88"/>
      <c r="H555" s="29"/>
      <c r="I555" s="29"/>
      <c r="J555" s="29"/>
    </row>
    <row r="556">
      <c r="A556" s="29"/>
      <c r="B556" s="29"/>
      <c r="C556" s="29"/>
      <c r="D556" s="29"/>
      <c r="E556" s="29"/>
      <c r="F556" s="29"/>
      <c r="G556" s="88"/>
      <c r="H556" s="29"/>
      <c r="I556" s="29"/>
      <c r="J556" s="29"/>
    </row>
    <row r="557">
      <c r="A557" s="29"/>
      <c r="B557" s="29"/>
      <c r="C557" s="29"/>
      <c r="D557" s="29"/>
      <c r="E557" s="29"/>
      <c r="F557" s="29"/>
      <c r="G557" s="88"/>
      <c r="H557" s="29"/>
      <c r="I557" s="29"/>
      <c r="J557" s="29"/>
    </row>
    <row r="558">
      <c r="A558" s="29"/>
      <c r="B558" s="29"/>
      <c r="C558" s="29"/>
      <c r="D558" s="29"/>
      <c r="E558" s="29"/>
      <c r="F558" s="29"/>
      <c r="G558" s="88"/>
      <c r="H558" s="29"/>
      <c r="I558" s="29"/>
      <c r="J558" s="29"/>
    </row>
    <row r="559">
      <c r="A559" s="29"/>
      <c r="B559" s="29"/>
      <c r="C559" s="29"/>
      <c r="D559" s="29"/>
      <c r="E559" s="29"/>
      <c r="F559" s="29"/>
      <c r="G559" s="88"/>
      <c r="H559" s="29"/>
      <c r="I559" s="29"/>
      <c r="J559" s="29"/>
    </row>
    <row r="560">
      <c r="A560" s="29"/>
      <c r="B560" s="29"/>
      <c r="C560" s="29"/>
      <c r="D560" s="29"/>
      <c r="E560" s="29"/>
      <c r="F560" s="29"/>
      <c r="G560" s="88"/>
      <c r="H560" s="29"/>
      <c r="I560" s="29"/>
      <c r="J560" s="29"/>
    </row>
    <row r="561">
      <c r="A561" s="29"/>
      <c r="B561" s="29"/>
      <c r="C561" s="29"/>
      <c r="D561" s="29"/>
      <c r="E561" s="29"/>
      <c r="F561" s="29"/>
      <c r="G561" s="88"/>
      <c r="H561" s="29"/>
      <c r="I561" s="29"/>
      <c r="J561" s="29"/>
    </row>
    <row r="562">
      <c r="A562" s="29"/>
      <c r="B562" s="29"/>
      <c r="C562" s="29"/>
      <c r="D562" s="29"/>
      <c r="E562" s="29"/>
      <c r="F562" s="29"/>
      <c r="G562" s="88"/>
      <c r="H562" s="29"/>
      <c r="I562" s="29"/>
      <c r="J562" s="29"/>
    </row>
    <row r="563">
      <c r="A563" s="29"/>
      <c r="B563" s="29"/>
      <c r="C563" s="29"/>
      <c r="D563" s="29"/>
      <c r="E563" s="29"/>
      <c r="F563" s="29"/>
      <c r="G563" s="88"/>
      <c r="H563" s="29"/>
      <c r="I563" s="29"/>
      <c r="J563" s="29"/>
    </row>
    <row r="564">
      <c r="A564" s="29"/>
      <c r="B564" s="29"/>
      <c r="C564" s="29"/>
      <c r="D564" s="29"/>
      <c r="E564" s="29"/>
      <c r="F564" s="29"/>
      <c r="G564" s="88"/>
      <c r="H564" s="29"/>
      <c r="I564" s="29"/>
      <c r="J564" s="29"/>
    </row>
    <row r="565">
      <c r="A565" s="29"/>
      <c r="B565" s="29"/>
      <c r="C565" s="29"/>
      <c r="D565" s="29"/>
      <c r="E565" s="29"/>
      <c r="F565" s="29"/>
      <c r="G565" s="88"/>
      <c r="H565" s="29"/>
      <c r="I565" s="29"/>
      <c r="J565" s="29"/>
    </row>
    <row r="566">
      <c r="A566" s="29"/>
      <c r="B566" s="29"/>
      <c r="C566" s="29"/>
      <c r="D566" s="29"/>
      <c r="E566" s="29"/>
      <c r="F566" s="29"/>
      <c r="G566" s="88"/>
      <c r="H566" s="29"/>
      <c r="I566" s="29"/>
      <c r="J566" s="29"/>
    </row>
    <row r="567">
      <c r="A567" s="29"/>
      <c r="B567" s="29"/>
      <c r="C567" s="29"/>
      <c r="D567" s="29"/>
      <c r="E567" s="29"/>
      <c r="F567" s="29"/>
      <c r="G567" s="88"/>
      <c r="H567" s="29"/>
      <c r="I567" s="29"/>
      <c r="J567" s="29"/>
    </row>
    <row r="568">
      <c r="A568" s="29"/>
      <c r="B568" s="29"/>
      <c r="C568" s="29"/>
      <c r="D568" s="29"/>
      <c r="E568" s="29"/>
      <c r="F568" s="29"/>
      <c r="G568" s="88"/>
      <c r="H568" s="29"/>
      <c r="I568" s="29"/>
      <c r="J568" s="29"/>
    </row>
    <row r="569">
      <c r="A569" s="29"/>
      <c r="B569" s="29"/>
      <c r="C569" s="29"/>
      <c r="D569" s="29"/>
      <c r="E569" s="29"/>
      <c r="F569" s="29"/>
      <c r="G569" s="88"/>
      <c r="H569" s="29"/>
      <c r="I569" s="29"/>
      <c r="J569" s="29"/>
    </row>
    <row r="570">
      <c r="A570" s="29"/>
      <c r="B570" s="29"/>
      <c r="C570" s="29"/>
      <c r="D570" s="29"/>
      <c r="E570" s="29"/>
      <c r="F570" s="29"/>
      <c r="G570" s="88"/>
      <c r="H570" s="29"/>
      <c r="I570" s="29"/>
      <c r="J570" s="29"/>
    </row>
    <row r="571">
      <c r="A571" s="29"/>
      <c r="B571" s="29"/>
      <c r="C571" s="29"/>
      <c r="D571" s="29"/>
      <c r="E571" s="29"/>
      <c r="F571" s="29"/>
      <c r="G571" s="88"/>
      <c r="H571" s="29"/>
      <c r="I571" s="29"/>
      <c r="J571" s="29"/>
    </row>
    <row r="572">
      <c r="A572" s="29"/>
      <c r="B572" s="29"/>
      <c r="C572" s="29"/>
      <c r="D572" s="29"/>
      <c r="E572" s="29"/>
      <c r="F572" s="29"/>
      <c r="G572" s="88"/>
      <c r="H572" s="29"/>
      <c r="I572" s="29"/>
      <c r="J572" s="29"/>
    </row>
    <row r="573">
      <c r="A573" s="29"/>
      <c r="B573" s="29"/>
      <c r="C573" s="29"/>
      <c r="D573" s="29"/>
      <c r="E573" s="29"/>
      <c r="F573" s="29"/>
      <c r="G573" s="88"/>
      <c r="H573" s="29"/>
      <c r="I573" s="29"/>
      <c r="J573" s="29"/>
    </row>
    <row r="574">
      <c r="A574" s="29"/>
      <c r="B574" s="29"/>
      <c r="C574" s="29"/>
      <c r="D574" s="29"/>
      <c r="E574" s="29"/>
      <c r="F574" s="29"/>
      <c r="G574" s="88"/>
      <c r="H574" s="29"/>
      <c r="I574" s="29"/>
      <c r="J574" s="29"/>
    </row>
    <row r="575">
      <c r="A575" s="29"/>
      <c r="B575" s="29"/>
      <c r="C575" s="29"/>
      <c r="D575" s="29"/>
      <c r="E575" s="29"/>
      <c r="F575" s="29"/>
      <c r="G575" s="88"/>
      <c r="H575" s="29"/>
      <c r="I575" s="29"/>
      <c r="J575" s="29"/>
    </row>
    <row r="576">
      <c r="A576" s="29"/>
      <c r="B576" s="29"/>
      <c r="C576" s="29"/>
      <c r="D576" s="29"/>
      <c r="E576" s="29"/>
      <c r="F576" s="29"/>
      <c r="G576" s="88"/>
      <c r="H576" s="29"/>
      <c r="I576" s="29"/>
      <c r="J576" s="29"/>
    </row>
    <row r="577">
      <c r="A577" s="29"/>
      <c r="B577" s="29"/>
      <c r="C577" s="29"/>
      <c r="D577" s="29"/>
      <c r="E577" s="29"/>
      <c r="F577" s="29"/>
      <c r="G577" s="88"/>
      <c r="H577" s="29"/>
      <c r="I577" s="29"/>
      <c r="J577" s="29"/>
    </row>
    <row r="578">
      <c r="A578" s="29"/>
      <c r="B578" s="29"/>
      <c r="C578" s="29"/>
      <c r="D578" s="29"/>
      <c r="E578" s="29"/>
      <c r="F578" s="29"/>
      <c r="G578" s="88"/>
      <c r="H578" s="29"/>
      <c r="I578" s="29"/>
      <c r="J578" s="29"/>
    </row>
    <row r="579">
      <c r="A579" s="29"/>
      <c r="B579" s="29"/>
      <c r="C579" s="29"/>
      <c r="D579" s="29"/>
      <c r="E579" s="29"/>
      <c r="F579" s="29"/>
      <c r="G579" s="88"/>
      <c r="H579" s="29"/>
      <c r="I579" s="29"/>
      <c r="J579" s="29"/>
    </row>
    <row r="580">
      <c r="A580" s="29"/>
      <c r="B580" s="29"/>
      <c r="C580" s="29"/>
      <c r="D580" s="29"/>
      <c r="E580" s="29"/>
      <c r="F580" s="29"/>
      <c r="G580" s="88"/>
      <c r="H580" s="29"/>
      <c r="I580" s="29"/>
      <c r="J580" s="29"/>
    </row>
    <row r="581">
      <c r="A581" s="29"/>
      <c r="B581" s="29"/>
      <c r="C581" s="29"/>
      <c r="D581" s="29"/>
      <c r="E581" s="29"/>
      <c r="F581" s="29"/>
      <c r="G581" s="88"/>
      <c r="H581" s="29"/>
      <c r="I581" s="29"/>
      <c r="J581" s="29"/>
    </row>
    <row r="582">
      <c r="A582" s="29"/>
      <c r="B582" s="29"/>
      <c r="C582" s="29"/>
      <c r="D582" s="29"/>
      <c r="E582" s="29"/>
      <c r="F582" s="29"/>
      <c r="G582" s="88"/>
      <c r="H582" s="29"/>
      <c r="I582" s="29"/>
      <c r="J582" s="29"/>
    </row>
    <row r="583">
      <c r="A583" s="29"/>
      <c r="B583" s="29"/>
      <c r="C583" s="29"/>
      <c r="D583" s="29"/>
      <c r="E583" s="29"/>
      <c r="F583" s="29"/>
      <c r="G583" s="88"/>
      <c r="H583" s="29"/>
      <c r="I583" s="29"/>
      <c r="J583" s="29"/>
    </row>
    <row r="584">
      <c r="A584" s="29"/>
      <c r="B584" s="29"/>
      <c r="C584" s="29"/>
      <c r="D584" s="29"/>
      <c r="E584" s="29"/>
      <c r="F584" s="29"/>
      <c r="G584" s="88"/>
      <c r="H584" s="29"/>
      <c r="I584" s="29"/>
      <c r="J584" s="29"/>
    </row>
    <row r="585">
      <c r="A585" s="29"/>
      <c r="B585" s="29"/>
      <c r="C585" s="29"/>
      <c r="D585" s="29"/>
      <c r="E585" s="29"/>
      <c r="F585" s="29"/>
      <c r="G585" s="88"/>
      <c r="H585" s="29"/>
      <c r="I585" s="29"/>
      <c r="J585" s="29"/>
    </row>
    <row r="586">
      <c r="A586" s="29"/>
      <c r="B586" s="29"/>
      <c r="C586" s="29"/>
      <c r="D586" s="29"/>
      <c r="E586" s="29"/>
      <c r="F586" s="29"/>
      <c r="G586" s="88"/>
      <c r="H586" s="29"/>
      <c r="I586" s="29"/>
      <c r="J586" s="29"/>
    </row>
    <row r="587">
      <c r="A587" s="29"/>
      <c r="B587" s="29"/>
      <c r="C587" s="29"/>
      <c r="D587" s="29"/>
      <c r="E587" s="29"/>
      <c r="F587" s="29"/>
      <c r="G587" s="88"/>
      <c r="H587" s="29"/>
      <c r="I587" s="29"/>
      <c r="J587" s="29"/>
    </row>
    <row r="588">
      <c r="A588" s="29"/>
      <c r="B588" s="29"/>
      <c r="C588" s="29"/>
      <c r="D588" s="29"/>
      <c r="E588" s="29"/>
      <c r="F588" s="29"/>
      <c r="G588" s="88"/>
      <c r="H588" s="29"/>
      <c r="I588" s="29"/>
      <c r="J588" s="29"/>
    </row>
    <row r="589">
      <c r="A589" s="29"/>
      <c r="B589" s="29"/>
      <c r="C589" s="29"/>
      <c r="D589" s="29"/>
      <c r="E589" s="29"/>
      <c r="F589" s="29"/>
      <c r="G589" s="88"/>
      <c r="H589" s="29"/>
      <c r="I589" s="29"/>
      <c r="J589" s="29"/>
    </row>
    <row r="590">
      <c r="A590" s="29"/>
      <c r="B590" s="29"/>
      <c r="C590" s="29"/>
      <c r="D590" s="29"/>
      <c r="E590" s="29"/>
      <c r="F590" s="29"/>
      <c r="G590" s="88"/>
      <c r="H590" s="29"/>
      <c r="I590" s="29"/>
      <c r="J590" s="29"/>
    </row>
    <row r="591">
      <c r="A591" s="29"/>
      <c r="B591" s="29"/>
      <c r="C591" s="29"/>
      <c r="D591" s="29"/>
      <c r="E591" s="29"/>
      <c r="F591" s="29"/>
      <c r="G591" s="88"/>
      <c r="H591" s="29"/>
      <c r="I591" s="29"/>
      <c r="J591" s="29"/>
    </row>
    <row r="592">
      <c r="A592" s="29"/>
      <c r="B592" s="29"/>
      <c r="C592" s="29"/>
      <c r="D592" s="29"/>
      <c r="E592" s="29"/>
      <c r="F592" s="29"/>
      <c r="G592" s="88"/>
      <c r="H592" s="29"/>
      <c r="I592" s="29"/>
      <c r="J592" s="29"/>
    </row>
    <row r="593">
      <c r="A593" s="29"/>
      <c r="B593" s="29"/>
      <c r="C593" s="29"/>
      <c r="D593" s="29"/>
      <c r="E593" s="29"/>
      <c r="F593" s="29"/>
      <c r="G593" s="88"/>
      <c r="H593" s="29"/>
      <c r="I593" s="29"/>
      <c r="J593" s="29"/>
    </row>
    <row r="594">
      <c r="A594" s="29"/>
      <c r="B594" s="29"/>
      <c r="C594" s="29"/>
      <c r="D594" s="29"/>
      <c r="E594" s="29"/>
      <c r="F594" s="29"/>
      <c r="G594" s="88"/>
      <c r="H594" s="29"/>
      <c r="I594" s="29"/>
      <c r="J594" s="29"/>
    </row>
    <row r="595">
      <c r="A595" s="29"/>
      <c r="B595" s="29"/>
      <c r="C595" s="29"/>
      <c r="D595" s="29"/>
      <c r="E595" s="29"/>
      <c r="F595" s="29"/>
      <c r="G595" s="88"/>
      <c r="H595" s="29"/>
      <c r="I595" s="29"/>
      <c r="J595" s="29"/>
    </row>
    <row r="596">
      <c r="A596" s="29"/>
      <c r="B596" s="29"/>
      <c r="C596" s="29"/>
      <c r="D596" s="29"/>
      <c r="E596" s="29"/>
      <c r="F596" s="29"/>
      <c r="G596" s="88"/>
      <c r="H596" s="29"/>
      <c r="I596" s="29"/>
      <c r="J596" s="29"/>
    </row>
    <row r="597">
      <c r="A597" s="29"/>
      <c r="B597" s="29"/>
      <c r="C597" s="29"/>
      <c r="D597" s="29"/>
      <c r="E597" s="29"/>
      <c r="F597" s="29"/>
      <c r="G597" s="88"/>
      <c r="H597" s="29"/>
      <c r="I597" s="29"/>
      <c r="J597" s="29"/>
    </row>
    <row r="598">
      <c r="A598" s="29"/>
      <c r="B598" s="29"/>
      <c r="C598" s="29"/>
      <c r="D598" s="29"/>
      <c r="E598" s="29"/>
      <c r="F598" s="29"/>
      <c r="G598" s="88"/>
      <c r="H598" s="29"/>
      <c r="I598" s="29"/>
      <c r="J598" s="29"/>
    </row>
    <row r="599">
      <c r="A599" s="29"/>
      <c r="B599" s="29"/>
      <c r="C599" s="29"/>
      <c r="D599" s="29"/>
      <c r="E599" s="29"/>
      <c r="F599" s="29"/>
      <c r="G599" s="88"/>
      <c r="H599" s="29"/>
      <c r="I599" s="29"/>
      <c r="J599" s="29"/>
    </row>
    <row r="600">
      <c r="A600" s="29"/>
      <c r="B600" s="29"/>
      <c r="C600" s="29"/>
      <c r="D600" s="29"/>
      <c r="E600" s="29"/>
      <c r="F600" s="29"/>
      <c r="G600" s="88"/>
      <c r="H600" s="29"/>
      <c r="I600" s="29"/>
      <c r="J600" s="29"/>
    </row>
    <row r="601">
      <c r="A601" s="29"/>
      <c r="B601" s="29"/>
      <c r="C601" s="29"/>
      <c r="D601" s="29"/>
      <c r="E601" s="29"/>
      <c r="F601" s="29"/>
      <c r="G601" s="88"/>
      <c r="H601" s="29"/>
      <c r="I601" s="29"/>
      <c r="J601" s="29"/>
    </row>
    <row r="602">
      <c r="A602" s="29"/>
      <c r="B602" s="29"/>
      <c r="C602" s="29"/>
      <c r="D602" s="29"/>
      <c r="E602" s="29"/>
      <c r="F602" s="29"/>
      <c r="G602" s="88"/>
      <c r="H602" s="29"/>
      <c r="I602" s="29"/>
      <c r="J602" s="29"/>
    </row>
    <row r="603">
      <c r="A603" s="29"/>
      <c r="B603" s="29"/>
      <c r="C603" s="29"/>
      <c r="D603" s="29"/>
      <c r="E603" s="29"/>
      <c r="F603" s="29"/>
      <c r="G603" s="88"/>
      <c r="H603" s="29"/>
      <c r="I603" s="29"/>
      <c r="J603" s="29"/>
    </row>
    <row r="604">
      <c r="A604" s="29"/>
      <c r="B604" s="29"/>
      <c r="C604" s="29"/>
      <c r="D604" s="29"/>
      <c r="E604" s="29"/>
      <c r="F604" s="29"/>
      <c r="G604" s="88"/>
      <c r="H604" s="29"/>
      <c r="I604" s="29"/>
      <c r="J604" s="29"/>
    </row>
    <row r="605">
      <c r="A605" s="29"/>
      <c r="B605" s="29"/>
      <c r="C605" s="29"/>
      <c r="D605" s="29"/>
      <c r="E605" s="29"/>
      <c r="F605" s="29"/>
      <c r="G605" s="88"/>
      <c r="H605" s="29"/>
      <c r="I605" s="29"/>
      <c r="J605" s="29"/>
    </row>
    <row r="606">
      <c r="A606" s="29"/>
      <c r="B606" s="29"/>
      <c r="C606" s="29"/>
      <c r="D606" s="29"/>
      <c r="E606" s="29"/>
      <c r="F606" s="29"/>
      <c r="G606" s="88"/>
      <c r="H606" s="29"/>
      <c r="I606" s="29"/>
      <c r="J606" s="29"/>
    </row>
    <row r="607">
      <c r="A607" s="29"/>
      <c r="B607" s="29"/>
      <c r="C607" s="29"/>
      <c r="D607" s="29"/>
      <c r="E607" s="29"/>
      <c r="F607" s="29"/>
      <c r="G607" s="88"/>
      <c r="H607" s="29"/>
      <c r="I607" s="29"/>
      <c r="J607" s="29"/>
    </row>
    <row r="608">
      <c r="A608" s="29"/>
      <c r="B608" s="29"/>
      <c r="C608" s="29"/>
      <c r="D608" s="29"/>
      <c r="E608" s="29"/>
      <c r="F608" s="29"/>
      <c r="G608" s="88"/>
      <c r="H608" s="29"/>
      <c r="I608" s="29"/>
      <c r="J608" s="29"/>
    </row>
    <row r="609">
      <c r="A609" s="29"/>
      <c r="B609" s="29"/>
      <c r="C609" s="29"/>
      <c r="D609" s="29"/>
      <c r="E609" s="29"/>
      <c r="F609" s="29"/>
      <c r="G609" s="88"/>
      <c r="H609" s="29"/>
      <c r="I609" s="29"/>
      <c r="J609" s="29"/>
    </row>
    <row r="610">
      <c r="A610" s="29"/>
      <c r="B610" s="29"/>
      <c r="C610" s="29"/>
      <c r="D610" s="29"/>
      <c r="E610" s="29"/>
      <c r="F610" s="29"/>
      <c r="G610" s="88"/>
      <c r="H610" s="29"/>
      <c r="I610" s="29"/>
      <c r="J610" s="29"/>
    </row>
    <row r="611">
      <c r="A611" s="29"/>
      <c r="B611" s="29"/>
      <c r="C611" s="29"/>
      <c r="D611" s="29"/>
      <c r="E611" s="29"/>
      <c r="F611" s="29"/>
      <c r="G611" s="88"/>
      <c r="H611" s="29"/>
      <c r="I611" s="29"/>
      <c r="J611" s="29"/>
    </row>
    <row r="612">
      <c r="A612" s="29"/>
      <c r="B612" s="29"/>
      <c r="C612" s="29"/>
      <c r="D612" s="29"/>
      <c r="E612" s="29"/>
      <c r="F612" s="29"/>
      <c r="G612" s="88"/>
      <c r="H612" s="29"/>
      <c r="I612" s="29"/>
      <c r="J612" s="29"/>
    </row>
    <row r="613">
      <c r="A613" s="29"/>
      <c r="B613" s="29"/>
      <c r="C613" s="29"/>
      <c r="D613" s="29"/>
      <c r="E613" s="29"/>
      <c r="F613" s="29"/>
      <c r="G613" s="88"/>
      <c r="H613" s="29"/>
      <c r="I613" s="29"/>
      <c r="J613" s="29"/>
    </row>
    <row r="614">
      <c r="A614" s="29"/>
      <c r="B614" s="29"/>
      <c r="C614" s="29"/>
      <c r="D614" s="29"/>
      <c r="E614" s="29"/>
      <c r="F614" s="29"/>
      <c r="G614" s="88"/>
      <c r="H614" s="29"/>
      <c r="I614" s="29"/>
      <c r="J614" s="29"/>
    </row>
    <row r="615">
      <c r="A615" s="29"/>
      <c r="B615" s="29"/>
      <c r="C615" s="29"/>
      <c r="D615" s="29"/>
      <c r="E615" s="29"/>
      <c r="F615" s="29"/>
      <c r="G615" s="88"/>
      <c r="H615" s="29"/>
      <c r="I615" s="29"/>
      <c r="J615" s="29"/>
    </row>
    <row r="616">
      <c r="A616" s="29"/>
      <c r="B616" s="29"/>
      <c r="C616" s="29"/>
      <c r="D616" s="29"/>
      <c r="E616" s="29"/>
      <c r="F616" s="29"/>
      <c r="G616" s="88"/>
      <c r="H616" s="29"/>
      <c r="I616" s="29"/>
      <c r="J616" s="29"/>
    </row>
    <row r="617">
      <c r="A617" s="29"/>
      <c r="B617" s="29"/>
      <c r="C617" s="29"/>
      <c r="D617" s="29"/>
      <c r="E617" s="29"/>
      <c r="F617" s="29"/>
      <c r="G617" s="88"/>
      <c r="H617" s="29"/>
      <c r="I617" s="29"/>
      <c r="J617" s="29"/>
    </row>
    <row r="618">
      <c r="A618" s="29"/>
      <c r="B618" s="29"/>
      <c r="C618" s="29"/>
      <c r="D618" s="29"/>
      <c r="E618" s="29"/>
      <c r="F618" s="29"/>
      <c r="G618" s="88"/>
      <c r="H618" s="29"/>
      <c r="I618" s="29"/>
      <c r="J618" s="29"/>
    </row>
    <row r="619">
      <c r="A619" s="29"/>
      <c r="B619" s="29"/>
      <c r="C619" s="29"/>
      <c r="D619" s="29"/>
      <c r="E619" s="29"/>
      <c r="F619" s="29"/>
      <c r="G619" s="88"/>
      <c r="H619" s="29"/>
      <c r="I619" s="29"/>
      <c r="J619" s="29"/>
    </row>
    <row r="620">
      <c r="A620" s="29"/>
      <c r="B620" s="29"/>
      <c r="C620" s="29"/>
      <c r="D620" s="29"/>
      <c r="E620" s="29"/>
      <c r="F620" s="29"/>
      <c r="G620" s="88"/>
      <c r="H620" s="29"/>
      <c r="I620" s="29"/>
      <c r="J620" s="29"/>
    </row>
    <row r="621">
      <c r="A621" s="29"/>
      <c r="B621" s="29"/>
      <c r="C621" s="29"/>
      <c r="D621" s="29"/>
      <c r="E621" s="29"/>
      <c r="F621" s="29"/>
      <c r="G621" s="88"/>
      <c r="H621" s="29"/>
      <c r="I621" s="29"/>
      <c r="J621" s="29"/>
    </row>
    <row r="622">
      <c r="A622" s="29"/>
      <c r="B622" s="29"/>
      <c r="C622" s="29"/>
      <c r="D622" s="29"/>
      <c r="E622" s="29"/>
      <c r="F622" s="29"/>
      <c r="G622" s="88"/>
      <c r="H622" s="29"/>
      <c r="I622" s="29"/>
      <c r="J622" s="29"/>
    </row>
    <row r="623">
      <c r="A623" s="29"/>
      <c r="B623" s="29"/>
      <c r="C623" s="29"/>
      <c r="D623" s="29"/>
      <c r="E623" s="29"/>
      <c r="F623" s="29"/>
      <c r="G623" s="88"/>
      <c r="H623" s="29"/>
      <c r="I623" s="29"/>
      <c r="J623" s="29"/>
    </row>
    <row r="624">
      <c r="A624" s="29"/>
      <c r="B624" s="29"/>
      <c r="C624" s="29"/>
      <c r="D624" s="29"/>
      <c r="E624" s="29"/>
      <c r="F624" s="29"/>
      <c r="G624" s="88"/>
      <c r="H624" s="29"/>
      <c r="I624" s="29"/>
      <c r="J624" s="29"/>
    </row>
    <row r="625">
      <c r="A625" s="29"/>
      <c r="B625" s="29"/>
      <c r="C625" s="29"/>
      <c r="D625" s="29"/>
      <c r="E625" s="29"/>
      <c r="F625" s="29"/>
      <c r="G625" s="88"/>
      <c r="H625" s="29"/>
      <c r="I625" s="29"/>
      <c r="J625" s="29"/>
    </row>
    <row r="626">
      <c r="A626" s="29"/>
      <c r="B626" s="29"/>
      <c r="C626" s="29"/>
      <c r="D626" s="29"/>
      <c r="E626" s="29"/>
      <c r="F626" s="29"/>
      <c r="G626" s="88"/>
      <c r="H626" s="29"/>
      <c r="I626" s="29"/>
      <c r="J626" s="29"/>
    </row>
    <row r="627">
      <c r="A627" s="29"/>
      <c r="B627" s="29"/>
      <c r="C627" s="29"/>
      <c r="D627" s="29"/>
      <c r="E627" s="29"/>
      <c r="F627" s="29"/>
      <c r="G627" s="88"/>
      <c r="H627" s="29"/>
      <c r="I627" s="29"/>
      <c r="J627" s="29"/>
    </row>
    <row r="628">
      <c r="A628" s="29"/>
      <c r="B628" s="29"/>
      <c r="C628" s="29"/>
      <c r="D628" s="29"/>
      <c r="E628" s="29"/>
      <c r="F628" s="29"/>
      <c r="G628" s="88"/>
      <c r="H628" s="29"/>
      <c r="I628" s="29"/>
      <c r="J628" s="29"/>
    </row>
    <row r="629">
      <c r="A629" s="29"/>
      <c r="B629" s="29"/>
      <c r="C629" s="29"/>
      <c r="D629" s="29"/>
      <c r="E629" s="29"/>
      <c r="F629" s="29"/>
      <c r="G629" s="88"/>
      <c r="H629" s="29"/>
      <c r="I629" s="29"/>
      <c r="J629" s="29"/>
    </row>
    <row r="630">
      <c r="A630" s="29"/>
      <c r="B630" s="29"/>
      <c r="C630" s="29"/>
      <c r="D630" s="29"/>
      <c r="E630" s="29"/>
      <c r="F630" s="29"/>
      <c r="G630" s="88"/>
      <c r="H630" s="29"/>
      <c r="I630" s="29"/>
      <c r="J630" s="29"/>
    </row>
    <row r="631">
      <c r="A631" s="29"/>
      <c r="B631" s="29"/>
      <c r="C631" s="29"/>
      <c r="D631" s="29"/>
      <c r="E631" s="29"/>
      <c r="F631" s="29"/>
      <c r="G631" s="88"/>
      <c r="H631" s="29"/>
      <c r="I631" s="29"/>
      <c r="J631" s="29"/>
    </row>
    <row r="632">
      <c r="A632" s="29"/>
      <c r="B632" s="29"/>
      <c r="C632" s="29"/>
      <c r="D632" s="29"/>
      <c r="E632" s="29"/>
      <c r="F632" s="29"/>
      <c r="G632" s="88"/>
      <c r="H632" s="29"/>
      <c r="I632" s="29"/>
      <c r="J632" s="29"/>
    </row>
    <row r="633">
      <c r="A633" s="29"/>
      <c r="B633" s="29"/>
      <c r="C633" s="29"/>
      <c r="D633" s="29"/>
      <c r="E633" s="29"/>
      <c r="F633" s="29"/>
      <c r="G633" s="88"/>
      <c r="H633" s="29"/>
      <c r="I633" s="29"/>
      <c r="J633" s="29"/>
    </row>
    <row r="634">
      <c r="A634" s="29"/>
      <c r="B634" s="29"/>
      <c r="C634" s="29"/>
      <c r="D634" s="29"/>
      <c r="E634" s="29"/>
      <c r="F634" s="29"/>
      <c r="G634" s="88"/>
      <c r="H634" s="29"/>
      <c r="I634" s="29"/>
      <c r="J634" s="29"/>
    </row>
    <row r="635">
      <c r="A635" s="29"/>
      <c r="B635" s="29"/>
      <c r="C635" s="29"/>
      <c r="D635" s="29"/>
      <c r="E635" s="29"/>
      <c r="F635" s="29"/>
      <c r="G635" s="88"/>
      <c r="H635" s="29"/>
      <c r="I635" s="29"/>
      <c r="J635" s="29"/>
    </row>
    <row r="636">
      <c r="A636" s="29"/>
      <c r="B636" s="29"/>
      <c r="C636" s="29"/>
      <c r="D636" s="29"/>
      <c r="E636" s="29"/>
      <c r="F636" s="29"/>
      <c r="G636" s="88"/>
      <c r="H636" s="29"/>
      <c r="I636" s="29"/>
      <c r="J636" s="29"/>
    </row>
    <row r="637">
      <c r="A637" s="29"/>
      <c r="B637" s="29"/>
      <c r="C637" s="29"/>
      <c r="D637" s="29"/>
      <c r="E637" s="29"/>
      <c r="F637" s="29"/>
      <c r="G637" s="88"/>
      <c r="H637" s="29"/>
      <c r="I637" s="29"/>
      <c r="J637" s="29"/>
    </row>
    <row r="638">
      <c r="A638" s="29"/>
      <c r="B638" s="29"/>
      <c r="C638" s="29"/>
      <c r="D638" s="29"/>
      <c r="E638" s="29"/>
      <c r="F638" s="29"/>
      <c r="G638" s="88"/>
      <c r="H638" s="29"/>
      <c r="I638" s="29"/>
      <c r="J638" s="29"/>
    </row>
    <row r="639">
      <c r="A639" s="29"/>
      <c r="B639" s="29"/>
      <c r="C639" s="29"/>
      <c r="D639" s="29"/>
      <c r="E639" s="29"/>
      <c r="F639" s="29"/>
      <c r="G639" s="88"/>
      <c r="H639" s="29"/>
      <c r="I639" s="29"/>
      <c r="J639" s="29"/>
    </row>
    <row r="640">
      <c r="A640" s="29"/>
      <c r="B640" s="29"/>
      <c r="C640" s="29"/>
      <c r="D640" s="29"/>
      <c r="E640" s="29"/>
      <c r="F640" s="29"/>
      <c r="G640" s="88"/>
      <c r="H640" s="29"/>
      <c r="I640" s="29"/>
      <c r="J640" s="29"/>
    </row>
    <row r="641">
      <c r="A641" s="29"/>
      <c r="B641" s="29"/>
      <c r="C641" s="29"/>
      <c r="D641" s="29"/>
      <c r="E641" s="29"/>
      <c r="F641" s="29"/>
      <c r="G641" s="88"/>
      <c r="H641" s="29"/>
      <c r="I641" s="29"/>
      <c r="J641" s="29"/>
    </row>
    <row r="642">
      <c r="A642" s="29"/>
      <c r="B642" s="29"/>
      <c r="C642" s="29"/>
      <c r="D642" s="29"/>
      <c r="E642" s="29"/>
      <c r="F642" s="29"/>
      <c r="G642" s="88"/>
      <c r="H642" s="29"/>
      <c r="I642" s="29"/>
      <c r="J642" s="29"/>
    </row>
    <row r="643">
      <c r="A643" s="29"/>
      <c r="B643" s="29"/>
      <c r="C643" s="29"/>
      <c r="D643" s="29"/>
      <c r="E643" s="29"/>
      <c r="F643" s="29"/>
      <c r="G643" s="88"/>
      <c r="H643" s="29"/>
      <c r="I643" s="29"/>
      <c r="J643" s="29"/>
    </row>
    <row r="644">
      <c r="A644" s="29"/>
      <c r="B644" s="29"/>
      <c r="C644" s="29"/>
      <c r="D644" s="29"/>
      <c r="E644" s="29"/>
      <c r="F644" s="29"/>
      <c r="G644" s="88"/>
      <c r="H644" s="29"/>
      <c r="I644" s="29"/>
      <c r="J644" s="29"/>
    </row>
    <row r="645">
      <c r="A645" s="29"/>
      <c r="B645" s="29"/>
      <c r="C645" s="29"/>
      <c r="D645" s="29"/>
      <c r="E645" s="29"/>
      <c r="F645" s="29"/>
      <c r="G645" s="88"/>
      <c r="H645" s="29"/>
      <c r="I645" s="29"/>
      <c r="J645" s="29"/>
    </row>
    <row r="646">
      <c r="A646" s="29"/>
      <c r="B646" s="29"/>
      <c r="C646" s="29"/>
      <c r="D646" s="29"/>
      <c r="E646" s="29"/>
      <c r="F646" s="29"/>
      <c r="G646" s="88"/>
      <c r="H646" s="29"/>
      <c r="I646" s="29"/>
      <c r="J646" s="29"/>
    </row>
    <row r="647">
      <c r="A647" s="29"/>
      <c r="B647" s="29"/>
      <c r="C647" s="29"/>
      <c r="D647" s="29"/>
      <c r="E647" s="29"/>
      <c r="F647" s="29"/>
      <c r="G647" s="88"/>
      <c r="H647" s="29"/>
      <c r="I647" s="29"/>
      <c r="J647" s="29"/>
    </row>
    <row r="648">
      <c r="A648" s="29"/>
      <c r="B648" s="29"/>
      <c r="C648" s="29"/>
      <c r="D648" s="29"/>
      <c r="E648" s="29"/>
      <c r="F648" s="29"/>
      <c r="G648" s="88"/>
      <c r="H648" s="29"/>
      <c r="I648" s="29"/>
      <c r="J648" s="29"/>
    </row>
    <row r="649">
      <c r="A649" s="29"/>
      <c r="B649" s="29"/>
      <c r="C649" s="29"/>
      <c r="D649" s="29"/>
      <c r="E649" s="29"/>
      <c r="F649" s="29"/>
      <c r="G649" s="88"/>
      <c r="H649" s="29"/>
      <c r="I649" s="29"/>
      <c r="J649" s="29"/>
    </row>
    <row r="650">
      <c r="A650" s="29"/>
      <c r="B650" s="29"/>
      <c r="C650" s="29"/>
      <c r="D650" s="29"/>
      <c r="E650" s="29"/>
      <c r="F650" s="29"/>
      <c r="G650" s="88"/>
      <c r="H650" s="29"/>
      <c r="I650" s="29"/>
      <c r="J650" s="29"/>
    </row>
    <row r="651">
      <c r="A651" s="29"/>
      <c r="B651" s="29"/>
      <c r="C651" s="29"/>
      <c r="D651" s="29"/>
      <c r="E651" s="29"/>
      <c r="F651" s="29"/>
      <c r="G651" s="88"/>
      <c r="H651" s="29"/>
      <c r="I651" s="29"/>
      <c r="J651" s="29"/>
    </row>
    <row r="652">
      <c r="A652" s="29"/>
      <c r="B652" s="29"/>
      <c r="C652" s="29"/>
      <c r="D652" s="29"/>
      <c r="E652" s="29"/>
      <c r="F652" s="29"/>
      <c r="G652" s="88"/>
      <c r="H652" s="29"/>
      <c r="I652" s="29"/>
      <c r="J652" s="29"/>
    </row>
    <row r="653">
      <c r="A653" s="29"/>
      <c r="B653" s="29"/>
      <c r="C653" s="29"/>
      <c r="D653" s="29"/>
      <c r="E653" s="29"/>
      <c r="F653" s="29"/>
      <c r="G653" s="88"/>
      <c r="H653" s="29"/>
      <c r="I653" s="29"/>
      <c r="J653" s="29"/>
    </row>
    <row r="654">
      <c r="A654" s="29"/>
      <c r="B654" s="29"/>
      <c r="C654" s="29"/>
      <c r="D654" s="29"/>
      <c r="E654" s="29"/>
      <c r="F654" s="29"/>
      <c r="G654" s="88"/>
      <c r="H654" s="29"/>
      <c r="I654" s="29"/>
      <c r="J654" s="29"/>
    </row>
    <row r="655">
      <c r="A655" s="29"/>
      <c r="B655" s="29"/>
      <c r="C655" s="29"/>
      <c r="D655" s="29"/>
      <c r="E655" s="29"/>
      <c r="F655" s="29"/>
      <c r="G655" s="88"/>
      <c r="H655" s="29"/>
      <c r="I655" s="29"/>
      <c r="J655" s="29"/>
    </row>
    <row r="656">
      <c r="A656" s="29"/>
      <c r="B656" s="29"/>
      <c r="C656" s="29"/>
      <c r="D656" s="29"/>
      <c r="E656" s="29"/>
      <c r="F656" s="29"/>
      <c r="G656" s="88"/>
      <c r="H656" s="29"/>
      <c r="I656" s="29"/>
      <c r="J656" s="29"/>
    </row>
    <row r="657">
      <c r="A657" s="29"/>
      <c r="B657" s="29"/>
      <c r="C657" s="29"/>
      <c r="D657" s="29"/>
      <c r="E657" s="29"/>
      <c r="F657" s="29"/>
      <c r="G657" s="88"/>
      <c r="H657" s="29"/>
      <c r="I657" s="29"/>
      <c r="J657" s="29"/>
    </row>
    <row r="658">
      <c r="A658" s="29"/>
      <c r="B658" s="29"/>
      <c r="C658" s="29"/>
      <c r="D658" s="29"/>
      <c r="E658" s="29"/>
      <c r="F658" s="29"/>
      <c r="G658" s="88"/>
      <c r="H658" s="29"/>
      <c r="I658" s="29"/>
      <c r="J658" s="29"/>
    </row>
    <row r="659">
      <c r="A659" s="29"/>
      <c r="B659" s="29"/>
      <c r="C659" s="29"/>
      <c r="D659" s="29"/>
      <c r="E659" s="29"/>
      <c r="F659" s="29"/>
      <c r="G659" s="88"/>
      <c r="H659" s="29"/>
      <c r="I659" s="29"/>
      <c r="J659" s="29"/>
    </row>
    <row r="660">
      <c r="A660" s="29"/>
      <c r="B660" s="29"/>
      <c r="C660" s="29"/>
      <c r="D660" s="29"/>
      <c r="E660" s="29"/>
      <c r="F660" s="29"/>
      <c r="G660" s="88"/>
      <c r="H660" s="29"/>
      <c r="I660" s="29"/>
      <c r="J660" s="29"/>
    </row>
    <row r="661">
      <c r="A661" s="29"/>
      <c r="B661" s="29"/>
      <c r="C661" s="29"/>
      <c r="D661" s="29"/>
      <c r="E661" s="29"/>
      <c r="F661" s="29"/>
      <c r="G661" s="88"/>
      <c r="H661" s="29"/>
      <c r="I661" s="29"/>
      <c r="J661" s="29"/>
    </row>
    <row r="662">
      <c r="A662" s="29"/>
      <c r="B662" s="29"/>
      <c r="C662" s="29"/>
      <c r="D662" s="29"/>
      <c r="E662" s="29"/>
      <c r="F662" s="29"/>
      <c r="G662" s="88"/>
      <c r="H662" s="29"/>
      <c r="I662" s="29"/>
      <c r="J662" s="29"/>
    </row>
    <row r="663">
      <c r="A663" s="29"/>
      <c r="B663" s="29"/>
      <c r="C663" s="29"/>
      <c r="D663" s="29"/>
      <c r="E663" s="29"/>
      <c r="F663" s="29"/>
      <c r="G663" s="88"/>
      <c r="H663" s="29"/>
      <c r="I663" s="29"/>
      <c r="J663" s="29"/>
    </row>
    <row r="664">
      <c r="A664" s="29"/>
      <c r="B664" s="29"/>
      <c r="C664" s="29"/>
      <c r="D664" s="29"/>
      <c r="E664" s="29"/>
      <c r="F664" s="29"/>
      <c r="G664" s="88"/>
      <c r="H664" s="29"/>
      <c r="I664" s="29"/>
      <c r="J664" s="29"/>
    </row>
    <row r="665">
      <c r="A665" s="29"/>
      <c r="B665" s="29"/>
      <c r="C665" s="29"/>
      <c r="D665" s="29"/>
      <c r="E665" s="29"/>
      <c r="F665" s="29"/>
      <c r="G665" s="88"/>
      <c r="H665" s="29"/>
      <c r="I665" s="29"/>
      <c r="J665" s="29"/>
    </row>
    <row r="666">
      <c r="A666" s="29"/>
      <c r="B666" s="29"/>
      <c r="C666" s="29"/>
      <c r="D666" s="29"/>
      <c r="E666" s="29"/>
      <c r="F666" s="29"/>
      <c r="G666" s="88"/>
      <c r="H666" s="29"/>
      <c r="I666" s="29"/>
      <c r="J666" s="29"/>
    </row>
    <row r="667">
      <c r="A667" s="29"/>
      <c r="B667" s="29"/>
      <c r="C667" s="29"/>
      <c r="D667" s="29"/>
      <c r="E667" s="29"/>
      <c r="F667" s="29"/>
      <c r="G667" s="88"/>
      <c r="H667" s="29"/>
      <c r="I667" s="29"/>
      <c r="J667" s="29"/>
    </row>
    <row r="668">
      <c r="A668" s="29"/>
      <c r="B668" s="29"/>
      <c r="C668" s="29"/>
      <c r="D668" s="29"/>
      <c r="E668" s="29"/>
      <c r="F668" s="29"/>
      <c r="G668" s="88"/>
      <c r="H668" s="29"/>
      <c r="I668" s="29"/>
      <c r="J668" s="29"/>
    </row>
    <row r="669">
      <c r="A669" s="29"/>
      <c r="B669" s="29"/>
      <c r="C669" s="29"/>
      <c r="D669" s="29"/>
      <c r="E669" s="29"/>
      <c r="F669" s="29"/>
      <c r="G669" s="88"/>
      <c r="H669" s="29"/>
      <c r="I669" s="29"/>
      <c r="J669" s="29"/>
    </row>
    <row r="670">
      <c r="A670" s="29"/>
      <c r="B670" s="29"/>
      <c r="C670" s="29"/>
      <c r="D670" s="29"/>
      <c r="E670" s="29"/>
      <c r="F670" s="29"/>
      <c r="G670" s="88"/>
      <c r="H670" s="29"/>
      <c r="I670" s="29"/>
      <c r="J670" s="29"/>
    </row>
    <row r="671">
      <c r="A671" s="29"/>
      <c r="B671" s="29"/>
      <c r="C671" s="29"/>
      <c r="D671" s="29"/>
      <c r="E671" s="29"/>
      <c r="F671" s="29"/>
      <c r="G671" s="88"/>
      <c r="H671" s="29"/>
      <c r="I671" s="29"/>
      <c r="J671" s="29"/>
    </row>
    <row r="672">
      <c r="A672" s="29"/>
      <c r="B672" s="29"/>
      <c r="C672" s="29"/>
      <c r="D672" s="29"/>
      <c r="E672" s="29"/>
      <c r="F672" s="29"/>
      <c r="G672" s="88"/>
      <c r="H672" s="29"/>
      <c r="I672" s="29"/>
      <c r="J672" s="29"/>
    </row>
    <row r="673">
      <c r="A673" s="29"/>
      <c r="B673" s="29"/>
      <c r="C673" s="29"/>
      <c r="D673" s="29"/>
      <c r="E673" s="29"/>
      <c r="F673" s="29"/>
      <c r="G673" s="88"/>
      <c r="H673" s="29"/>
      <c r="I673" s="29"/>
      <c r="J673" s="29"/>
    </row>
    <row r="674">
      <c r="A674" s="29"/>
      <c r="B674" s="29"/>
      <c r="C674" s="29"/>
      <c r="D674" s="29"/>
      <c r="E674" s="29"/>
      <c r="F674" s="29"/>
      <c r="G674" s="88"/>
      <c r="H674" s="29"/>
      <c r="I674" s="29"/>
      <c r="J674" s="29"/>
    </row>
    <row r="675">
      <c r="A675" s="29"/>
      <c r="B675" s="29"/>
      <c r="C675" s="29"/>
      <c r="D675" s="29"/>
      <c r="E675" s="29"/>
      <c r="F675" s="29"/>
      <c r="G675" s="88"/>
      <c r="H675" s="29"/>
      <c r="I675" s="29"/>
      <c r="J675" s="29"/>
    </row>
    <row r="676">
      <c r="A676" s="29"/>
      <c r="B676" s="29"/>
      <c r="C676" s="29"/>
      <c r="D676" s="29"/>
      <c r="E676" s="29"/>
      <c r="F676" s="29"/>
      <c r="G676" s="88"/>
      <c r="H676" s="29"/>
      <c r="I676" s="29"/>
      <c r="J676" s="29"/>
    </row>
    <row r="677">
      <c r="A677" s="29"/>
      <c r="B677" s="29"/>
      <c r="C677" s="29"/>
      <c r="D677" s="29"/>
      <c r="E677" s="29"/>
      <c r="F677" s="29"/>
      <c r="G677" s="88"/>
      <c r="H677" s="29"/>
      <c r="I677" s="29"/>
      <c r="J677" s="29"/>
    </row>
    <row r="678">
      <c r="A678" s="29"/>
      <c r="B678" s="29"/>
      <c r="C678" s="29"/>
      <c r="D678" s="29"/>
      <c r="E678" s="29"/>
      <c r="F678" s="29"/>
      <c r="G678" s="88"/>
      <c r="H678" s="29"/>
      <c r="I678" s="29"/>
      <c r="J678" s="29"/>
    </row>
    <row r="679">
      <c r="A679" s="29"/>
      <c r="B679" s="29"/>
      <c r="C679" s="29"/>
      <c r="D679" s="29"/>
      <c r="E679" s="29"/>
      <c r="F679" s="29"/>
      <c r="G679" s="88"/>
      <c r="H679" s="29"/>
      <c r="I679" s="29"/>
      <c r="J679" s="29"/>
    </row>
    <row r="680">
      <c r="A680" s="29"/>
      <c r="B680" s="29"/>
      <c r="C680" s="29"/>
      <c r="D680" s="29"/>
      <c r="E680" s="29"/>
      <c r="F680" s="29"/>
      <c r="G680" s="88"/>
      <c r="H680" s="29"/>
      <c r="I680" s="29"/>
      <c r="J680" s="29"/>
    </row>
    <row r="681">
      <c r="A681" s="29"/>
      <c r="B681" s="29"/>
      <c r="C681" s="29"/>
      <c r="D681" s="29"/>
      <c r="E681" s="29"/>
      <c r="F681" s="29"/>
      <c r="G681" s="88"/>
      <c r="H681" s="29"/>
      <c r="I681" s="29"/>
      <c r="J681" s="29"/>
    </row>
    <row r="682">
      <c r="A682" s="29"/>
      <c r="B682" s="29"/>
      <c r="C682" s="29"/>
      <c r="D682" s="29"/>
      <c r="E682" s="29"/>
      <c r="F682" s="29"/>
      <c r="G682" s="88"/>
      <c r="H682" s="29"/>
      <c r="I682" s="29"/>
      <c r="J682" s="29"/>
    </row>
    <row r="683">
      <c r="A683" s="29"/>
      <c r="B683" s="29"/>
      <c r="C683" s="29"/>
      <c r="D683" s="29"/>
      <c r="E683" s="29"/>
      <c r="F683" s="29"/>
      <c r="G683" s="88"/>
      <c r="H683" s="29"/>
      <c r="I683" s="29"/>
      <c r="J683" s="29"/>
    </row>
    <row r="684">
      <c r="A684" s="29"/>
      <c r="B684" s="29"/>
      <c r="C684" s="29"/>
      <c r="D684" s="29"/>
      <c r="E684" s="29"/>
      <c r="F684" s="29"/>
      <c r="G684" s="88"/>
      <c r="H684" s="29"/>
      <c r="I684" s="29"/>
      <c r="J684" s="29"/>
    </row>
    <row r="685">
      <c r="A685" s="29"/>
      <c r="B685" s="29"/>
      <c r="C685" s="29"/>
      <c r="D685" s="29"/>
      <c r="E685" s="29"/>
      <c r="F685" s="29"/>
      <c r="G685" s="88"/>
      <c r="H685" s="29"/>
      <c r="I685" s="29"/>
      <c r="J685" s="29"/>
    </row>
    <row r="686">
      <c r="A686" s="29"/>
      <c r="B686" s="29"/>
      <c r="C686" s="29"/>
      <c r="D686" s="29"/>
      <c r="E686" s="29"/>
      <c r="F686" s="29"/>
      <c r="G686" s="88"/>
      <c r="H686" s="29"/>
      <c r="I686" s="29"/>
      <c r="J686" s="29"/>
    </row>
    <row r="687">
      <c r="A687" s="29"/>
      <c r="B687" s="29"/>
      <c r="C687" s="29"/>
      <c r="D687" s="29"/>
      <c r="E687" s="29"/>
      <c r="F687" s="29"/>
      <c r="G687" s="88"/>
      <c r="H687" s="29"/>
      <c r="I687" s="29"/>
      <c r="J687" s="29"/>
    </row>
    <row r="688">
      <c r="A688" s="29"/>
      <c r="B688" s="29"/>
      <c r="C688" s="29"/>
      <c r="D688" s="29"/>
      <c r="E688" s="29"/>
      <c r="F688" s="29"/>
      <c r="G688" s="88"/>
      <c r="H688" s="29"/>
      <c r="I688" s="29"/>
      <c r="J688" s="29"/>
    </row>
    <row r="689">
      <c r="A689" s="29"/>
      <c r="B689" s="29"/>
      <c r="C689" s="29"/>
      <c r="D689" s="29"/>
      <c r="E689" s="29"/>
      <c r="F689" s="29"/>
      <c r="G689" s="88"/>
      <c r="H689" s="29"/>
      <c r="I689" s="29"/>
      <c r="J689" s="29"/>
    </row>
    <row r="690">
      <c r="A690" s="29"/>
      <c r="B690" s="29"/>
      <c r="C690" s="29"/>
      <c r="D690" s="29"/>
      <c r="E690" s="29"/>
      <c r="F690" s="29"/>
      <c r="G690" s="88"/>
      <c r="H690" s="29"/>
      <c r="I690" s="29"/>
      <c r="J690" s="29"/>
    </row>
    <row r="691">
      <c r="A691" s="29"/>
      <c r="B691" s="29"/>
      <c r="C691" s="29"/>
      <c r="D691" s="29"/>
      <c r="E691" s="29"/>
      <c r="F691" s="29"/>
      <c r="G691" s="88"/>
      <c r="H691" s="29"/>
      <c r="I691" s="29"/>
      <c r="J691" s="29"/>
    </row>
    <row r="692">
      <c r="A692" s="29"/>
      <c r="B692" s="29"/>
      <c r="C692" s="29"/>
      <c r="D692" s="29"/>
      <c r="E692" s="29"/>
      <c r="F692" s="29"/>
      <c r="G692" s="88"/>
      <c r="H692" s="29"/>
      <c r="I692" s="29"/>
      <c r="J692" s="29"/>
    </row>
    <row r="693">
      <c r="A693" s="29"/>
      <c r="B693" s="29"/>
      <c r="C693" s="29"/>
      <c r="D693" s="29"/>
      <c r="E693" s="29"/>
      <c r="F693" s="29"/>
      <c r="G693" s="88"/>
      <c r="H693" s="29"/>
      <c r="I693" s="29"/>
      <c r="J693" s="29"/>
    </row>
    <row r="694">
      <c r="A694" s="29"/>
      <c r="B694" s="29"/>
      <c r="C694" s="29"/>
      <c r="D694" s="29"/>
      <c r="E694" s="29"/>
      <c r="F694" s="29"/>
      <c r="G694" s="88"/>
      <c r="H694" s="29"/>
      <c r="I694" s="29"/>
      <c r="J694" s="29"/>
    </row>
    <row r="695">
      <c r="A695" s="29"/>
      <c r="B695" s="29"/>
      <c r="C695" s="29"/>
      <c r="D695" s="29"/>
      <c r="E695" s="29"/>
      <c r="F695" s="29"/>
      <c r="G695" s="88"/>
      <c r="H695" s="29"/>
      <c r="I695" s="29"/>
      <c r="J695" s="29"/>
    </row>
    <row r="696">
      <c r="A696" s="29"/>
      <c r="B696" s="29"/>
      <c r="C696" s="29"/>
      <c r="D696" s="29"/>
      <c r="E696" s="29"/>
      <c r="F696" s="29"/>
      <c r="G696" s="88"/>
      <c r="H696" s="29"/>
      <c r="I696" s="29"/>
      <c r="J696" s="29"/>
    </row>
    <row r="697">
      <c r="A697" s="29"/>
      <c r="B697" s="29"/>
      <c r="C697" s="29"/>
      <c r="D697" s="29"/>
      <c r="E697" s="29"/>
      <c r="F697" s="29"/>
      <c r="G697" s="88"/>
      <c r="H697" s="29"/>
      <c r="I697" s="29"/>
      <c r="J697" s="29"/>
    </row>
    <row r="698">
      <c r="A698" s="29"/>
      <c r="B698" s="29"/>
      <c r="C698" s="29"/>
      <c r="D698" s="29"/>
      <c r="E698" s="29"/>
      <c r="F698" s="29"/>
      <c r="G698" s="88"/>
      <c r="H698" s="29"/>
      <c r="I698" s="29"/>
      <c r="J698" s="29"/>
    </row>
    <row r="699">
      <c r="A699" s="29"/>
      <c r="B699" s="29"/>
      <c r="C699" s="29"/>
      <c r="D699" s="29"/>
      <c r="E699" s="29"/>
      <c r="F699" s="29"/>
      <c r="G699" s="88"/>
      <c r="H699" s="29"/>
      <c r="I699" s="29"/>
      <c r="J699" s="29"/>
    </row>
    <row r="700">
      <c r="A700" s="29"/>
      <c r="B700" s="29"/>
      <c r="C700" s="29"/>
      <c r="D700" s="29"/>
      <c r="E700" s="29"/>
      <c r="F700" s="29"/>
      <c r="G700" s="88"/>
      <c r="H700" s="29"/>
      <c r="I700" s="29"/>
      <c r="J700" s="29"/>
    </row>
    <row r="701">
      <c r="A701" s="29"/>
      <c r="B701" s="29"/>
      <c r="C701" s="29"/>
      <c r="D701" s="29"/>
      <c r="E701" s="29"/>
      <c r="F701" s="29"/>
      <c r="G701" s="88"/>
      <c r="H701" s="29"/>
      <c r="I701" s="29"/>
      <c r="J701" s="29"/>
    </row>
    <row r="702">
      <c r="A702" s="29"/>
      <c r="B702" s="29"/>
      <c r="C702" s="29"/>
      <c r="D702" s="29"/>
      <c r="E702" s="29"/>
      <c r="F702" s="29"/>
      <c r="G702" s="88"/>
      <c r="H702" s="29"/>
      <c r="I702" s="29"/>
      <c r="J702" s="29"/>
    </row>
    <row r="703">
      <c r="A703" s="29"/>
      <c r="B703" s="29"/>
      <c r="C703" s="29"/>
      <c r="D703" s="29"/>
      <c r="E703" s="29"/>
      <c r="F703" s="29"/>
      <c r="G703" s="88"/>
      <c r="H703" s="29"/>
      <c r="I703" s="29"/>
      <c r="J703" s="29"/>
    </row>
    <row r="704">
      <c r="A704" s="29"/>
      <c r="B704" s="29"/>
      <c r="C704" s="29"/>
      <c r="D704" s="29"/>
      <c r="E704" s="29"/>
      <c r="F704" s="29"/>
      <c r="G704" s="88"/>
      <c r="H704" s="29"/>
      <c r="I704" s="29"/>
      <c r="J704" s="29"/>
    </row>
    <row r="705">
      <c r="A705" s="29"/>
      <c r="B705" s="29"/>
      <c r="C705" s="29"/>
      <c r="D705" s="29"/>
      <c r="E705" s="29"/>
      <c r="F705" s="29"/>
      <c r="G705" s="88"/>
      <c r="H705" s="29"/>
      <c r="I705" s="29"/>
      <c r="J705" s="29"/>
    </row>
    <row r="706">
      <c r="A706" s="29"/>
      <c r="B706" s="29"/>
      <c r="C706" s="29"/>
      <c r="D706" s="29"/>
      <c r="E706" s="29"/>
      <c r="F706" s="29"/>
      <c r="G706" s="88"/>
      <c r="H706" s="29"/>
      <c r="I706" s="29"/>
      <c r="J706" s="29"/>
    </row>
    <row r="707">
      <c r="A707" s="29"/>
      <c r="B707" s="29"/>
      <c r="C707" s="29"/>
      <c r="D707" s="29"/>
      <c r="E707" s="29"/>
      <c r="F707" s="29"/>
      <c r="G707" s="88"/>
      <c r="H707" s="29"/>
      <c r="I707" s="29"/>
      <c r="J707" s="29"/>
    </row>
    <row r="708">
      <c r="A708" s="29"/>
      <c r="B708" s="29"/>
      <c r="C708" s="29"/>
      <c r="D708" s="29"/>
      <c r="E708" s="29"/>
      <c r="F708" s="29"/>
      <c r="G708" s="88"/>
      <c r="H708" s="29"/>
      <c r="I708" s="29"/>
      <c r="J708" s="29"/>
    </row>
    <row r="709">
      <c r="A709" s="29"/>
      <c r="B709" s="29"/>
      <c r="C709" s="29"/>
      <c r="D709" s="29"/>
      <c r="E709" s="29"/>
      <c r="F709" s="29"/>
      <c r="G709" s="88"/>
      <c r="H709" s="29"/>
      <c r="I709" s="29"/>
      <c r="J709" s="29"/>
    </row>
    <row r="710">
      <c r="A710" s="29"/>
      <c r="B710" s="29"/>
      <c r="C710" s="29"/>
      <c r="D710" s="29"/>
      <c r="E710" s="29"/>
      <c r="F710" s="29"/>
      <c r="G710" s="88"/>
      <c r="H710" s="29"/>
      <c r="I710" s="29"/>
      <c r="J710" s="29"/>
    </row>
    <row r="711">
      <c r="A711" s="29"/>
      <c r="B711" s="29"/>
      <c r="C711" s="29"/>
      <c r="D711" s="29"/>
      <c r="E711" s="29"/>
      <c r="F711" s="29"/>
      <c r="G711" s="88"/>
      <c r="H711" s="29"/>
      <c r="I711" s="29"/>
      <c r="J711" s="29"/>
    </row>
    <row r="712">
      <c r="A712" s="29"/>
      <c r="B712" s="29"/>
      <c r="C712" s="29"/>
      <c r="D712" s="29"/>
      <c r="E712" s="29"/>
      <c r="F712" s="29"/>
      <c r="G712" s="88"/>
      <c r="H712" s="29"/>
      <c r="I712" s="29"/>
      <c r="J712" s="29"/>
    </row>
    <row r="713">
      <c r="A713" s="29"/>
      <c r="B713" s="29"/>
      <c r="C713" s="29"/>
      <c r="D713" s="29"/>
      <c r="E713" s="29"/>
      <c r="F713" s="29"/>
      <c r="G713" s="88"/>
      <c r="H713" s="29"/>
      <c r="I713" s="29"/>
      <c r="J713" s="29"/>
    </row>
    <row r="714">
      <c r="A714" s="29"/>
      <c r="B714" s="29"/>
      <c r="C714" s="29"/>
      <c r="D714" s="29"/>
      <c r="E714" s="29"/>
      <c r="F714" s="29"/>
      <c r="G714" s="88"/>
      <c r="H714" s="29"/>
      <c r="I714" s="29"/>
      <c r="J714" s="29"/>
    </row>
    <row r="715">
      <c r="A715" s="29"/>
      <c r="B715" s="29"/>
      <c r="C715" s="29"/>
      <c r="D715" s="29"/>
      <c r="E715" s="29"/>
      <c r="F715" s="29"/>
      <c r="G715" s="88"/>
      <c r="H715" s="29"/>
      <c r="I715" s="29"/>
      <c r="J715" s="29"/>
    </row>
    <row r="716">
      <c r="A716" s="29"/>
      <c r="B716" s="29"/>
      <c r="C716" s="29"/>
      <c r="D716" s="29"/>
      <c r="E716" s="29"/>
      <c r="F716" s="29"/>
      <c r="G716" s="88"/>
      <c r="H716" s="29"/>
      <c r="I716" s="29"/>
      <c r="J716" s="29"/>
    </row>
    <row r="717">
      <c r="A717" s="29"/>
      <c r="B717" s="29"/>
      <c r="C717" s="29"/>
      <c r="D717" s="29"/>
      <c r="E717" s="29"/>
      <c r="F717" s="29"/>
      <c r="G717" s="88"/>
      <c r="H717" s="29"/>
      <c r="I717" s="29"/>
      <c r="J717" s="29"/>
    </row>
    <row r="718">
      <c r="A718" s="29"/>
      <c r="B718" s="29"/>
      <c r="C718" s="29"/>
      <c r="D718" s="29"/>
      <c r="E718" s="29"/>
      <c r="F718" s="29"/>
      <c r="G718" s="88"/>
      <c r="H718" s="29"/>
      <c r="I718" s="29"/>
      <c r="J718" s="29"/>
    </row>
    <row r="719">
      <c r="A719" s="29"/>
      <c r="B719" s="29"/>
      <c r="C719" s="29"/>
      <c r="D719" s="29"/>
      <c r="E719" s="29"/>
      <c r="F719" s="29"/>
      <c r="G719" s="88"/>
      <c r="H719" s="29"/>
      <c r="I719" s="29"/>
      <c r="J719" s="29"/>
    </row>
    <row r="720">
      <c r="A720" s="29"/>
      <c r="B720" s="29"/>
      <c r="C720" s="29"/>
      <c r="D720" s="29"/>
      <c r="E720" s="29"/>
      <c r="F720" s="29"/>
      <c r="G720" s="88"/>
      <c r="H720" s="29"/>
      <c r="I720" s="29"/>
      <c r="J720" s="29"/>
    </row>
    <row r="721">
      <c r="A721" s="29"/>
      <c r="B721" s="29"/>
      <c r="C721" s="29"/>
      <c r="D721" s="29"/>
      <c r="E721" s="29"/>
      <c r="F721" s="29"/>
      <c r="G721" s="88"/>
      <c r="H721" s="29"/>
      <c r="I721" s="29"/>
      <c r="J721" s="29"/>
    </row>
    <row r="722">
      <c r="A722" s="29"/>
      <c r="B722" s="29"/>
      <c r="C722" s="29"/>
      <c r="D722" s="29"/>
      <c r="E722" s="29"/>
      <c r="F722" s="29"/>
      <c r="G722" s="88"/>
      <c r="H722" s="29"/>
      <c r="I722" s="29"/>
      <c r="J722" s="29"/>
    </row>
    <row r="723">
      <c r="A723" s="29"/>
      <c r="B723" s="29"/>
      <c r="C723" s="29"/>
      <c r="D723" s="29"/>
      <c r="E723" s="29"/>
      <c r="F723" s="29"/>
      <c r="G723" s="88"/>
      <c r="H723" s="29"/>
      <c r="I723" s="29"/>
      <c r="J723" s="29"/>
    </row>
    <row r="724">
      <c r="A724" s="29"/>
      <c r="B724" s="29"/>
      <c r="C724" s="29"/>
      <c r="D724" s="29"/>
      <c r="E724" s="29"/>
      <c r="F724" s="29"/>
      <c r="G724" s="88"/>
      <c r="H724" s="29"/>
      <c r="I724" s="29"/>
      <c r="J724" s="29"/>
    </row>
    <row r="725">
      <c r="A725" s="29"/>
      <c r="B725" s="29"/>
      <c r="C725" s="29"/>
      <c r="D725" s="29"/>
      <c r="E725" s="29"/>
      <c r="F725" s="29"/>
      <c r="G725" s="88"/>
      <c r="H725" s="29"/>
      <c r="I725" s="29"/>
      <c r="J725" s="29"/>
    </row>
    <row r="726">
      <c r="A726" s="29"/>
      <c r="B726" s="29"/>
      <c r="C726" s="29"/>
      <c r="D726" s="29"/>
      <c r="E726" s="29"/>
      <c r="F726" s="29"/>
      <c r="G726" s="88"/>
      <c r="H726" s="29"/>
      <c r="I726" s="29"/>
      <c r="J726" s="29"/>
    </row>
    <row r="727">
      <c r="A727" s="29"/>
      <c r="B727" s="29"/>
      <c r="C727" s="29"/>
      <c r="D727" s="29"/>
      <c r="E727" s="29"/>
      <c r="F727" s="29"/>
      <c r="G727" s="88"/>
      <c r="H727" s="29"/>
      <c r="I727" s="29"/>
      <c r="J727" s="29"/>
    </row>
    <row r="728">
      <c r="A728" s="29"/>
      <c r="B728" s="29"/>
      <c r="C728" s="29"/>
      <c r="D728" s="29"/>
      <c r="E728" s="29"/>
      <c r="F728" s="29"/>
      <c r="G728" s="88"/>
      <c r="H728" s="29"/>
      <c r="I728" s="29"/>
      <c r="J728" s="29"/>
    </row>
    <row r="729">
      <c r="A729" s="29"/>
      <c r="B729" s="29"/>
      <c r="C729" s="29"/>
      <c r="D729" s="29"/>
      <c r="E729" s="29"/>
      <c r="F729" s="29"/>
      <c r="G729" s="88"/>
      <c r="H729" s="29"/>
      <c r="I729" s="29"/>
      <c r="J729" s="29"/>
    </row>
    <row r="730">
      <c r="A730" s="29"/>
      <c r="B730" s="29"/>
      <c r="C730" s="29"/>
      <c r="D730" s="29"/>
      <c r="E730" s="29"/>
      <c r="F730" s="29"/>
      <c r="G730" s="88"/>
      <c r="H730" s="29"/>
      <c r="I730" s="29"/>
      <c r="J730" s="29"/>
    </row>
    <row r="731">
      <c r="A731" s="29"/>
      <c r="B731" s="29"/>
      <c r="C731" s="29"/>
      <c r="D731" s="29"/>
      <c r="E731" s="29"/>
      <c r="F731" s="29"/>
      <c r="G731" s="88"/>
      <c r="H731" s="29"/>
      <c r="I731" s="29"/>
      <c r="J731" s="29"/>
    </row>
    <row r="732">
      <c r="A732" s="29"/>
      <c r="B732" s="29"/>
      <c r="C732" s="29"/>
      <c r="D732" s="29"/>
      <c r="E732" s="29"/>
      <c r="F732" s="29"/>
      <c r="G732" s="88"/>
      <c r="H732" s="29"/>
      <c r="I732" s="29"/>
      <c r="J732" s="29"/>
    </row>
    <row r="733">
      <c r="A733" s="29"/>
      <c r="B733" s="29"/>
      <c r="C733" s="29"/>
      <c r="D733" s="29"/>
      <c r="E733" s="29"/>
      <c r="F733" s="29"/>
      <c r="G733" s="88"/>
      <c r="H733" s="29"/>
      <c r="I733" s="29"/>
      <c r="J733" s="29"/>
    </row>
    <row r="734">
      <c r="A734" s="29"/>
      <c r="B734" s="29"/>
      <c r="C734" s="29"/>
      <c r="D734" s="29"/>
      <c r="E734" s="29"/>
      <c r="F734" s="29"/>
      <c r="G734" s="88"/>
      <c r="H734" s="29"/>
      <c r="I734" s="29"/>
      <c r="J734" s="29"/>
    </row>
    <row r="735">
      <c r="A735" s="29"/>
      <c r="B735" s="29"/>
      <c r="C735" s="29"/>
      <c r="D735" s="29"/>
      <c r="E735" s="29"/>
      <c r="F735" s="29"/>
      <c r="G735" s="88"/>
      <c r="H735" s="29"/>
      <c r="I735" s="29"/>
      <c r="J735" s="29"/>
    </row>
    <row r="736">
      <c r="A736" s="29"/>
      <c r="B736" s="29"/>
      <c r="C736" s="29"/>
      <c r="D736" s="29"/>
      <c r="E736" s="29"/>
      <c r="F736" s="29"/>
      <c r="G736" s="88"/>
      <c r="H736" s="29"/>
      <c r="I736" s="29"/>
      <c r="J736" s="29"/>
    </row>
    <row r="737">
      <c r="A737" s="29"/>
      <c r="B737" s="29"/>
      <c r="C737" s="29"/>
      <c r="D737" s="29"/>
      <c r="E737" s="29"/>
      <c r="F737" s="29"/>
      <c r="G737" s="88"/>
      <c r="H737" s="29"/>
      <c r="I737" s="29"/>
      <c r="J737" s="29"/>
    </row>
    <row r="738">
      <c r="A738" s="29"/>
      <c r="B738" s="29"/>
      <c r="C738" s="29"/>
      <c r="D738" s="29"/>
      <c r="E738" s="29"/>
      <c r="F738" s="29"/>
      <c r="G738" s="88"/>
      <c r="H738" s="29"/>
      <c r="I738" s="29"/>
      <c r="J738" s="29"/>
    </row>
    <row r="739">
      <c r="A739" s="29"/>
      <c r="B739" s="29"/>
      <c r="C739" s="29"/>
      <c r="D739" s="29"/>
      <c r="E739" s="29"/>
      <c r="F739" s="29"/>
      <c r="G739" s="88"/>
      <c r="H739" s="29"/>
      <c r="I739" s="29"/>
      <c r="J739" s="29"/>
    </row>
    <row r="740">
      <c r="A740" s="29"/>
      <c r="B740" s="29"/>
      <c r="C740" s="29"/>
      <c r="D740" s="29"/>
      <c r="E740" s="29"/>
      <c r="F740" s="29"/>
      <c r="G740" s="88"/>
      <c r="H740" s="29"/>
      <c r="I740" s="29"/>
      <c r="J740" s="29"/>
    </row>
    <row r="741">
      <c r="A741" s="29"/>
      <c r="B741" s="29"/>
      <c r="C741" s="29"/>
      <c r="D741" s="29"/>
      <c r="E741" s="29"/>
      <c r="F741" s="29"/>
      <c r="G741" s="88"/>
      <c r="H741" s="29"/>
      <c r="I741" s="29"/>
      <c r="J741" s="29"/>
    </row>
    <row r="742">
      <c r="A742" s="29"/>
      <c r="B742" s="29"/>
      <c r="C742" s="29"/>
      <c r="D742" s="29"/>
      <c r="E742" s="29"/>
      <c r="F742" s="29"/>
      <c r="G742" s="88"/>
      <c r="H742" s="29"/>
      <c r="I742" s="29"/>
      <c r="J742" s="29"/>
    </row>
    <row r="743">
      <c r="A743" s="29"/>
      <c r="B743" s="29"/>
      <c r="C743" s="29"/>
      <c r="D743" s="29"/>
      <c r="E743" s="29"/>
      <c r="F743" s="29"/>
      <c r="G743" s="88"/>
      <c r="H743" s="29"/>
      <c r="I743" s="29"/>
      <c r="J743" s="29"/>
    </row>
    <row r="744">
      <c r="A744" s="29"/>
      <c r="B744" s="29"/>
      <c r="C744" s="29"/>
      <c r="D744" s="29"/>
      <c r="E744" s="29"/>
      <c r="F744" s="29"/>
      <c r="G744" s="88"/>
      <c r="H744" s="29"/>
      <c r="I744" s="29"/>
      <c r="J744" s="29"/>
    </row>
    <row r="745">
      <c r="A745" s="29"/>
      <c r="B745" s="29"/>
      <c r="C745" s="29"/>
      <c r="D745" s="29"/>
      <c r="E745" s="29"/>
      <c r="F745" s="29"/>
      <c r="G745" s="88"/>
      <c r="H745" s="29"/>
      <c r="I745" s="29"/>
      <c r="J745" s="29"/>
    </row>
    <row r="746">
      <c r="A746" s="29"/>
      <c r="B746" s="29"/>
      <c r="C746" s="29"/>
      <c r="D746" s="29"/>
      <c r="E746" s="29"/>
      <c r="F746" s="29"/>
      <c r="G746" s="88"/>
      <c r="H746" s="29"/>
      <c r="I746" s="29"/>
      <c r="J746" s="29"/>
    </row>
    <row r="747">
      <c r="A747" s="29"/>
      <c r="B747" s="29"/>
      <c r="C747" s="29"/>
      <c r="D747" s="29"/>
      <c r="E747" s="29"/>
      <c r="F747" s="29"/>
      <c r="G747" s="88"/>
      <c r="H747" s="29"/>
      <c r="I747" s="29"/>
      <c r="J747" s="29"/>
    </row>
    <row r="748">
      <c r="A748" s="29"/>
      <c r="B748" s="29"/>
      <c r="C748" s="29"/>
      <c r="D748" s="29"/>
      <c r="E748" s="29"/>
      <c r="F748" s="29"/>
      <c r="G748" s="88"/>
      <c r="H748" s="29"/>
      <c r="I748" s="29"/>
      <c r="J748" s="29"/>
    </row>
    <row r="749">
      <c r="A749" s="29"/>
      <c r="B749" s="29"/>
      <c r="C749" s="29"/>
      <c r="D749" s="29"/>
      <c r="E749" s="29"/>
      <c r="F749" s="29"/>
      <c r="G749" s="88"/>
      <c r="H749" s="29"/>
      <c r="I749" s="29"/>
      <c r="J749" s="29"/>
    </row>
    <row r="750">
      <c r="A750" s="29"/>
      <c r="B750" s="29"/>
      <c r="C750" s="29"/>
      <c r="D750" s="29"/>
      <c r="E750" s="29"/>
      <c r="F750" s="29"/>
      <c r="G750" s="88"/>
      <c r="H750" s="29"/>
      <c r="I750" s="29"/>
      <c r="J750" s="29"/>
    </row>
    <row r="751">
      <c r="A751" s="29"/>
      <c r="B751" s="29"/>
      <c r="C751" s="29"/>
      <c r="D751" s="29"/>
      <c r="E751" s="29"/>
      <c r="F751" s="29"/>
      <c r="G751" s="88"/>
      <c r="H751" s="29"/>
      <c r="I751" s="29"/>
      <c r="J751" s="29"/>
    </row>
    <row r="752">
      <c r="A752" s="29"/>
      <c r="B752" s="29"/>
      <c r="C752" s="29"/>
      <c r="D752" s="29"/>
      <c r="E752" s="29"/>
      <c r="F752" s="29"/>
      <c r="G752" s="88"/>
      <c r="H752" s="29"/>
      <c r="I752" s="29"/>
      <c r="J752" s="29"/>
    </row>
    <row r="753">
      <c r="A753" s="29"/>
      <c r="B753" s="29"/>
      <c r="C753" s="29"/>
      <c r="D753" s="29"/>
      <c r="E753" s="29"/>
      <c r="F753" s="29"/>
      <c r="G753" s="88"/>
      <c r="H753" s="29"/>
      <c r="I753" s="29"/>
      <c r="J753" s="29"/>
    </row>
    <row r="754">
      <c r="A754" s="29"/>
      <c r="B754" s="29"/>
      <c r="C754" s="29"/>
      <c r="D754" s="29"/>
      <c r="E754" s="29"/>
      <c r="F754" s="29"/>
      <c r="G754" s="88"/>
      <c r="H754" s="29"/>
      <c r="I754" s="29"/>
      <c r="J754" s="29"/>
    </row>
    <row r="755">
      <c r="A755" s="29"/>
      <c r="B755" s="29"/>
      <c r="C755" s="29"/>
      <c r="D755" s="29"/>
      <c r="E755" s="29"/>
      <c r="F755" s="29"/>
      <c r="G755" s="88"/>
      <c r="H755" s="29"/>
      <c r="I755" s="29"/>
      <c r="J755" s="29"/>
    </row>
    <row r="756">
      <c r="A756" s="29"/>
      <c r="B756" s="29"/>
      <c r="C756" s="29"/>
      <c r="D756" s="29"/>
      <c r="E756" s="29"/>
      <c r="F756" s="29"/>
      <c r="G756" s="88"/>
      <c r="H756" s="29"/>
      <c r="I756" s="29"/>
      <c r="J756" s="29"/>
    </row>
    <row r="757">
      <c r="A757" s="29"/>
      <c r="B757" s="29"/>
      <c r="C757" s="29"/>
      <c r="D757" s="29"/>
      <c r="E757" s="29"/>
      <c r="F757" s="29"/>
      <c r="G757" s="88"/>
      <c r="H757" s="29"/>
      <c r="I757" s="29"/>
      <c r="J757" s="29"/>
    </row>
    <row r="758">
      <c r="A758" s="29"/>
      <c r="B758" s="29"/>
      <c r="C758" s="29"/>
      <c r="D758" s="29"/>
      <c r="E758" s="29"/>
      <c r="F758" s="29"/>
      <c r="G758" s="88"/>
      <c r="H758" s="29"/>
      <c r="I758" s="29"/>
      <c r="J758" s="29"/>
    </row>
    <row r="759">
      <c r="A759" s="29"/>
      <c r="B759" s="29"/>
      <c r="C759" s="29"/>
      <c r="D759" s="29"/>
      <c r="E759" s="29"/>
      <c r="F759" s="29"/>
      <c r="G759" s="88"/>
      <c r="H759" s="29"/>
      <c r="I759" s="29"/>
      <c r="J759" s="29"/>
    </row>
    <row r="760">
      <c r="A760" s="29"/>
      <c r="B760" s="29"/>
      <c r="C760" s="29"/>
      <c r="D760" s="29"/>
      <c r="E760" s="29"/>
      <c r="F760" s="29"/>
      <c r="G760" s="88"/>
      <c r="H760" s="29"/>
      <c r="I760" s="29"/>
      <c r="J760" s="29"/>
    </row>
    <row r="761">
      <c r="A761" s="29"/>
      <c r="B761" s="29"/>
      <c r="C761" s="29"/>
      <c r="D761" s="29"/>
      <c r="E761" s="29"/>
      <c r="F761" s="29"/>
      <c r="G761" s="88"/>
      <c r="H761" s="29"/>
      <c r="I761" s="29"/>
      <c r="J761" s="29"/>
    </row>
    <row r="762">
      <c r="A762" s="29"/>
      <c r="B762" s="29"/>
      <c r="C762" s="29"/>
      <c r="D762" s="29"/>
      <c r="E762" s="29"/>
      <c r="F762" s="29"/>
      <c r="G762" s="88"/>
      <c r="H762" s="29"/>
      <c r="I762" s="29"/>
      <c r="J762" s="29"/>
    </row>
    <row r="763">
      <c r="A763" s="29"/>
      <c r="B763" s="29"/>
      <c r="C763" s="29"/>
      <c r="D763" s="29"/>
      <c r="E763" s="29"/>
      <c r="F763" s="29"/>
      <c r="G763" s="88"/>
      <c r="H763" s="29"/>
      <c r="I763" s="29"/>
      <c r="J763" s="29"/>
    </row>
    <row r="764">
      <c r="A764" s="29"/>
      <c r="B764" s="29"/>
      <c r="C764" s="29"/>
      <c r="D764" s="29"/>
      <c r="E764" s="29"/>
      <c r="F764" s="29"/>
      <c r="G764" s="88"/>
      <c r="H764" s="29"/>
      <c r="I764" s="29"/>
      <c r="J764" s="29"/>
    </row>
    <row r="765">
      <c r="A765" s="29"/>
      <c r="B765" s="29"/>
      <c r="C765" s="29"/>
      <c r="D765" s="29"/>
      <c r="E765" s="29"/>
      <c r="F765" s="29"/>
      <c r="G765" s="88"/>
      <c r="H765" s="29"/>
      <c r="I765" s="29"/>
      <c r="J765" s="29"/>
    </row>
    <row r="766">
      <c r="A766" s="29"/>
      <c r="B766" s="29"/>
      <c r="C766" s="29"/>
      <c r="D766" s="29"/>
      <c r="E766" s="29"/>
      <c r="F766" s="29"/>
      <c r="G766" s="88"/>
      <c r="H766" s="29"/>
      <c r="I766" s="29"/>
      <c r="J766" s="29"/>
    </row>
    <row r="767">
      <c r="A767" s="29"/>
      <c r="B767" s="29"/>
      <c r="C767" s="29"/>
      <c r="D767" s="29"/>
      <c r="E767" s="29"/>
      <c r="F767" s="29"/>
      <c r="G767" s="88"/>
      <c r="H767" s="29"/>
      <c r="I767" s="29"/>
      <c r="J767" s="29"/>
    </row>
    <row r="768">
      <c r="A768" s="29"/>
      <c r="B768" s="29"/>
      <c r="C768" s="29"/>
      <c r="D768" s="29"/>
      <c r="E768" s="29"/>
      <c r="F768" s="29"/>
      <c r="G768" s="88"/>
      <c r="H768" s="29"/>
      <c r="I768" s="29"/>
      <c r="J768" s="29"/>
    </row>
    <row r="769">
      <c r="A769" s="29"/>
      <c r="B769" s="29"/>
      <c r="C769" s="29"/>
      <c r="D769" s="29"/>
      <c r="E769" s="29"/>
      <c r="F769" s="29"/>
      <c r="G769" s="88"/>
      <c r="H769" s="29"/>
      <c r="I769" s="29"/>
      <c r="J769" s="29"/>
    </row>
    <row r="770">
      <c r="A770" s="29"/>
      <c r="B770" s="29"/>
      <c r="C770" s="29"/>
      <c r="D770" s="29"/>
      <c r="E770" s="29"/>
      <c r="F770" s="29"/>
      <c r="G770" s="88"/>
      <c r="H770" s="29"/>
      <c r="I770" s="29"/>
      <c r="J770" s="29"/>
    </row>
    <row r="771">
      <c r="A771" s="29"/>
      <c r="B771" s="29"/>
      <c r="C771" s="29"/>
      <c r="D771" s="29"/>
      <c r="E771" s="29"/>
      <c r="F771" s="29"/>
      <c r="G771" s="88"/>
      <c r="H771" s="29"/>
      <c r="I771" s="29"/>
      <c r="J771" s="29"/>
    </row>
    <row r="772">
      <c r="A772" s="29"/>
      <c r="B772" s="29"/>
      <c r="C772" s="29"/>
      <c r="D772" s="29"/>
      <c r="E772" s="29"/>
      <c r="F772" s="29"/>
      <c r="G772" s="88"/>
      <c r="H772" s="29"/>
      <c r="I772" s="29"/>
      <c r="J772" s="29"/>
    </row>
    <row r="773">
      <c r="A773" s="29"/>
      <c r="B773" s="29"/>
      <c r="C773" s="29"/>
      <c r="D773" s="29"/>
      <c r="E773" s="29"/>
      <c r="F773" s="29"/>
      <c r="G773" s="88"/>
      <c r="H773" s="29"/>
      <c r="I773" s="29"/>
      <c r="J773" s="29"/>
    </row>
    <row r="774">
      <c r="A774" s="29"/>
      <c r="B774" s="29"/>
      <c r="C774" s="29"/>
      <c r="D774" s="29"/>
      <c r="E774" s="29"/>
      <c r="F774" s="29"/>
      <c r="G774" s="88"/>
      <c r="H774" s="29"/>
      <c r="I774" s="29"/>
      <c r="J774" s="29"/>
    </row>
    <row r="775">
      <c r="A775" s="29"/>
      <c r="B775" s="29"/>
      <c r="C775" s="29"/>
      <c r="D775" s="29"/>
      <c r="E775" s="29"/>
      <c r="F775" s="29"/>
      <c r="G775" s="88"/>
      <c r="H775" s="29"/>
      <c r="I775" s="29"/>
      <c r="J775" s="29"/>
    </row>
    <row r="776">
      <c r="A776" s="29"/>
      <c r="B776" s="29"/>
      <c r="C776" s="29"/>
      <c r="D776" s="29"/>
      <c r="E776" s="29"/>
      <c r="F776" s="29"/>
      <c r="G776" s="88"/>
      <c r="H776" s="29"/>
      <c r="I776" s="29"/>
      <c r="J776" s="29"/>
    </row>
    <row r="777">
      <c r="A777" s="29"/>
      <c r="B777" s="29"/>
      <c r="C777" s="29"/>
      <c r="D777" s="29"/>
      <c r="E777" s="29"/>
      <c r="F777" s="29"/>
      <c r="G777" s="88"/>
      <c r="H777" s="29"/>
      <c r="I777" s="29"/>
      <c r="J777" s="29"/>
    </row>
    <row r="778">
      <c r="A778" s="29"/>
      <c r="B778" s="29"/>
      <c r="C778" s="29"/>
      <c r="D778" s="29"/>
      <c r="E778" s="29"/>
      <c r="F778" s="29"/>
      <c r="G778" s="88"/>
      <c r="H778" s="29"/>
      <c r="I778" s="29"/>
      <c r="J778" s="29"/>
    </row>
    <row r="779">
      <c r="A779" s="29"/>
      <c r="B779" s="29"/>
      <c r="C779" s="29"/>
      <c r="D779" s="29"/>
      <c r="E779" s="29"/>
      <c r="F779" s="29"/>
      <c r="G779" s="88"/>
      <c r="H779" s="29"/>
      <c r="I779" s="29"/>
      <c r="J779" s="29"/>
    </row>
    <row r="780">
      <c r="A780" s="29"/>
      <c r="B780" s="29"/>
      <c r="C780" s="29"/>
      <c r="D780" s="29"/>
      <c r="E780" s="29"/>
      <c r="F780" s="29"/>
      <c r="G780" s="88"/>
      <c r="H780" s="29"/>
      <c r="I780" s="29"/>
      <c r="J780" s="29"/>
    </row>
    <row r="781">
      <c r="A781" s="29"/>
      <c r="B781" s="29"/>
      <c r="C781" s="29"/>
      <c r="D781" s="29"/>
      <c r="E781" s="29"/>
      <c r="F781" s="29"/>
      <c r="G781" s="88"/>
      <c r="H781" s="29"/>
      <c r="I781" s="29"/>
      <c r="J781" s="29"/>
    </row>
    <row r="782">
      <c r="A782" s="29"/>
      <c r="B782" s="29"/>
      <c r="C782" s="29"/>
      <c r="D782" s="29"/>
      <c r="E782" s="29"/>
      <c r="F782" s="29"/>
      <c r="G782" s="88"/>
      <c r="H782" s="29"/>
      <c r="I782" s="29"/>
      <c r="J782" s="29"/>
    </row>
    <row r="783">
      <c r="A783" s="29"/>
      <c r="B783" s="29"/>
      <c r="C783" s="29"/>
      <c r="D783" s="29"/>
      <c r="E783" s="29"/>
      <c r="F783" s="29"/>
      <c r="G783" s="88"/>
      <c r="H783" s="29"/>
      <c r="I783" s="29"/>
      <c r="J783" s="29"/>
    </row>
    <row r="784">
      <c r="A784" s="29"/>
      <c r="B784" s="29"/>
      <c r="C784" s="29"/>
      <c r="D784" s="29"/>
      <c r="E784" s="29"/>
      <c r="F784" s="29"/>
      <c r="G784" s="88"/>
      <c r="H784" s="29"/>
      <c r="I784" s="29"/>
      <c r="J784" s="29"/>
    </row>
    <row r="785">
      <c r="A785" s="29"/>
      <c r="B785" s="29"/>
      <c r="C785" s="29"/>
      <c r="D785" s="29"/>
      <c r="E785" s="29"/>
      <c r="F785" s="29"/>
      <c r="G785" s="88"/>
      <c r="H785" s="29"/>
      <c r="I785" s="29"/>
      <c r="J785" s="29"/>
    </row>
    <row r="786">
      <c r="A786" s="29"/>
      <c r="B786" s="29"/>
      <c r="C786" s="29"/>
      <c r="D786" s="29"/>
      <c r="E786" s="29"/>
      <c r="F786" s="29"/>
      <c r="G786" s="88"/>
      <c r="H786" s="29"/>
      <c r="I786" s="29"/>
      <c r="J786" s="29"/>
    </row>
    <row r="787">
      <c r="A787" s="29"/>
      <c r="B787" s="29"/>
      <c r="C787" s="29"/>
      <c r="D787" s="29"/>
      <c r="E787" s="29"/>
      <c r="F787" s="29"/>
      <c r="G787" s="88"/>
      <c r="H787" s="29"/>
      <c r="I787" s="29"/>
      <c r="J787" s="29"/>
    </row>
    <row r="788">
      <c r="A788" s="29"/>
      <c r="B788" s="29"/>
      <c r="C788" s="29"/>
      <c r="D788" s="29"/>
      <c r="E788" s="29"/>
      <c r="F788" s="29"/>
      <c r="G788" s="88"/>
      <c r="H788" s="29"/>
      <c r="I788" s="29"/>
      <c r="J788" s="29"/>
    </row>
    <row r="789">
      <c r="A789" s="29"/>
      <c r="B789" s="29"/>
      <c r="C789" s="29"/>
      <c r="D789" s="29"/>
      <c r="E789" s="29"/>
      <c r="F789" s="29"/>
      <c r="G789" s="88"/>
      <c r="H789" s="29"/>
      <c r="I789" s="29"/>
      <c r="J789" s="29"/>
    </row>
    <row r="790">
      <c r="A790" s="29"/>
      <c r="B790" s="29"/>
      <c r="C790" s="29"/>
      <c r="D790" s="29"/>
      <c r="E790" s="29"/>
      <c r="F790" s="29"/>
      <c r="G790" s="88"/>
      <c r="H790" s="29"/>
      <c r="I790" s="29"/>
      <c r="J790" s="29"/>
    </row>
    <row r="791">
      <c r="A791" s="29"/>
      <c r="B791" s="29"/>
      <c r="C791" s="29"/>
      <c r="D791" s="29"/>
      <c r="E791" s="29"/>
      <c r="F791" s="29"/>
      <c r="G791" s="88"/>
      <c r="H791" s="29"/>
      <c r="I791" s="29"/>
      <c r="J791" s="29"/>
    </row>
    <row r="792">
      <c r="A792" s="29"/>
      <c r="B792" s="29"/>
      <c r="C792" s="29"/>
      <c r="D792" s="29"/>
      <c r="E792" s="29"/>
      <c r="F792" s="29"/>
      <c r="G792" s="88"/>
      <c r="H792" s="29"/>
      <c r="I792" s="29"/>
      <c r="J792" s="29"/>
    </row>
    <row r="793">
      <c r="A793" s="29"/>
      <c r="B793" s="29"/>
      <c r="C793" s="29"/>
      <c r="D793" s="29"/>
      <c r="E793" s="29"/>
      <c r="F793" s="29"/>
      <c r="G793" s="88"/>
      <c r="H793" s="29"/>
      <c r="I793" s="29"/>
      <c r="J793" s="29"/>
    </row>
    <row r="794">
      <c r="A794" s="29"/>
      <c r="B794" s="29"/>
      <c r="C794" s="29"/>
      <c r="D794" s="29"/>
      <c r="E794" s="29"/>
      <c r="F794" s="29"/>
      <c r="G794" s="88"/>
      <c r="H794" s="29"/>
      <c r="I794" s="29"/>
      <c r="J794" s="29"/>
    </row>
    <row r="795">
      <c r="A795" s="29"/>
      <c r="B795" s="29"/>
      <c r="C795" s="29"/>
      <c r="D795" s="29"/>
      <c r="E795" s="29"/>
      <c r="F795" s="29"/>
      <c r="G795" s="88"/>
      <c r="H795" s="29"/>
      <c r="I795" s="29"/>
      <c r="J795" s="29"/>
    </row>
    <row r="796">
      <c r="A796" s="29"/>
      <c r="B796" s="29"/>
      <c r="C796" s="29"/>
      <c r="D796" s="29"/>
      <c r="E796" s="29"/>
      <c r="F796" s="29"/>
      <c r="G796" s="88"/>
      <c r="H796" s="29"/>
      <c r="I796" s="29"/>
      <c r="J796" s="29"/>
    </row>
    <row r="797">
      <c r="A797" s="29"/>
      <c r="B797" s="29"/>
      <c r="C797" s="29"/>
      <c r="D797" s="29"/>
      <c r="E797" s="29"/>
      <c r="F797" s="29"/>
      <c r="G797" s="88"/>
      <c r="H797" s="29"/>
      <c r="I797" s="29"/>
      <c r="J797" s="29"/>
    </row>
    <row r="798">
      <c r="A798" s="29"/>
      <c r="B798" s="29"/>
      <c r="C798" s="29"/>
      <c r="D798" s="29"/>
      <c r="E798" s="29"/>
      <c r="F798" s="29"/>
      <c r="G798" s="88"/>
      <c r="H798" s="29"/>
      <c r="I798" s="29"/>
      <c r="J798" s="29"/>
    </row>
    <row r="799">
      <c r="A799" s="29"/>
      <c r="B799" s="29"/>
      <c r="C799" s="29"/>
      <c r="D799" s="29"/>
      <c r="E799" s="29"/>
      <c r="F799" s="29"/>
      <c r="G799" s="88"/>
      <c r="H799" s="29"/>
      <c r="I799" s="29"/>
      <c r="J799" s="29"/>
    </row>
    <row r="800">
      <c r="A800" s="29"/>
      <c r="B800" s="29"/>
      <c r="C800" s="29"/>
      <c r="D800" s="29"/>
      <c r="E800" s="29"/>
      <c r="F800" s="29"/>
      <c r="G800" s="88"/>
      <c r="H800" s="29"/>
      <c r="I800" s="29"/>
      <c r="J800" s="29"/>
    </row>
    <row r="801">
      <c r="A801" s="29"/>
      <c r="B801" s="29"/>
      <c r="C801" s="29"/>
      <c r="D801" s="29"/>
      <c r="E801" s="29"/>
      <c r="F801" s="29"/>
      <c r="G801" s="88"/>
      <c r="H801" s="29"/>
      <c r="I801" s="29"/>
      <c r="J801" s="29"/>
    </row>
    <row r="802">
      <c r="A802" s="29"/>
      <c r="B802" s="29"/>
      <c r="C802" s="29"/>
      <c r="D802" s="29"/>
      <c r="E802" s="29"/>
      <c r="F802" s="29"/>
      <c r="G802" s="88"/>
      <c r="H802" s="29"/>
      <c r="I802" s="29"/>
      <c r="J802" s="29"/>
    </row>
    <row r="803">
      <c r="A803" s="29"/>
      <c r="B803" s="29"/>
      <c r="C803" s="29"/>
      <c r="D803" s="29"/>
      <c r="E803" s="29"/>
      <c r="F803" s="29"/>
      <c r="G803" s="88"/>
      <c r="H803" s="29"/>
      <c r="I803" s="29"/>
      <c r="J803" s="29"/>
    </row>
    <row r="804">
      <c r="A804" s="29"/>
      <c r="B804" s="29"/>
      <c r="C804" s="29"/>
      <c r="D804" s="29"/>
      <c r="E804" s="29"/>
      <c r="F804" s="29"/>
      <c r="G804" s="88"/>
      <c r="H804" s="29"/>
      <c r="I804" s="29"/>
      <c r="J804" s="29"/>
    </row>
    <row r="805">
      <c r="A805" s="29"/>
      <c r="B805" s="29"/>
      <c r="C805" s="29"/>
      <c r="D805" s="29"/>
      <c r="E805" s="29"/>
      <c r="F805" s="29"/>
      <c r="G805" s="88"/>
      <c r="H805" s="29"/>
      <c r="I805" s="29"/>
      <c r="J805" s="29"/>
    </row>
    <row r="806">
      <c r="A806" s="29"/>
      <c r="B806" s="29"/>
      <c r="C806" s="29"/>
      <c r="D806" s="29"/>
      <c r="E806" s="29"/>
      <c r="F806" s="29"/>
      <c r="G806" s="88"/>
      <c r="H806" s="29"/>
      <c r="I806" s="29"/>
      <c r="J806" s="29"/>
    </row>
    <row r="807">
      <c r="A807" s="29"/>
      <c r="B807" s="29"/>
      <c r="C807" s="29"/>
      <c r="D807" s="29"/>
      <c r="E807" s="29"/>
      <c r="F807" s="29"/>
      <c r="G807" s="88"/>
      <c r="H807" s="29"/>
      <c r="I807" s="29"/>
      <c r="J807" s="29"/>
    </row>
    <row r="808">
      <c r="A808" s="29"/>
      <c r="B808" s="29"/>
      <c r="C808" s="29"/>
      <c r="D808" s="29"/>
      <c r="E808" s="29"/>
      <c r="F808" s="29"/>
      <c r="G808" s="88"/>
      <c r="H808" s="29"/>
      <c r="I808" s="29"/>
      <c r="J808" s="29"/>
    </row>
    <row r="809">
      <c r="A809" s="29"/>
      <c r="B809" s="29"/>
      <c r="C809" s="29"/>
      <c r="D809" s="29"/>
      <c r="E809" s="29"/>
      <c r="F809" s="29"/>
      <c r="G809" s="88"/>
      <c r="H809" s="29"/>
      <c r="I809" s="29"/>
      <c r="J809" s="29"/>
    </row>
    <row r="810">
      <c r="A810" s="29"/>
      <c r="B810" s="29"/>
      <c r="C810" s="29"/>
      <c r="D810" s="29"/>
      <c r="E810" s="29"/>
      <c r="F810" s="29"/>
      <c r="G810" s="88"/>
      <c r="H810" s="29"/>
      <c r="I810" s="29"/>
      <c r="J810" s="29"/>
    </row>
    <row r="811">
      <c r="A811" s="29"/>
      <c r="B811" s="29"/>
      <c r="C811" s="29"/>
      <c r="D811" s="29"/>
      <c r="E811" s="29"/>
      <c r="F811" s="29"/>
      <c r="G811" s="88"/>
      <c r="H811" s="29"/>
      <c r="I811" s="29"/>
      <c r="J811" s="29"/>
    </row>
    <row r="812">
      <c r="A812" s="29"/>
      <c r="B812" s="29"/>
      <c r="C812" s="29"/>
      <c r="D812" s="29"/>
      <c r="E812" s="29"/>
      <c r="F812" s="29"/>
      <c r="G812" s="88"/>
      <c r="H812" s="29"/>
      <c r="I812" s="29"/>
      <c r="J812" s="29"/>
    </row>
    <row r="813">
      <c r="A813" s="29"/>
      <c r="B813" s="29"/>
      <c r="C813" s="29"/>
      <c r="D813" s="29"/>
      <c r="E813" s="29"/>
      <c r="F813" s="29"/>
      <c r="G813" s="88"/>
      <c r="H813" s="29"/>
      <c r="I813" s="29"/>
      <c r="J813" s="29"/>
    </row>
    <row r="814">
      <c r="A814" s="29"/>
      <c r="B814" s="29"/>
      <c r="C814" s="29"/>
      <c r="D814" s="29"/>
      <c r="E814" s="29"/>
      <c r="F814" s="29"/>
      <c r="G814" s="88"/>
      <c r="H814" s="29"/>
      <c r="I814" s="29"/>
      <c r="J814" s="29"/>
    </row>
    <row r="815">
      <c r="A815" s="29"/>
      <c r="B815" s="29"/>
      <c r="C815" s="29"/>
      <c r="D815" s="29"/>
      <c r="E815" s="29"/>
      <c r="F815" s="29"/>
      <c r="G815" s="88"/>
      <c r="H815" s="29"/>
      <c r="I815" s="29"/>
      <c r="J815" s="29"/>
    </row>
    <row r="816">
      <c r="A816" s="29"/>
      <c r="B816" s="29"/>
      <c r="C816" s="29"/>
      <c r="D816" s="29"/>
      <c r="E816" s="29"/>
      <c r="F816" s="29"/>
      <c r="G816" s="88"/>
      <c r="H816" s="29"/>
      <c r="I816" s="29"/>
      <c r="J816" s="29"/>
    </row>
    <row r="817">
      <c r="A817" s="29"/>
      <c r="B817" s="29"/>
      <c r="C817" s="29"/>
      <c r="D817" s="29"/>
      <c r="E817" s="29"/>
      <c r="F817" s="29"/>
      <c r="G817" s="88"/>
      <c r="H817" s="29"/>
      <c r="I817" s="29"/>
      <c r="J817" s="29"/>
    </row>
    <row r="818">
      <c r="A818" s="29"/>
      <c r="B818" s="29"/>
      <c r="C818" s="29"/>
      <c r="D818" s="29"/>
      <c r="E818" s="29"/>
      <c r="F818" s="29"/>
      <c r="G818" s="88"/>
      <c r="H818" s="29"/>
      <c r="I818" s="29"/>
      <c r="J818" s="29"/>
    </row>
    <row r="819">
      <c r="A819" s="29"/>
      <c r="B819" s="29"/>
      <c r="C819" s="29"/>
      <c r="D819" s="29"/>
      <c r="E819" s="29"/>
      <c r="F819" s="29"/>
      <c r="G819" s="88"/>
      <c r="H819" s="29"/>
      <c r="I819" s="29"/>
      <c r="J819" s="29"/>
    </row>
    <row r="820">
      <c r="A820" s="29"/>
      <c r="B820" s="29"/>
      <c r="C820" s="29"/>
      <c r="D820" s="29"/>
      <c r="E820" s="29"/>
      <c r="F820" s="29"/>
      <c r="G820" s="88"/>
      <c r="H820" s="29"/>
      <c r="I820" s="29"/>
      <c r="J820" s="29"/>
    </row>
    <row r="821">
      <c r="A821" s="29"/>
      <c r="B821" s="29"/>
      <c r="C821" s="29"/>
      <c r="D821" s="29"/>
      <c r="E821" s="29"/>
      <c r="F821" s="29"/>
      <c r="G821" s="88"/>
      <c r="H821" s="29"/>
      <c r="I821" s="29"/>
      <c r="J821" s="29"/>
    </row>
    <row r="822">
      <c r="A822" s="29"/>
      <c r="B822" s="29"/>
      <c r="C822" s="29"/>
      <c r="D822" s="29"/>
      <c r="E822" s="29"/>
      <c r="F822" s="29"/>
      <c r="G822" s="88"/>
      <c r="H822" s="29"/>
      <c r="I822" s="29"/>
      <c r="J822" s="29"/>
    </row>
    <row r="823">
      <c r="A823" s="29"/>
      <c r="B823" s="29"/>
      <c r="C823" s="29"/>
      <c r="D823" s="29"/>
      <c r="E823" s="29"/>
      <c r="F823" s="29"/>
      <c r="G823" s="88"/>
      <c r="H823" s="29"/>
      <c r="I823" s="29"/>
      <c r="J823" s="29"/>
    </row>
    <row r="824">
      <c r="A824" s="29"/>
      <c r="B824" s="29"/>
      <c r="C824" s="29"/>
      <c r="D824" s="29"/>
      <c r="E824" s="29"/>
      <c r="F824" s="29"/>
      <c r="G824" s="88"/>
      <c r="H824" s="29"/>
      <c r="I824" s="29"/>
      <c r="J824" s="29"/>
    </row>
    <row r="825">
      <c r="A825" s="29"/>
      <c r="B825" s="29"/>
      <c r="C825" s="29"/>
      <c r="D825" s="29"/>
      <c r="E825" s="29"/>
      <c r="F825" s="29"/>
      <c r="G825" s="88"/>
      <c r="H825" s="29"/>
      <c r="I825" s="29"/>
      <c r="J825" s="29"/>
    </row>
    <row r="826">
      <c r="A826" s="29"/>
      <c r="B826" s="29"/>
      <c r="C826" s="29"/>
      <c r="D826" s="29"/>
      <c r="E826" s="29"/>
      <c r="F826" s="29"/>
      <c r="G826" s="88"/>
      <c r="H826" s="29"/>
      <c r="I826" s="29"/>
      <c r="J826" s="29"/>
    </row>
    <row r="827">
      <c r="A827" s="29"/>
      <c r="B827" s="29"/>
      <c r="C827" s="29"/>
      <c r="D827" s="29"/>
      <c r="E827" s="29"/>
      <c r="F827" s="29"/>
      <c r="G827" s="88"/>
      <c r="H827" s="29"/>
      <c r="I827" s="29"/>
      <c r="J827" s="29"/>
    </row>
    <row r="828">
      <c r="A828" s="29"/>
      <c r="B828" s="29"/>
      <c r="C828" s="29"/>
      <c r="D828" s="29"/>
      <c r="E828" s="29"/>
      <c r="F828" s="29"/>
      <c r="G828" s="88"/>
      <c r="H828" s="29"/>
      <c r="I828" s="29"/>
      <c r="J828" s="29"/>
    </row>
    <row r="829">
      <c r="A829" s="29"/>
      <c r="B829" s="29"/>
      <c r="C829" s="29"/>
      <c r="D829" s="29"/>
      <c r="E829" s="29"/>
      <c r="F829" s="29"/>
      <c r="G829" s="88"/>
      <c r="H829" s="29"/>
      <c r="I829" s="29"/>
      <c r="J829" s="29"/>
    </row>
    <row r="830">
      <c r="A830" s="29"/>
      <c r="B830" s="29"/>
      <c r="C830" s="29"/>
      <c r="D830" s="29"/>
      <c r="E830" s="29"/>
      <c r="F830" s="29"/>
      <c r="G830" s="88"/>
      <c r="H830" s="29"/>
      <c r="I830" s="29"/>
      <c r="J830" s="29"/>
    </row>
    <row r="831">
      <c r="A831" s="29"/>
      <c r="B831" s="29"/>
      <c r="C831" s="29"/>
      <c r="D831" s="29"/>
      <c r="E831" s="29"/>
      <c r="F831" s="29"/>
      <c r="G831" s="88"/>
      <c r="H831" s="29"/>
      <c r="I831" s="29"/>
      <c r="J831" s="29"/>
    </row>
    <row r="832">
      <c r="A832" s="29"/>
      <c r="B832" s="29"/>
      <c r="C832" s="29"/>
      <c r="D832" s="29"/>
      <c r="E832" s="29"/>
      <c r="F832" s="29"/>
      <c r="G832" s="88"/>
      <c r="H832" s="29"/>
      <c r="I832" s="29"/>
      <c r="J832" s="29"/>
    </row>
    <row r="833">
      <c r="A833" s="29"/>
      <c r="B833" s="29"/>
      <c r="C833" s="29"/>
      <c r="D833" s="29"/>
      <c r="E833" s="29"/>
      <c r="F833" s="29"/>
      <c r="G833" s="88"/>
      <c r="H833" s="29"/>
      <c r="I833" s="29"/>
      <c r="J833" s="29"/>
    </row>
    <row r="834">
      <c r="A834" s="29"/>
      <c r="B834" s="29"/>
      <c r="C834" s="29"/>
      <c r="D834" s="29"/>
      <c r="E834" s="29"/>
      <c r="F834" s="29"/>
      <c r="G834" s="88"/>
      <c r="H834" s="29"/>
      <c r="I834" s="29"/>
      <c r="J834" s="29"/>
    </row>
    <row r="835">
      <c r="A835" s="29"/>
      <c r="B835" s="29"/>
      <c r="C835" s="29"/>
      <c r="D835" s="29"/>
      <c r="E835" s="29"/>
      <c r="F835" s="29"/>
      <c r="G835" s="88"/>
      <c r="H835" s="29"/>
      <c r="I835" s="29"/>
      <c r="J835" s="29"/>
    </row>
    <row r="836">
      <c r="A836" s="29"/>
      <c r="B836" s="29"/>
      <c r="C836" s="29"/>
      <c r="D836" s="29"/>
      <c r="E836" s="29"/>
      <c r="F836" s="29"/>
      <c r="G836" s="88"/>
      <c r="H836" s="29"/>
      <c r="I836" s="29"/>
      <c r="J836" s="29"/>
    </row>
    <row r="837">
      <c r="A837" s="29"/>
      <c r="B837" s="29"/>
      <c r="C837" s="29"/>
      <c r="D837" s="29"/>
      <c r="E837" s="29"/>
      <c r="F837" s="29"/>
      <c r="G837" s="88"/>
      <c r="H837" s="29"/>
      <c r="I837" s="29"/>
      <c r="J837" s="29"/>
    </row>
    <row r="838">
      <c r="A838" s="29"/>
      <c r="B838" s="29"/>
      <c r="C838" s="29"/>
      <c r="D838" s="29"/>
      <c r="E838" s="29"/>
      <c r="F838" s="29"/>
      <c r="G838" s="88"/>
      <c r="H838" s="29"/>
      <c r="I838" s="29"/>
      <c r="J838" s="29"/>
    </row>
    <row r="839">
      <c r="A839" s="29"/>
      <c r="B839" s="29"/>
      <c r="C839" s="29"/>
      <c r="D839" s="29"/>
      <c r="E839" s="29"/>
      <c r="F839" s="29"/>
      <c r="G839" s="88"/>
      <c r="H839" s="29"/>
      <c r="I839" s="29"/>
      <c r="J839" s="29"/>
    </row>
    <row r="840">
      <c r="A840" s="29"/>
      <c r="B840" s="29"/>
      <c r="C840" s="29"/>
      <c r="D840" s="29"/>
      <c r="E840" s="29"/>
      <c r="F840" s="29"/>
      <c r="G840" s="88"/>
      <c r="H840" s="29"/>
      <c r="I840" s="29"/>
      <c r="J840" s="29"/>
    </row>
    <row r="841">
      <c r="A841" s="29"/>
      <c r="B841" s="29"/>
      <c r="C841" s="29"/>
      <c r="D841" s="29"/>
      <c r="E841" s="29"/>
      <c r="F841" s="29"/>
      <c r="G841" s="88"/>
      <c r="H841" s="29"/>
      <c r="I841" s="29"/>
      <c r="J841" s="29"/>
    </row>
    <row r="842">
      <c r="A842" s="29"/>
      <c r="B842" s="29"/>
      <c r="C842" s="29"/>
      <c r="D842" s="29"/>
      <c r="E842" s="29"/>
      <c r="F842" s="29"/>
      <c r="G842" s="88"/>
      <c r="H842" s="29"/>
      <c r="I842" s="29"/>
      <c r="J842" s="29"/>
    </row>
    <row r="843">
      <c r="A843" s="29"/>
      <c r="B843" s="29"/>
      <c r="C843" s="29"/>
      <c r="D843" s="29"/>
      <c r="E843" s="29"/>
      <c r="F843" s="29"/>
      <c r="G843" s="88"/>
      <c r="H843" s="29"/>
      <c r="I843" s="29"/>
      <c r="J843" s="29"/>
    </row>
    <row r="844">
      <c r="A844" s="29"/>
      <c r="B844" s="29"/>
      <c r="C844" s="29"/>
      <c r="D844" s="29"/>
      <c r="E844" s="29"/>
      <c r="F844" s="29"/>
      <c r="G844" s="88"/>
      <c r="H844" s="29"/>
      <c r="I844" s="29"/>
      <c r="J844" s="29"/>
    </row>
    <row r="845">
      <c r="A845" s="29"/>
      <c r="B845" s="29"/>
      <c r="C845" s="29"/>
      <c r="D845" s="29"/>
      <c r="E845" s="29"/>
      <c r="F845" s="29"/>
      <c r="G845" s="88"/>
      <c r="H845" s="29"/>
      <c r="I845" s="29"/>
      <c r="J845" s="29"/>
    </row>
    <row r="846">
      <c r="A846" s="29"/>
      <c r="B846" s="29"/>
      <c r="C846" s="29"/>
      <c r="D846" s="29"/>
      <c r="E846" s="29"/>
      <c r="F846" s="29"/>
      <c r="G846" s="88"/>
      <c r="H846" s="29"/>
      <c r="I846" s="29"/>
      <c r="J846" s="29"/>
    </row>
    <row r="847">
      <c r="A847" s="29"/>
      <c r="B847" s="29"/>
      <c r="C847" s="29"/>
      <c r="D847" s="29"/>
      <c r="E847" s="29"/>
      <c r="F847" s="29"/>
      <c r="G847" s="88"/>
      <c r="H847" s="29"/>
      <c r="I847" s="29"/>
      <c r="J847" s="29"/>
    </row>
    <row r="848">
      <c r="A848" s="29"/>
      <c r="B848" s="29"/>
      <c r="C848" s="29"/>
      <c r="D848" s="29"/>
      <c r="E848" s="29"/>
      <c r="F848" s="29"/>
      <c r="G848" s="88"/>
      <c r="H848" s="29"/>
      <c r="I848" s="29"/>
      <c r="J848" s="29"/>
    </row>
    <row r="849">
      <c r="A849" s="29"/>
      <c r="B849" s="29"/>
      <c r="C849" s="29"/>
      <c r="D849" s="29"/>
      <c r="E849" s="29"/>
      <c r="F849" s="29"/>
      <c r="G849" s="88"/>
      <c r="H849" s="29"/>
      <c r="I849" s="29"/>
      <c r="J849" s="29"/>
    </row>
    <row r="850">
      <c r="A850" s="29"/>
      <c r="B850" s="29"/>
      <c r="C850" s="29"/>
      <c r="D850" s="29"/>
      <c r="E850" s="29"/>
      <c r="F850" s="29"/>
      <c r="G850" s="88"/>
      <c r="H850" s="29"/>
      <c r="I850" s="29"/>
      <c r="J850" s="29"/>
    </row>
    <row r="851">
      <c r="A851" s="29"/>
      <c r="B851" s="29"/>
      <c r="C851" s="29"/>
      <c r="D851" s="29"/>
      <c r="E851" s="29"/>
      <c r="F851" s="29"/>
      <c r="G851" s="88"/>
      <c r="H851" s="29"/>
      <c r="I851" s="29"/>
      <c r="J851" s="29"/>
    </row>
    <row r="852">
      <c r="A852" s="29"/>
      <c r="B852" s="29"/>
      <c r="C852" s="29"/>
      <c r="D852" s="29"/>
      <c r="E852" s="29"/>
      <c r="F852" s="29"/>
      <c r="G852" s="88"/>
      <c r="H852" s="29"/>
      <c r="I852" s="29"/>
      <c r="J852" s="29"/>
    </row>
    <row r="853">
      <c r="A853" s="29"/>
      <c r="B853" s="29"/>
      <c r="C853" s="29"/>
      <c r="D853" s="29"/>
      <c r="E853" s="29"/>
      <c r="F853" s="29"/>
      <c r="G853" s="88"/>
      <c r="H853" s="29"/>
      <c r="I853" s="29"/>
      <c r="J853" s="29"/>
    </row>
    <row r="854">
      <c r="A854" s="29"/>
      <c r="B854" s="29"/>
      <c r="C854" s="29"/>
      <c r="D854" s="29"/>
      <c r="E854" s="29"/>
      <c r="F854" s="29"/>
      <c r="G854" s="88"/>
      <c r="H854" s="29"/>
      <c r="I854" s="29"/>
      <c r="J854" s="29"/>
    </row>
    <row r="855">
      <c r="A855" s="29"/>
      <c r="B855" s="29"/>
      <c r="C855" s="29"/>
      <c r="D855" s="29"/>
      <c r="E855" s="29"/>
      <c r="F855" s="29"/>
      <c r="G855" s="88"/>
      <c r="H855" s="29"/>
      <c r="I855" s="29"/>
      <c r="J855" s="29"/>
    </row>
    <row r="856">
      <c r="A856" s="29"/>
      <c r="B856" s="29"/>
      <c r="C856" s="29"/>
      <c r="D856" s="29"/>
      <c r="E856" s="29"/>
      <c r="F856" s="29"/>
      <c r="G856" s="88"/>
      <c r="H856" s="29"/>
      <c r="I856" s="29"/>
      <c r="J856" s="29"/>
    </row>
    <row r="857">
      <c r="A857" s="29"/>
      <c r="B857" s="29"/>
      <c r="C857" s="29"/>
      <c r="D857" s="29"/>
      <c r="E857" s="29"/>
      <c r="F857" s="29"/>
      <c r="G857" s="88"/>
      <c r="H857" s="29"/>
      <c r="I857" s="29"/>
      <c r="J857" s="29"/>
    </row>
    <row r="858">
      <c r="A858" s="29"/>
      <c r="B858" s="29"/>
      <c r="C858" s="29"/>
      <c r="D858" s="29"/>
      <c r="E858" s="29"/>
      <c r="F858" s="29"/>
      <c r="G858" s="88"/>
      <c r="H858" s="29"/>
      <c r="I858" s="29"/>
      <c r="J858" s="29"/>
    </row>
    <row r="859">
      <c r="A859" s="29"/>
      <c r="B859" s="29"/>
      <c r="C859" s="29"/>
      <c r="D859" s="29"/>
      <c r="E859" s="29"/>
      <c r="F859" s="29"/>
      <c r="G859" s="88"/>
      <c r="H859" s="29"/>
      <c r="I859" s="29"/>
      <c r="J859" s="29"/>
    </row>
    <row r="860">
      <c r="A860" s="29"/>
      <c r="B860" s="29"/>
      <c r="C860" s="29"/>
      <c r="D860" s="29"/>
      <c r="E860" s="29"/>
      <c r="F860" s="29"/>
      <c r="G860" s="88"/>
      <c r="H860" s="29"/>
      <c r="I860" s="29"/>
      <c r="J860" s="29"/>
    </row>
    <row r="861">
      <c r="A861" s="29"/>
      <c r="B861" s="29"/>
      <c r="C861" s="29"/>
      <c r="D861" s="29"/>
      <c r="E861" s="29"/>
      <c r="F861" s="29"/>
      <c r="G861" s="88"/>
      <c r="H861" s="29"/>
      <c r="I861" s="29"/>
      <c r="J861" s="29"/>
    </row>
    <row r="862">
      <c r="A862" s="29"/>
      <c r="B862" s="29"/>
      <c r="C862" s="29"/>
      <c r="D862" s="29"/>
      <c r="E862" s="29"/>
      <c r="F862" s="29"/>
      <c r="G862" s="88"/>
      <c r="H862" s="29"/>
      <c r="I862" s="29"/>
      <c r="J862" s="29"/>
    </row>
    <row r="863">
      <c r="A863" s="29"/>
      <c r="B863" s="29"/>
      <c r="C863" s="29"/>
      <c r="D863" s="29"/>
      <c r="E863" s="29"/>
      <c r="F863" s="29"/>
      <c r="G863" s="88"/>
      <c r="H863" s="29"/>
      <c r="I863" s="29"/>
      <c r="J863" s="29"/>
    </row>
    <row r="864">
      <c r="A864" s="29"/>
      <c r="B864" s="29"/>
      <c r="C864" s="29"/>
      <c r="D864" s="29"/>
      <c r="E864" s="29"/>
      <c r="F864" s="29"/>
      <c r="G864" s="88"/>
      <c r="H864" s="29"/>
      <c r="I864" s="29"/>
      <c r="J864" s="29"/>
    </row>
    <row r="865">
      <c r="A865" s="29"/>
      <c r="B865" s="29"/>
      <c r="C865" s="29"/>
      <c r="D865" s="29"/>
      <c r="E865" s="29"/>
      <c r="F865" s="29"/>
      <c r="G865" s="88"/>
      <c r="H865" s="29"/>
      <c r="I865" s="29"/>
      <c r="J865" s="29"/>
    </row>
    <row r="866">
      <c r="A866" s="29"/>
      <c r="B866" s="29"/>
      <c r="C866" s="29"/>
      <c r="D866" s="29"/>
      <c r="E866" s="29"/>
      <c r="F866" s="29"/>
      <c r="G866" s="88"/>
      <c r="H866" s="29"/>
      <c r="I866" s="29"/>
      <c r="J866" s="29"/>
    </row>
    <row r="867">
      <c r="A867" s="29"/>
      <c r="B867" s="29"/>
      <c r="C867" s="29"/>
      <c r="D867" s="29"/>
      <c r="E867" s="29"/>
      <c r="F867" s="29"/>
      <c r="G867" s="88"/>
      <c r="H867" s="29"/>
      <c r="I867" s="29"/>
      <c r="J867" s="29"/>
    </row>
    <row r="868">
      <c r="A868" s="29"/>
      <c r="B868" s="29"/>
      <c r="C868" s="29"/>
      <c r="D868" s="29"/>
      <c r="E868" s="29"/>
      <c r="F868" s="29"/>
      <c r="G868" s="88"/>
      <c r="H868" s="29"/>
      <c r="I868" s="29"/>
      <c r="J868" s="29"/>
    </row>
    <row r="869">
      <c r="A869" s="29"/>
      <c r="B869" s="29"/>
      <c r="C869" s="29"/>
      <c r="D869" s="29"/>
      <c r="E869" s="29"/>
      <c r="F869" s="29"/>
      <c r="G869" s="88"/>
      <c r="H869" s="29"/>
      <c r="I869" s="29"/>
      <c r="J869" s="29"/>
    </row>
    <row r="870">
      <c r="A870" s="29"/>
      <c r="B870" s="29"/>
      <c r="C870" s="29"/>
      <c r="D870" s="29"/>
      <c r="E870" s="29"/>
      <c r="F870" s="29"/>
      <c r="G870" s="88"/>
      <c r="H870" s="29"/>
      <c r="I870" s="29"/>
      <c r="J870" s="29"/>
    </row>
    <row r="871">
      <c r="A871" s="29"/>
      <c r="B871" s="29"/>
      <c r="C871" s="29"/>
      <c r="D871" s="29"/>
      <c r="E871" s="29"/>
      <c r="F871" s="29"/>
      <c r="G871" s="88"/>
      <c r="H871" s="29"/>
      <c r="I871" s="29"/>
      <c r="J871" s="29"/>
    </row>
    <row r="872">
      <c r="A872" s="29"/>
      <c r="B872" s="29"/>
      <c r="C872" s="29"/>
      <c r="D872" s="29"/>
      <c r="E872" s="29"/>
      <c r="F872" s="29"/>
      <c r="G872" s="88"/>
      <c r="H872" s="29"/>
      <c r="I872" s="29"/>
      <c r="J872" s="29"/>
    </row>
    <row r="873">
      <c r="A873" s="29"/>
      <c r="B873" s="29"/>
      <c r="C873" s="29"/>
      <c r="D873" s="29"/>
      <c r="E873" s="29"/>
      <c r="F873" s="29"/>
      <c r="G873" s="88"/>
      <c r="H873" s="29"/>
      <c r="I873" s="29"/>
      <c r="J873" s="29"/>
    </row>
    <row r="874">
      <c r="A874" s="29"/>
      <c r="B874" s="29"/>
      <c r="C874" s="29"/>
      <c r="D874" s="29"/>
      <c r="E874" s="29"/>
      <c r="F874" s="29"/>
      <c r="G874" s="88"/>
      <c r="H874" s="29"/>
      <c r="I874" s="29"/>
      <c r="J874" s="29"/>
    </row>
    <row r="875">
      <c r="A875" s="29"/>
      <c r="B875" s="29"/>
      <c r="C875" s="29"/>
      <c r="D875" s="29"/>
      <c r="E875" s="29"/>
      <c r="F875" s="29"/>
      <c r="G875" s="88"/>
      <c r="H875" s="29"/>
      <c r="I875" s="29"/>
      <c r="J875" s="29"/>
    </row>
    <row r="876">
      <c r="A876" s="29"/>
      <c r="B876" s="29"/>
      <c r="C876" s="29"/>
      <c r="D876" s="29"/>
      <c r="E876" s="29"/>
      <c r="F876" s="29"/>
      <c r="G876" s="88"/>
      <c r="H876" s="29"/>
      <c r="I876" s="29"/>
      <c r="J876" s="29"/>
    </row>
    <row r="877">
      <c r="A877" s="29"/>
      <c r="B877" s="29"/>
      <c r="C877" s="29"/>
      <c r="D877" s="29"/>
      <c r="E877" s="29"/>
      <c r="F877" s="29"/>
      <c r="G877" s="88"/>
      <c r="H877" s="29"/>
      <c r="I877" s="29"/>
      <c r="J877" s="29"/>
    </row>
    <row r="878">
      <c r="A878" s="29"/>
      <c r="B878" s="29"/>
      <c r="C878" s="29"/>
      <c r="D878" s="29"/>
      <c r="E878" s="29"/>
      <c r="F878" s="29"/>
      <c r="G878" s="88"/>
      <c r="H878" s="29"/>
      <c r="I878" s="29"/>
      <c r="J878" s="29"/>
    </row>
    <row r="879">
      <c r="A879" s="29"/>
      <c r="B879" s="29"/>
      <c r="C879" s="29"/>
      <c r="D879" s="29"/>
      <c r="E879" s="29"/>
      <c r="F879" s="29"/>
      <c r="G879" s="88"/>
      <c r="H879" s="29"/>
      <c r="I879" s="29"/>
      <c r="J879" s="29"/>
    </row>
    <row r="880">
      <c r="A880" s="29"/>
      <c r="B880" s="29"/>
      <c r="C880" s="29"/>
      <c r="D880" s="29"/>
      <c r="E880" s="29"/>
      <c r="F880" s="29"/>
      <c r="G880" s="88"/>
      <c r="H880" s="29"/>
      <c r="I880" s="29"/>
      <c r="J880" s="29"/>
    </row>
    <row r="881">
      <c r="A881" s="29"/>
      <c r="B881" s="29"/>
      <c r="C881" s="29"/>
      <c r="D881" s="29"/>
      <c r="E881" s="29"/>
      <c r="F881" s="29"/>
      <c r="G881" s="88"/>
      <c r="H881" s="29"/>
      <c r="I881" s="29"/>
      <c r="J881" s="29"/>
    </row>
    <row r="882">
      <c r="A882" s="29"/>
      <c r="B882" s="29"/>
      <c r="C882" s="29"/>
      <c r="D882" s="29"/>
      <c r="E882" s="29"/>
      <c r="F882" s="29"/>
      <c r="G882" s="88"/>
      <c r="H882" s="29"/>
      <c r="I882" s="29"/>
      <c r="J882" s="29"/>
    </row>
    <row r="883">
      <c r="A883" s="29"/>
      <c r="B883" s="29"/>
      <c r="C883" s="29"/>
      <c r="D883" s="29"/>
      <c r="E883" s="29"/>
      <c r="F883" s="29"/>
      <c r="G883" s="88"/>
      <c r="H883" s="29"/>
      <c r="I883" s="29"/>
      <c r="J883" s="29"/>
    </row>
    <row r="884">
      <c r="A884" s="29"/>
      <c r="B884" s="29"/>
      <c r="C884" s="29"/>
      <c r="D884" s="29"/>
      <c r="E884" s="29"/>
      <c r="F884" s="29"/>
      <c r="G884" s="88"/>
      <c r="H884" s="29"/>
      <c r="I884" s="29"/>
      <c r="J884" s="29"/>
    </row>
    <row r="885">
      <c r="A885" s="29"/>
      <c r="B885" s="29"/>
      <c r="C885" s="29"/>
      <c r="D885" s="29"/>
      <c r="E885" s="29"/>
      <c r="F885" s="29"/>
      <c r="G885" s="88"/>
      <c r="H885" s="29"/>
      <c r="I885" s="29"/>
      <c r="J885" s="29"/>
    </row>
    <row r="886">
      <c r="A886" s="29"/>
      <c r="B886" s="29"/>
      <c r="C886" s="29"/>
      <c r="D886" s="29"/>
      <c r="E886" s="29"/>
      <c r="F886" s="29"/>
      <c r="G886" s="88"/>
      <c r="H886" s="29"/>
      <c r="I886" s="29"/>
      <c r="J886" s="29"/>
    </row>
    <row r="887">
      <c r="A887" s="29"/>
      <c r="B887" s="29"/>
      <c r="C887" s="29"/>
      <c r="D887" s="29"/>
      <c r="E887" s="29"/>
      <c r="F887" s="29"/>
      <c r="G887" s="88"/>
      <c r="H887" s="29"/>
      <c r="I887" s="29"/>
      <c r="J887" s="29"/>
    </row>
    <row r="888">
      <c r="A888" s="29"/>
      <c r="B888" s="29"/>
      <c r="C888" s="29"/>
      <c r="D888" s="29"/>
      <c r="E888" s="29"/>
      <c r="F888" s="29"/>
      <c r="G888" s="88"/>
      <c r="H888" s="29"/>
      <c r="I888" s="29"/>
      <c r="J888" s="29"/>
    </row>
    <row r="889">
      <c r="A889" s="29"/>
      <c r="B889" s="29"/>
      <c r="C889" s="29"/>
      <c r="D889" s="29"/>
      <c r="E889" s="29"/>
      <c r="F889" s="29"/>
      <c r="G889" s="88"/>
      <c r="H889" s="29"/>
      <c r="I889" s="29"/>
      <c r="J889" s="29"/>
    </row>
    <row r="890">
      <c r="A890" s="29"/>
      <c r="B890" s="29"/>
      <c r="C890" s="29"/>
      <c r="D890" s="29"/>
      <c r="E890" s="29"/>
      <c r="F890" s="29"/>
      <c r="G890" s="88"/>
      <c r="H890" s="29"/>
      <c r="I890" s="29"/>
      <c r="J890" s="29"/>
    </row>
    <row r="891">
      <c r="A891" s="29"/>
      <c r="B891" s="29"/>
      <c r="C891" s="29"/>
      <c r="D891" s="29"/>
      <c r="E891" s="29"/>
      <c r="F891" s="29"/>
      <c r="G891" s="88"/>
      <c r="H891" s="29"/>
      <c r="I891" s="29"/>
      <c r="J891" s="29"/>
    </row>
    <row r="892">
      <c r="A892" s="29"/>
      <c r="B892" s="29"/>
      <c r="C892" s="29"/>
      <c r="D892" s="29"/>
      <c r="E892" s="29"/>
      <c r="F892" s="29"/>
      <c r="G892" s="88"/>
      <c r="H892" s="29"/>
      <c r="I892" s="29"/>
      <c r="J892" s="29"/>
    </row>
    <row r="893">
      <c r="A893" s="29"/>
      <c r="B893" s="29"/>
      <c r="C893" s="29"/>
      <c r="D893" s="29"/>
      <c r="E893" s="29"/>
      <c r="F893" s="29"/>
      <c r="G893" s="88"/>
      <c r="H893" s="29"/>
      <c r="I893" s="29"/>
      <c r="J893" s="29"/>
    </row>
    <row r="894">
      <c r="A894" s="29"/>
      <c r="B894" s="29"/>
      <c r="C894" s="29"/>
      <c r="D894" s="29"/>
      <c r="E894" s="29"/>
      <c r="F894" s="29"/>
      <c r="G894" s="88"/>
      <c r="H894" s="29"/>
      <c r="I894" s="29"/>
      <c r="J894" s="29"/>
    </row>
    <row r="895">
      <c r="A895" s="29"/>
      <c r="B895" s="29"/>
      <c r="C895" s="29"/>
      <c r="D895" s="29"/>
      <c r="E895" s="29"/>
      <c r="F895" s="29"/>
      <c r="G895" s="88"/>
      <c r="H895" s="29"/>
      <c r="I895" s="29"/>
      <c r="J895" s="29"/>
    </row>
    <row r="896">
      <c r="A896" s="29"/>
      <c r="B896" s="29"/>
      <c r="C896" s="29"/>
      <c r="D896" s="29"/>
      <c r="E896" s="29"/>
      <c r="F896" s="29"/>
      <c r="G896" s="88"/>
      <c r="H896" s="29"/>
      <c r="I896" s="29"/>
      <c r="J896" s="29"/>
    </row>
    <row r="897">
      <c r="A897" s="29"/>
      <c r="B897" s="29"/>
      <c r="C897" s="29"/>
      <c r="D897" s="29"/>
      <c r="E897" s="29"/>
      <c r="F897" s="29"/>
      <c r="G897" s="88"/>
      <c r="H897" s="29"/>
      <c r="I897" s="29"/>
      <c r="J897" s="29"/>
    </row>
    <row r="898">
      <c r="A898" s="29"/>
      <c r="B898" s="29"/>
      <c r="C898" s="29"/>
      <c r="D898" s="29"/>
      <c r="E898" s="29"/>
      <c r="F898" s="29"/>
      <c r="G898" s="88"/>
      <c r="H898" s="29"/>
      <c r="I898" s="29"/>
      <c r="J898" s="29"/>
    </row>
    <row r="899">
      <c r="A899" s="29"/>
      <c r="B899" s="29"/>
      <c r="C899" s="29"/>
      <c r="D899" s="29"/>
      <c r="E899" s="29"/>
      <c r="F899" s="29"/>
      <c r="G899" s="88"/>
      <c r="H899" s="29"/>
      <c r="I899" s="29"/>
      <c r="J899" s="29"/>
    </row>
    <row r="900">
      <c r="A900" s="29"/>
      <c r="B900" s="29"/>
      <c r="C900" s="29"/>
      <c r="D900" s="29"/>
      <c r="E900" s="29"/>
      <c r="F900" s="29"/>
      <c r="G900" s="88"/>
      <c r="H900" s="29"/>
      <c r="I900" s="29"/>
      <c r="J900" s="29"/>
    </row>
    <row r="901">
      <c r="A901" s="29"/>
      <c r="B901" s="29"/>
      <c r="C901" s="29"/>
      <c r="D901" s="29"/>
      <c r="E901" s="29"/>
      <c r="F901" s="29"/>
      <c r="G901" s="88"/>
      <c r="H901" s="29"/>
      <c r="I901" s="29"/>
      <c r="J901" s="29"/>
    </row>
    <row r="902">
      <c r="A902" s="29"/>
      <c r="B902" s="29"/>
      <c r="C902" s="29"/>
      <c r="D902" s="29"/>
      <c r="E902" s="29"/>
      <c r="F902" s="29"/>
      <c r="G902" s="88"/>
      <c r="H902" s="29"/>
      <c r="I902" s="29"/>
      <c r="J902" s="29"/>
    </row>
    <row r="903">
      <c r="A903" s="29"/>
      <c r="B903" s="29"/>
      <c r="C903" s="29"/>
      <c r="D903" s="29"/>
      <c r="E903" s="29"/>
      <c r="F903" s="29"/>
      <c r="G903" s="88"/>
      <c r="H903" s="29"/>
      <c r="I903" s="29"/>
      <c r="J903" s="29"/>
    </row>
    <row r="904">
      <c r="A904" s="29"/>
      <c r="B904" s="29"/>
      <c r="C904" s="29"/>
      <c r="D904" s="29"/>
      <c r="E904" s="29"/>
      <c r="F904" s="29"/>
      <c r="G904" s="88"/>
      <c r="H904" s="29"/>
      <c r="I904" s="29"/>
      <c r="J904" s="29"/>
    </row>
    <row r="905">
      <c r="A905" s="29"/>
      <c r="B905" s="29"/>
      <c r="C905" s="29"/>
      <c r="D905" s="29"/>
      <c r="E905" s="29"/>
      <c r="F905" s="29"/>
      <c r="G905" s="88"/>
      <c r="H905" s="29"/>
      <c r="I905" s="29"/>
      <c r="J905" s="29"/>
    </row>
    <row r="906">
      <c r="A906" s="29"/>
      <c r="B906" s="29"/>
      <c r="C906" s="29"/>
      <c r="D906" s="29"/>
      <c r="E906" s="29"/>
      <c r="F906" s="29"/>
      <c r="G906" s="88"/>
      <c r="H906" s="29"/>
      <c r="I906" s="29"/>
      <c r="J906" s="29"/>
    </row>
    <row r="907">
      <c r="A907" s="29"/>
      <c r="B907" s="29"/>
      <c r="C907" s="29"/>
      <c r="D907" s="29"/>
      <c r="E907" s="29"/>
      <c r="F907" s="29"/>
      <c r="G907" s="88"/>
      <c r="H907" s="29"/>
      <c r="I907" s="29"/>
      <c r="J907" s="29"/>
    </row>
    <row r="908">
      <c r="A908" s="29"/>
      <c r="B908" s="29"/>
      <c r="C908" s="29"/>
      <c r="D908" s="29"/>
      <c r="E908" s="29"/>
      <c r="F908" s="29"/>
      <c r="G908" s="88"/>
      <c r="H908" s="29"/>
      <c r="I908" s="29"/>
      <c r="J908" s="29"/>
    </row>
    <row r="909">
      <c r="A909" s="29"/>
      <c r="B909" s="29"/>
      <c r="C909" s="29"/>
      <c r="D909" s="29"/>
      <c r="E909" s="29"/>
      <c r="F909" s="29"/>
      <c r="G909" s="88"/>
      <c r="H909" s="29"/>
      <c r="I909" s="29"/>
      <c r="J909" s="29"/>
    </row>
    <row r="910">
      <c r="A910" s="29"/>
      <c r="B910" s="29"/>
      <c r="C910" s="29"/>
      <c r="D910" s="29"/>
      <c r="E910" s="29"/>
      <c r="F910" s="29"/>
      <c r="G910" s="88"/>
      <c r="H910" s="29"/>
      <c r="I910" s="29"/>
      <c r="J910" s="29"/>
    </row>
    <row r="911">
      <c r="A911" s="29"/>
      <c r="B911" s="29"/>
      <c r="C911" s="29"/>
      <c r="D911" s="29"/>
      <c r="E911" s="29"/>
      <c r="F911" s="29"/>
      <c r="G911" s="88"/>
      <c r="H911" s="29"/>
      <c r="I911" s="29"/>
      <c r="J911" s="29"/>
    </row>
    <row r="912">
      <c r="A912" s="29"/>
      <c r="B912" s="29"/>
      <c r="C912" s="29"/>
      <c r="D912" s="29"/>
      <c r="E912" s="29"/>
      <c r="F912" s="29"/>
      <c r="G912" s="88"/>
      <c r="H912" s="29"/>
      <c r="I912" s="29"/>
      <c r="J912" s="29"/>
    </row>
    <row r="913">
      <c r="A913" s="29"/>
      <c r="B913" s="29"/>
      <c r="C913" s="29"/>
      <c r="D913" s="29"/>
      <c r="E913" s="29"/>
      <c r="F913" s="29"/>
      <c r="G913" s="88"/>
      <c r="H913" s="29"/>
      <c r="I913" s="29"/>
      <c r="J913" s="29"/>
    </row>
    <row r="914">
      <c r="A914" s="29"/>
      <c r="B914" s="29"/>
      <c r="C914" s="29"/>
      <c r="D914" s="29"/>
      <c r="E914" s="29"/>
      <c r="F914" s="29"/>
      <c r="G914" s="88"/>
      <c r="H914" s="29"/>
      <c r="I914" s="29"/>
      <c r="J914" s="29"/>
    </row>
    <row r="915">
      <c r="A915" s="29"/>
      <c r="B915" s="29"/>
      <c r="C915" s="29"/>
      <c r="D915" s="29"/>
      <c r="E915" s="29"/>
      <c r="F915" s="29"/>
      <c r="G915" s="88"/>
      <c r="H915" s="29"/>
      <c r="I915" s="29"/>
      <c r="J915" s="29"/>
    </row>
    <row r="916">
      <c r="A916" s="29"/>
      <c r="B916" s="29"/>
      <c r="C916" s="29"/>
      <c r="D916" s="29"/>
      <c r="E916" s="29"/>
      <c r="F916" s="29"/>
      <c r="G916" s="88"/>
      <c r="H916" s="29"/>
      <c r="I916" s="29"/>
      <c r="J916" s="29"/>
    </row>
    <row r="917">
      <c r="A917" s="29"/>
      <c r="B917" s="29"/>
      <c r="C917" s="29"/>
      <c r="D917" s="29"/>
      <c r="E917" s="29"/>
      <c r="F917" s="29"/>
      <c r="G917" s="88"/>
      <c r="H917" s="29"/>
      <c r="I917" s="29"/>
      <c r="J917" s="29"/>
    </row>
    <row r="918">
      <c r="A918" s="29"/>
      <c r="B918" s="29"/>
      <c r="C918" s="29"/>
      <c r="D918" s="29"/>
      <c r="E918" s="29"/>
      <c r="F918" s="29"/>
      <c r="G918" s="88"/>
      <c r="H918" s="29"/>
      <c r="I918" s="29"/>
      <c r="J918" s="29"/>
    </row>
    <row r="919">
      <c r="A919" s="29"/>
      <c r="B919" s="29"/>
      <c r="C919" s="29"/>
      <c r="D919" s="29"/>
      <c r="E919" s="29"/>
      <c r="F919" s="29"/>
      <c r="G919" s="88"/>
      <c r="H919" s="29"/>
      <c r="I919" s="29"/>
      <c r="J919" s="29"/>
    </row>
    <row r="920">
      <c r="A920" s="29"/>
      <c r="B920" s="29"/>
      <c r="C920" s="29"/>
      <c r="D920" s="29"/>
      <c r="E920" s="29"/>
      <c r="F920" s="29"/>
      <c r="G920" s="88"/>
      <c r="H920" s="29"/>
      <c r="I920" s="29"/>
      <c r="J920" s="29"/>
    </row>
    <row r="921">
      <c r="A921" s="29"/>
      <c r="B921" s="29"/>
      <c r="C921" s="29"/>
      <c r="D921" s="29"/>
      <c r="E921" s="29"/>
      <c r="F921" s="29"/>
      <c r="G921" s="88"/>
      <c r="H921" s="29"/>
      <c r="I921" s="29"/>
      <c r="J921" s="29"/>
    </row>
    <row r="922">
      <c r="A922" s="29"/>
      <c r="B922" s="29"/>
      <c r="C922" s="29"/>
      <c r="D922" s="29"/>
      <c r="E922" s="29"/>
      <c r="F922" s="29"/>
      <c r="G922" s="88"/>
      <c r="H922" s="29"/>
      <c r="I922" s="29"/>
      <c r="J922" s="29"/>
    </row>
    <row r="923">
      <c r="A923" s="29"/>
      <c r="B923" s="29"/>
      <c r="C923" s="29"/>
      <c r="D923" s="29"/>
      <c r="E923" s="29"/>
      <c r="F923" s="29"/>
      <c r="G923" s="88"/>
      <c r="H923" s="29"/>
      <c r="I923" s="29"/>
      <c r="J923" s="29"/>
    </row>
    <row r="924">
      <c r="A924" s="29"/>
      <c r="B924" s="29"/>
      <c r="C924" s="29"/>
      <c r="D924" s="29"/>
      <c r="E924" s="29"/>
      <c r="F924" s="29"/>
      <c r="G924" s="88"/>
      <c r="H924" s="29"/>
      <c r="I924" s="29"/>
      <c r="J924" s="29"/>
    </row>
    <row r="925">
      <c r="A925" s="29"/>
      <c r="B925" s="29"/>
      <c r="C925" s="29"/>
      <c r="D925" s="29"/>
      <c r="E925" s="29"/>
      <c r="F925" s="29"/>
      <c r="G925" s="88"/>
      <c r="H925" s="29"/>
      <c r="I925" s="29"/>
      <c r="J925" s="29"/>
    </row>
    <row r="926">
      <c r="A926" s="29"/>
      <c r="B926" s="29"/>
      <c r="C926" s="29"/>
      <c r="D926" s="29"/>
      <c r="E926" s="29"/>
      <c r="F926" s="29"/>
      <c r="G926" s="88"/>
      <c r="H926" s="29"/>
      <c r="I926" s="29"/>
      <c r="J926" s="29"/>
    </row>
    <row r="927">
      <c r="A927" s="29"/>
      <c r="B927" s="29"/>
      <c r="C927" s="29"/>
      <c r="D927" s="29"/>
      <c r="E927" s="29"/>
      <c r="F927" s="29"/>
      <c r="G927" s="88"/>
      <c r="H927" s="29"/>
      <c r="I927" s="29"/>
      <c r="J927" s="29"/>
    </row>
    <row r="928">
      <c r="A928" s="29"/>
      <c r="B928" s="29"/>
      <c r="C928" s="29"/>
      <c r="D928" s="29"/>
      <c r="E928" s="29"/>
      <c r="F928" s="29"/>
      <c r="G928" s="88"/>
      <c r="H928" s="29"/>
      <c r="I928" s="29"/>
      <c r="J928" s="29"/>
    </row>
    <row r="929">
      <c r="A929" s="29"/>
      <c r="B929" s="29"/>
      <c r="C929" s="29"/>
      <c r="D929" s="29"/>
      <c r="E929" s="29"/>
      <c r="F929" s="29"/>
      <c r="G929" s="88"/>
      <c r="H929" s="29"/>
      <c r="I929" s="29"/>
      <c r="J929" s="29"/>
    </row>
    <row r="930">
      <c r="A930" s="29"/>
      <c r="B930" s="29"/>
      <c r="C930" s="29"/>
      <c r="D930" s="29"/>
      <c r="E930" s="29"/>
      <c r="F930" s="29"/>
      <c r="G930" s="88"/>
      <c r="H930" s="29"/>
      <c r="I930" s="29"/>
      <c r="J930" s="29"/>
    </row>
    <row r="931">
      <c r="A931" s="29"/>
      <c r="B931" s="29"/>
      <c r="C931" s="29"/>
      <c r="D931" s="29"/>
      <c r="E931" s="29"/>
      <c r="F931" s="29"/>
      <c r="G931" s="88"/>
      <c r="H931" s="29"/>
      <c r="I931" s="29"/>
      <c r="J931" s="29"/>
    </row>
    <row r="932">
      <c r="A932" s="29"/>
      <c r="B932" s="29"/>
      <c r="C932" s="29"/>
      <c r="D932" s="29"/>
      <c r="E932" s="29"/>
      <c r="F932" s="29"/>
      <c r="G932" s="88"/>
      <c r="H932" s="29"/>
      <c r="I932" s="29"/>
      <c r="J932" s="29"/>
    </row>
    <row r="933">
      <c r="A933" s="29"/>
      <c r="B933" s="29"/>
      <c r="C933" s="29"/>
      <c r="D933" s="29"/>
      <c r="E933" s="29"/>
      <c r="F933" s="29"/>
      <c r="G933" s="88"/>
      <c r="H933" s="29"/>
      <c r="I933" s="29"/>
      <c r="J933" s="29"/>
    </row>
    <row r="934">
      <c r="A934" s="29"/>
      <c r="B934" s="29"/>
      <c r="C934" s="29"/>
      <c r="D934" s="29"/>
      <c r="E934" s="29"/>
      <c r="F934" s="29"/>
      <c r="G934" s="88"/>
      <c r="H934" s="29"/>
      <c r="I934" s="29"/>
      <c r="J934" s="29"/>
    </row>
    <row r="935">
      <c r="A935" s="29"/>
      <c r="B935" s="29"/>
      <c r="C935" s="29"/>
      <c r="D935" s="29"/>
      <c r="E935" s="29"/>
      <c r="F935" s="29"/>
      <c r="G935" s="88"/>
      <c r="H935" s="29"/>
      <c r="I935" s="29"/>
      <c r="J935" s="29"/>
    </row>
    <row r="936">
      <c r="A936" s="29"/>
      <c r="B936" s="29"/>
      <c r="C936" s="29"/>
      <c r="D936" s="29"/>
      <c r="E936" s="29"/>
      <c r="F936" s="29"/>
      <c r="G936" s="88"/>
      <c r="H936" s="29"/>
      <c r="I936" s="29"/>
      <c r="J936" s="29"/>
    </row>
    <row r="937">
      <c r="A937" s="29"/>
      <c r="B937" s="29"/>
      <c r="C937" s="29"/>
      <c r="D937" s="29"/>
      <c r="E937" s="29"/>
      <c r="F937" s="29"/>
      <c r="G937" s="88"/>
      <c r="H937" s="29"/>
      <c r="I937" s="29"/>
      <c r="J937" s="29"/>
    </row>
    <row r="938">
      <c r="A938" s="29"/>
      <c r="B938" s="29"/>
      <c r="C938" s="29"/>
      <c r="D938" s="29"/>
      <c r="E938" s="29"/>
      <c r="F938" s="29"/>
      <c r="G938" s="88"/>
      <c r="H938" s="29"/>
      <c r="I938" s="29"/>
      <c r="J938" s="29"/>
    </row>
    <row r="939">
      <c r="A939" s="29"/>
      <c r="B939" s="29"/>
      <c r="C939" s="29"/>
      <c r="D939" s="29"/>
      <c r="E939" s="29"/>
      <c r="F939" s="29"/>
      <c r="G939" s="88"/>
      <c r="H939" s="29"/>
      <c r="I939" s="29"/>
      <c r="J939" s="29"/>
    </row>
    <row r="940">
      <c r="A940" s="29"/>
      <c r="B940" s="29"/>
      <c r="C940" s="29"/>
      <c r="D940" s="29"/>
      <c r="E940" s="29"/>
      <c r="F940" s="29"/>
      <c r="G940" s="88"/>
      <c r="H940" s="29"/>
      <c r="I940" s="29"/>
      <c r="J940" s="29"/>
    </row>
    <row r="941">
      <c r="A941" s="29"/>
      <c r="B941" s="29"/>
      <c r="C941" s="29"/>
      <c r="D941" s="29"/>
      <c r="E941" s="29"/>
      <c r="F941" s="29"/>
      <c r="G941" s="88"/>
      <c r="H941" s="29"/>
      <c r="I941" s="29"/>
      <c r="J941" s="29"/>
    </row>
    <row r="942">
      <c r="A942" s="29"/>
      <c r="B942" s="29"/>
      <c r="C942" s="29"/>
      <c r="D942" s="29"/>
      <c r="E942" s="29"/>
      <c r="F942" s="29"/>
      <c r="G942" s="88"/>
      <c r="H942" s="29"/>
      <c r="I942" s="29"/>
      <c r="J942" s="29"/>
    </row>
    <row r="943">
      <c r="A943" s="29"/>
      <c r="B943" s="29"/>
      <c r="C943" s="29"/>
      <c r="D943" s="29"/>
      <c r="E943" s="29"/>
      <c r="F943" s="29"/>
      <c r="G943" s="88"/>
      <c r="H943" s="29"/>
      <c r="I943" s="29"/>
      <c r="J943" s="29"/>
    </row>
    <row r="944">
      <c r="A944" s="29"/>
      <c r="B944" s="29"/>
      <c r="C944" s="29"/>
      <c r="D944" s="29"/>
      <c r="E944" s="29"/>
      <c r="F944" s="29"/>
      <c r="G944" s="88"/>
      <c r="H944" s="29"/>
      <c r="I944" s="29"/>
      <c r="J944" s="29"/>
    </row>
    <row r="945">
      <c r="A945" s="29"/>
      <c r="B945" s="29"/>
      <c r="C945" s="29"/>
      <c r="D945" s="29"/>
      <c r="E945" s="29"/>
      <c r="F945" s="29"/>
      <c r="G945" s="88"/>
      <c r="H945" s="29"/>
      <c r="I945" s="29"/>
      <c r="J945" s="29"/>
    </row>
    <row r="946">
      <c r="A946" s="29"/>
      <c r="B946" s="29"/>
      <c r="C946" s="29"/>
      <c r="D946" s="29"/>
      <c r="E946" s="29"/>
      <c r="F946" s="29"/>
      <c r="G946" s="88"/>
      <c r="H946" s="29"/>
      <c r="I946" s="29"/>
      <c r="J946" s="29"/>
    </row>
    <row r="947">
      <c r="A947" s="29"/>
      <c r="B947" s="29"/>
      <c r="C947" s="29"/>
      <c r="D947" s="29"/>
      <c r="E947" s="29"/>
      <c r="F947" s="29"/>
      <c r="G947" s="88"/>
      <c r="H947" s="29"/>
      <c r="I947" s="29"/>
      <c r="J947" s="29"/>
    </row>
    <row r="948">
      <c r="A948" s="29"/>
      <c r="B948" s="29"/>
      <c r="C948" s="29"/>
      <c r="D948" s="29"/>
      <c r="E948" s="29"/>
      <c r="F948" s="29"/>
      <c r="G948" s="88"/>
      <c r="H948" s="29"/>
      <c r="I948" s="29"/>
      <c r="J948" s="29"/>
    </row>
    <row r="949">
      <c r="A949" s="29"/>
      <c r="B949" s="29"/>
      <c r="C949" s="29"/>
      <c r="D949" s="29"/>
      <c r="E949" s="29"/>
      <c r="F949" s="29"/>
      <c r="G949" s="88"/>
      <c r="H949" s="29"/>
      <c r="I949" s="29"/>
      <c r="J949" s="29"/>
    </row>
    <row r="950">
      <c r="A950" s="29"/>
      <c r="B950" s="29"/>
      <c r="C950" s="29"/>
      <c r="D950" s="29"/>
      <c r="E950" s="29"/>
      <c r="F950" s="29"/>
      <c r="G950" s="88"/>
      <c r="H950" s="29"/>
      <c r="I950" s="29"/>
      <c r="J950" s="29"/>
    </row>
    <row r="951">
      <c r="A951" s="29"/>
      <c r="B951" s="29"/>
      <c r="C951" s="29"/>
      <c r="D951" s="29"/>
      <c r="E951" s="29"/>
      <c r="F951" s="29"/>
      <c r="G951" s="88"/>
      <c r="H951" s="29"/>
      <c r="I951" s="29"/>
      <c r="J951" s="29"/>
    </row>
    <row r="952">
      <c r="A952" s="29"/>
      <c r="B952" s="29"/>
      <c r="C952" s="29"/>
      <c r="D952" s="29"/>
      <c r="E952" s="29"/>
      <c r="F952" s="29"/>
      <c r="G952" s="88"/>
      <c r="H952" s="29"/>
      <c r="I952" s="29"/>
      <c r="J952" s="29"/>
    </row>
    <row r="953">
      <c r="A953" s="29"/>
      <c r="B953" s="29"/>
      <c r="C953" s="29"/>
      <c r="D953" s="29"/>
      <c r="E953" s="29"/>
      <c r="F953" s="29"/>
      <c r="G953" s="88"/>
      <c r="H953" s="29"/>
      <c r="I953" s="29"/>
      <c r="J953" s="29"/>
    </row>
    <row r="954">
      <c r="A954" s="29"/>
      <c r="B954" s="29"/>
      <c r="C954" s="29"/>
      <c r="D954" s="29"/>
      <c r="E954" s="29"/>
      <c r="F954" s="29"/>
      <c r="G954" s="88"/>
      <c r="H954" s="29"/>
      <c r="I954" s="29"/>
      <c r="J954" s="29"/>
    </row>
    <row r="955">
      <c r="A955" s="29"/>
      <c r="B955" s="29"/>
      <c r="C955" s="29"/>
      <c r="D955" s="29"/>
      <c r="E955" s="29"/>
      <c r="F955" s="29"/>
      <c r="G955" s="88"/>
      <c r="H955" s="29"/>
      <c r="I955" s="29"/>
      <c r="J955" s="29"/>
    </row>
    <row r="956">
      <c r="A956" s="29"/>
      <c r="B956" s="29"/>
      <c r="C956" s="29"/>
      <c r="D956" s="29"/>
      <c r="E956" s="29"/>
      <c r="F956" s="29"/>
      <c r="G956" s="88"/>
      <c r="H956" s="29"/>
      <c r="I956" s="29"/>
      <c r="J956" s="29"/>
    </row>
    <row r="957">
      <c r="A957" s="29"/>
      <c r="B957" s="29"/>
      <c r="C957" s="29"/>
      <c r="D957" s="29"/>
      <c r="E957" s="29"/>
      <c r="F957" s="29"/>
      <c r="G957" s="88"/>
      <c r="H957" s="29"/>
      <c r="I957" s="29"/>
      <c r="J957" s="29"/>
    </row>
    <row r="958">
      <c r="A958" s="29"/>
      <c r="B958" s="29"/>
      <c r="C958" s="29"/>
      <c r="D958" s="29"/>
      <c r="E958" s="29"/>
      <c r="F958" s="29"/>
      <c r="G958" s="88"/>
      <c r="H958" s="29"/>
      <c r="I958" s="29"/>
      <c r="J958" s="29"/>
    </row>
    <row r="959">
      <c r="A959" s="29"/>
      <c r="B959" s="29"/>
      <c r="C959" s="29"/>
      <c r="D959" s="29"/>
      <c r="E959" s="29"/>
      <c r="F959" s="29"/>
      <c r="G959" s="88"/>
      <c r="H959" s="29"/>
      <c r="I959" s="29"/>
      <c r="J959" s="29"/>
    </row>
    <row r="960">
      <c r="A960" s="29"/>
      <c r="B960" s="29"/>
      <c r="C960" s="29"/>
      <c r="D960" s="29"/>
      <c r="E960" s="29"/>
      <c r="F960" s="29"/>
      <c r="G960" s="88"/>
      <c r="H960" s="29"/>
      <c r="I960" s="29"/>
      <c r="J960" s="29"/>
    </row>
    <row r="961">
      <c r="A961" s="29"/>
      <c r="B961" s="29"/>
      <c r="C961" s="29"/>
      <c r="D961" s="29"/>
      <c r="E961" s="29"/>
      <c r="F961" s="29"/>
      <c r="G961" s="88"/>
      <c r="H961" s="29"/>
      <c r="I961" s="29"/>
      <c r="J961" s="29"/>
    </row>
    <row r="962">
      <c r="A962" s="29"/>
      <c r="B962" s="29"/>
      <c r="C962" s="29"/>
      <c r="D962" s="29"/>
      <c r="E962" s="29"/>
      <c r="F962" s="29"/>
      <c r="G962" s="88"/>
      <c r="H962" s="29"/>
      <c r="I962" s="29"/>
      <c r="J962" s="29"/>
    </row>
    <row r="963">
      <c r="A963" s="29"/>
      <c r="B963" s="29"/>
      <c r="C963" s="29"/>
      <c r="D963" s="29"/>
      <c r="E963" s="29"/>
      <c r="F963" s="29"/>
      <c r="G963" s="88"/>
      <c r="H963" s="29"/>
      <c r="I963" s="29"/>
      <c r="J963" s="29"/>
    </row>
    <row r="964">
      <c r="A964" s="29"/>
      <c r="B964" s="29"/>
      <c r="C964" s="29"/>
      <c r="D964" s="29"/>
      <c r="E964" s="29"/>
      <c r="F964" s="29"/>
      <c r="G964" s="88"/>
      <c r="H964" s="29"/>
      <c r="I964" s="29"/>
      <c r="J964" s="29"/>
    </row>
    <row r="965">
      <c r="A965" s="29"/>
      <c r="B965" s="29"/>
      <c r="C965" s="29"/>
      <c r="D965" s="29"/>
      <c r="E965" s="29"/>
      <c r="F965" s="29"/>
      <c r="G965" s="88"/>
      <c r="H965" s="29"/>
      <c r="I965" s="29"/>
      <c r="J965" s="29"/>
    </row>
    <row r="966">
      <c r="A966" s="29"/>
      <c r="B966" s="29"/>
      <c r="C966" s="29"/>
      <c r="D966" s="29"/>
      <c r="E966" s="29"/>
      <c r="F966" s="29"/>
      <c r="G966" s="88"/>
      <c r="H966" s="29"/>
      <c r="I966" s="29"/>
      <c r="J966" s="29"/>
    </row>
    <row r="967">
      <c r="A967" s="29"/>
      <c r="B967" s="29"/>
      <c r="C967" s="29"/>
      <c r="D967" s="29"/>
      <c r="E967" s="29"/>
      <c r="F967" s="29"/>
      <c r="G967" s="88"/>
      <c r="H967" s="29"/>
      <c r="I967" s="29"/>
      <c r="J967" s="29"/>
    </row>
    <row r="968">
      <c r="A968" s="29"/>
      <c r="B968" s="29"/>
      <c r="C968" s="29"/>
      <c r="D968" s="29"/>
      <c r="E968" s="29"/>
      <c r="F968" s="29"/>
      <c r="G968" s="88"/>
      <c r="H968" s="29"/>
      <c r="I968" s="29"/>
      <c r="J968" s="29"/>
    </row>
    <row r="969">
      <c r="A969" s="29"/>
      <c r="B969" s="29"/>
      <c r="C969" s="29"/>
      <c r="D969" s="29"/>
      <c r="E969" s="29"/>
      <c r="F969" s="29"/>
      <c r="G969" s="88"/>
      <c r="H969" s="29"/>
      <c r="I969" s="29"/>
      <c r="J969" s="29"/>
    </row>
    <row r="970">
      <c r="A970" s="29"/>
      <c r="B970" s="29"/>
      <c r="C970" s="29"/>
      <c r="D970" s="29"/>
      <c r="E970" s="29"/>
      <c r="F970" s="29"/>
      <c r="G970" s="88"/>
      <c r="H970" s="29"/>
      <c r="I970" s="29"/>
      <c r="J970" s="29"/>
    </row>
    <row r="971">
      <c r="A971" s="29"/>
      <c r="B971" s="29"/>
      <c r="C971" s="29"/>
      <c r="D971" s="29"/>
      <c r="E971" s="29"/>
      <c r="F971" s="29"/>
      <c r="G971" s="88"/>
      <c r="H971" s="29"/>
      <c r="I971" s="29"/>
      <c r="J971" s="29"/>
    </row>
    <row r="972">
      <c r="A972" s="29"/>
      <c r="B972" s="29"/>
      <c r="C972" s="29"/>
      <c r="D972" s="29"/>
      <c r="E972" s="29"/>
      <c r="F972" s="29"/>
      <c r="G972" s="88"/>
      <c r="H972" s="29"/>
      <c r="I972" s="29"/>
      <c r="J972" s="29"/>
    </row>
    <row r="973">
      <c r="A973" s="29"/>
      <c r="B973" s="29"/>
      <c r="C973" s="29"/>
      <c r="D973" s="29"/>
      <c r="E973" s="29"/>
      <c r="F973" s="29"/>
      <c r="G973" s="88"/>
      <c r="H973" s="29"/>
      <c r="I973" s="29"/>
      <c r="J973" s="29"/>
    </row>
    <row r="974">
      <c r="A974" s="29"/>
      <c r="B974" s="29"/>
      <c r="C974" s="29"/>
      <c r="D974" s="29"/>
      <c r="E974" s="29"/>
      <c r="F974" s="29"/>
      <c r="G974" s="88"/>
      <c r="H974" s="29"/>
      <c r="I974" s="29"/>
      <c r="J974" s="29"/>
    </row>
    <row r="975">
      <c r="A975" s="29"/>
      <c r="B975" s="29"/>
      <c r="C975" s="29"/>
      <c r="D975" s="29"/>
      <c r="E975" s="29"/>
      <c r="F975" s="29"/>
      <c r="G975" s="88"/>
      <c r="H975" s="29"/>
      <c r="I975" s="29"/>
      <c r="J975" s="29"/>
    </row>
    <row r="976">
      <c r="A976" s="29"/>
      <c r="B976" s="29"/>
      <c r="C976" s="29"/>
      <c r="D976" s="29"/>
      <c r="E976" s="29"/>
      <c r="F976" s="29"/>
      <c r="G976" s="88"/>
      <c r="H976" s="29"/>
      <c r="I976" s="29"/>
      <c r="J976" s="29"/>
    </row>
    <row r="977">
      <c r="A977" s="29"/>
      <c r="B977" s="29"/>
      <c r="C977" s="29"/>
      <c r="D977" s="29"/>
      <c r="E977" s="29"/>
      <c r="F977" s="29"/>
      <c r="G977" s="88"/>
      <c r="H977" s="29"/>
      <c r="I977" s="29"/>
      <c r="J977" s="29"/>
    </row>
    <row r="978">
      <c r="A978" s="29"/>
      <c r="B978" s="29"/>
      <c r="C978" s="29"/>
      <c r="D978" s="29"/>
      <c r="E978" s="29"/>
      <c r="F978" s="29"/>
      <c r="G978" s="88"/>
      <c r="H978" s="29"/>
      <c r="I978" s="29"/>
      <c r="J978" s="29"/>
    </row>
    <row r="979">
      <c r="A979" s="29"/>
      <c r="B979" s="29"/>
      <c r="C979" s="29"/>
      <c r="D979" s="29"/>
      <c r="E979" s="29"/>
      <c r="F979" s="29"/>
      <c r="G979" s="88"/>
      <c r="H979" s="29"/>
      <c r="I979" s="29"/>
      <c r="J979" s="29"/>
    </row>
    <row r="980">
      <c r="A980" s="29"/>
      <c r="B980" s="29"/>
      <c r="C980" s="29"/>
      <c r="D980" s="29"/>
      <c r="E980" s="29"/>
      <c r="F980" s="29"/>
      <c r="G980" s="88"/>
      <c r="H980" s="29"/>
      <c r="I980" s="29"/>
      <c r="J980" s="29"/>
    </row>
    <row r="981">
      <c r="A981" s="29"/>
      <c r="B981" s="29"/>
      <c r="C981" s="29"/>
      <c r="D981" s="29"/>
      <c r="E981" s="29"/>
      <c r="F981" s="29"/>
      <c r="G981" s="88"/>
      <c r="H981" s="29"/>
      <c r="I981" s="29"/>
      <c r="J981" s="29"/>
    </row>
    <row r="982">
      <c r="A982" s="29"/>
      <c r="B982" s="29"/>
      <c r="C982" s="29"/>
      <c r="D982" s="29"/>
      <c r="E982" s="29"/>
      <c r="F982" s="29"/>
      <c r="G982" s="88"/>
      <c r="H982" s="29"/>
      <c r="I982" s="29"/>
      <c r="J982" s="29"/>
    </row>
    <row r="983">
      <c r="A983" s="29"/>
      <c r="B983" s="29"/>
      <c r="C983" s="29"/>
      <c r="D983" s="29"/>
      <c r="E983" s="29"/>
      <c r="F983" s="29"/>
      <c r="G983" s="88"/>
      <c r="H983" s="29"/>
      <c r="I983" s="29"/>
      <c r="J983" s="29"/>
    </row>
    <row r="984">
      <c r="A984" s="29"/>
      <c r="B984" s="29"/>
      <c r="C984" s="29"/>
      <c r="D984" s="29"/>
      <c r="E984" s="29"/>
      <c r="F984" s="29"/>
      <c r="G984" s="88"/>
      <c r="H984" s="29"/>
      <c r="I984" s="29"/>
      <c r="J984" s="29"/>
    </row>
    <row r="985">
      <c r="A985" s="29"/>
      <c r="B985" s="29"/>
      <c r="C985" s="29"/>
      <c r="D985" s="29"/>
      <c r="E985" s="29"/>
      <c r="F985" s="29"/>
      <c r="G985" s="88"/>
      <c r="H985" s="29"/>
      <c r="I985" s="29"/>
      <c r="J985" s="29"/>
    </row>
    <row r="986">
      <c r="A986" s="29"/>
      <c r="B986" s="29"/>
      <c r="C986" s="29"/>
      <c r="D986" s="29"/>
      <c r="E986" s="29"/>
      <c r="F986" s="29"/>
      <c r="G986" s="88"/>
      <c r="H986" s="29"/>
      <c r="I986" s="29"/>
      <c r="J986" s="29"/>
    </row>
    <row r="987">
      <c r="A987" s="29"/>
      <c r="B987" s="29"/>
      <c r="C987" s="29"/>
      <c r="D987" s="29"/>
      <c r="E987" s="29"/>
      <c r="F987" s="29"/>
      <c r="G987" s="88"/>
      <c r="H987" s="29"/>
      <c r="I987" s="29"/>
      <c r="J987" s="29"/>
    </row>
    <row r="988">
      <c r="A988" s="29"/>
      <c r="B988" s="29"/>
      <c r="C988" s="29"/>
      <c r="D988" s="29"/>
      <c r="E988" s="29"/>
      <c r="F988" s="29"/>
      <c r="G988" s="88"/>
      <c r="H988" s="29"/>
      <c r="I988" s="29"/>
      <c r="J988" s="29"/>
    </row>
    <row r="989">
      <c r="A989" s="29"/>
      <c r="B989" s="29"/>
      <c r="C989" s="29"/>
      <c r="D989" s="29"/>
      <c r="E989" s="29"/>
      <c r="F989" s="29"/>
      <c r="G989" s="88"/>
      <c r="H989" s="29"/>
      <c r="I989" s="29"/>
      <c r="J989" s="29"/>
    </row>
    <row r="990">
      <c r="A990" s="29"/>
      <c r="B990" s="29"/>
      <c r="C990" s="29"/>
      <c r="D990" s="29"/>
      <c r="E990" s="29"/>
      <c r="F990" s="29"/>
      <c r="G990" s="88"/>
      <c r="H990" s="29"/>
      <c r="I990" s="29"/>
      <c r="J990" s="29"/>
    </row>
    <row r="991">
      <c r="A991" s="29"/>
      <c r="B991" s="29"/>
      <c r="C991" s="29"/>
      <c r="D991" s="29"/>
      <c r="E991" s="29"/>
      <c r="F991" s="29"/>
      <c r="G991" s="88"/>
      <c r="H991" s="29"/>
      <c r="I991" s="29"/>
      <c r="J991" s="29"/>
    </row>
    <row r="992">
      <c r="A992" s="29"/>
      <c r="B992" s="29"/>
      <c r="C992" s="29"/>
      <c r="D992" s="29"/>
      <c r="E992" s="29"/>
      <c r="F992" s="29"/>
      <c r="G992" s="88"/>
      <c r="H992" s="29"/>
      <c r="I992" s="29"/>
      <c r="J992" s="29"/>
    </row>
    <row r="993">
      <c r="A993" s="29"/>
      <c r="B993" s="29"/>
      <c r="C993" s="29"/>
      <c r="D993" s="29"/>
      <c r="E993" s="29"/>
      <c r="F993" s="29"/>
      <c r="G993" s="88"/>
      <c r="H993" s="29"/>
      <c r="I993" s="29"/>
      <c r="J993" s="29"/>
    </row>
    <row r="994">
      <c r="A994" s="29"/>
      <c r="B994" s="29"/>
      <c r="C994" s="29"/>
      <c r="D994" s="29"/>
      <c r="E994" s="29"/>
      <c r="F994" s="29"/>
      <c r="G994" s="88"/>
      <c r="H994" s="29"/>
      <c r="I994" s="29"/>
      <c r="J994" s="29"/>
    </row>
    <row r="995">
      <c r="A995" s="29"/>
      <c r="B995" s="29"/>
      <c r="C995" s="29"/>
      <c r="D995" s="29"/>
      <c r="E995" s="29"/>
      <c r="F995" s="29"/>
      <c r="G995" s="88"/>
      <c r="H995" s="29"/>
      <c r="I995" s="29"/>
      <c r="J995" s="29"/>
    </row>
    <row r="996">
      <c r="A996" s="29"/>
      <c r="B996" s="29"/>
      <c r="C996" s="29"/>
      <c r="D996" s="29"/>
      <c r="E996" s="29"/>
      <c r="F996" s="29"/>
      <c r="G996" s="88"/>
      <c r="H996" s="29"/>
      <c r="I996" s="29"/>
      <c r="J996" s="29"/>
    </row>
    <row r="997">
      <c r="A997" s="29"/>
      <c r="B997" s="29"/>
      <c r="C997" s="29"/>
      <c r="D997" s="29"/>
      <c r="E997" s="29"/>
      <c r="F997" s="29"/>
      <c r="G997" s="88"/>
      <c r="H997" s="29"/>
      <c r="I997" s="29"/>
      <c r="J997" s="29"/>
    </row>
    <row r="998">
      <c r="A998" s="29"/>
      <c r="B998" s="29"/>
      <c r="C998" s="29"/>
      <c r="D998" s="29"/>
      <c r="E998" s="29"/>
      <c r="F998" s="29"/>
      <c r="G998" s="88"/>
      <c r="H998" s="29"/>
      <c r="I998" s="29"/>
      <c r="J998" s="29"/>
    </row>
    <row r="999">
      <c r="A999" s="29"/>
      <c r="B999" s="29"/>
      <c r="C999" s="29"/>
      <c r="D999" s="29"/>
      <c r="E999" s="29"/>
      <c r="F999" s="29"/>
      <c r="G999" s="88"/>
      <c r="H999" s="29"/>
      <c r="I999" s="29"/>
      <c r="J999" s="29"/>
    </row>
    <row r="1000">
      <c r="A1000" s="29"/>
      <c r="B1000" s="29"/>
      <c r="C1000" s="29"/>
      <c r="D1000" s="29"/>
      <c r="E1000" s="29"/>
      <c r="F1000" s="29"/>
      <c r="G1000" s="88"/>
      <c r="H1000" s="29"/>
      <c r="I1000" s="29"/>
      <c r="J1000" s="29"/>
    </row>
    <row r="1001">
      <c r="G1001" s="88"/>
      <c r="J1001" s="29"/>
    </row>
    <row r="1002">
      <c r="G1002" s="88"/>
      <c r="J1002" s="29"/>
    </row>
    <row r="1003">
      <c r="G1003" s="88"/>
      <c r="J1003" s="29"/>
    </row>
    <row r="1004">
      <c r="G1004" s="88"/>
      <c r="J1004" s="29"/>
    </row>
    <row r="1005">
      <c r="G1005" s="88"/>
      <c r="J1005" s="29"/>
    </row>
    <row r="1006">
      <c r="G1006" s="88"/>
      <c r="J1006" s="29"/>
    </row>
    <row r="1007">
      <c r="G1007" s="88"/>
      <c r="J1007" s="29"/>
    </row>
    <row r="1008">
      <c r="G1008" s="88"/>
      <c r="J1008" s="29"/>
    </row>
  </sheetData>
  <autoFilter ref="$A$3:$J$1008">
    <sortState ref="A3:J1008">
      <sortCondition ref="B3:B1008"/>
      <sortCondition ref="A3:A1008"/>
      <sortCondition ref="E3:E1008"/>
      <sortCondition ref="C3:C1008"/>
    </sortState>
  </autoFilter>
  <customSheetViews>
    <customSheetView guid="{25646466-AC11-4944-AAE8-09CA08A0F1CC}" filter="1" showAutoFilter="1">
      <autoFilter ref="$A$3:$J$57"/>
    </customSheetView>
  </customSheetViews>
  <mergeCells count="1">
    <mergeCell ref="A1:C1"/>
  </mergeCells>
  <conditionalFormatting sqref="A4:J1008">
    <cfRule type="expression" dxfId="6" priority="1" stopIfTrue="1">
      <formula>AND($E$2&lt;&gt;"", $E4=$E$2)</formula>
    </cfRule>
  </conditionalFormatting>
  <conditionalFormatting sqref="A4:J1000">
    <cfRule type="expression" dxfId="7" priority="2" stopIfTrue="1">
      <formula>$E4="Reserved"</formula>
    </cfRule>
  </conditionalFormatting>
  <conditionalFormatting sqref="A4:J1000">
    <cfRule type="expression" dxfId="8" priority="3" stopIfTrue="1">
      <formula>$E4="Vacant"</formula>
    </cfRule>
  </conditionalFormatting>
  <conditionalFormatting sqref="A3:J1000">
    <cfRule type="expression" dxfId="9" priority="4" stopIfTrue="1">
      <formula>ISODD(ROW())</formula>
    </cfRule>
  </conditionalFormatting>
  <conditionalFormatting sqref="E4:E1006">
    <cfRule type="cellIs" dxfId="10" priority="5" stopIfTrue="1" operator="equal">
      <formula>"Reserved"</formula>
    </cfRule>
  </conditionalFormatting>
  <conditionalFormatting sqref="E3:E1008">
    <cfRule type="containsText" dxfId="11" priority="6" operator="containsText" text="VACANT">
      <formula>NOT(ISERROR(SEARCH(("VACANT"),(E3))))</formula>
    </cfRule>
  </conditionalFormatting>
  <dataValidations>
    <dataValidation type="list" allowBlank="1" showErrorMessage="1" sqref="E2">
      <formula1>Calc_Data!$N$2:$N1008</formula1>
    </dataValidation>
    <dataValidation type="list" allowBlank="1" sqref="J4:J1008">
      <formula1>"Male,Female"</formula1>
    </dataValidation>
    <dataValidation type="list" allowBlank="1" showErrorMessage="1" sqref="I1">
      <formula1>"All Available,Vacant,Reserved"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B20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38"/>
    <col customWidth="1" min="2" max="2" width="11.88"/>
    <col customWidth="1" min="3" max="3" width="9.0"/>
    <col customWidth="1" min="4" max="4" width="10.0"/>
    <col customWidth="1" min="5" max="5" width="9.5"/>
    <col customWidth="1" min="6" max="6" width="9.25"/>
    <col customWidth="1" min="7" max="7" width="14.5"/>
    <col customWidth="1" min="8" max="8" width="11.63"/>
    <col customWidth="1" min="9" max="9" width="20.0"/>
  </cols>
  <sheetData>
    <row r="1">
      <c r="A1" s="2" t="s">
        <v>1</v>
      </c>
    </row>
    <row r="2">
      <c r="A2" s="4"/>
      <c r="B2" s="6"/>
      <c r="C2" s="6"/>
      <c r="D2" s="6"/>
      <c r="E2" s="6"/>
      <c r="F2" s="14">
        <f>SUM(F4:F1002)</f>
        <v>21950</v>
      </c>
      <c r="G2" s="15"/>
      <c r="H2" s="15"/>
    </row>
    <row r="3">
      <c r="A3" s="18" t="s">
        <v>17</v>
      </c>
      <c r="B3" s="19" t="s">
        <v>19</v>
      </c>
      <c r="C3" s="20" t="s">
        <v>18</v>
      </c>
      <c r="D3" s="19" t="s">
        <v>23</v>
      </c>
      <c r="E3" s="19" t="s">
        <v>25</v>
      </c>
      <c r="F3" s="22" t="s">
        <v>26</v>
      </c>
      <c r="G3" s="20" t="s">
        <v>28</v>
      </c>
      <c r="H3" s="20" t="s">
        <v>29</v>
      </c>
    </row>
    <row r="4">
      <c r="A4" s="37" t="str">
        <f>IFERROR(__xludf.DUMMYFUNCTION("FILTER({'Monthly Billing Tab'!D4:D1002, 'Monthly Billing Tab'!E4:E1002, 'Monthly Billing Tab'!B4:B1002, 'Monthly Billing Tab'!J4:J1002, TODAY() - DATE(YEAR(TODAY()), MONTH('Monthly Billing Tab'!J4:J1002&amp;"" 1""), DAY('Monthly Billing Tab'!G4:G1002)), 'Mont"&amp;"hly Billing Tab'!L4:L1002}, 'Monthly Billing Tab'!D4:D1002&lt;&gt;""Vacant"", 'Monthly Billing Tab'!D4:D1002&lt;&gt;""Reserved"", 'Monthly Billing Tab'!D4:D1002&lt;&gt;"""", 'Monthly Billing Tab'!M4:M1002=""❌ OVERDUE / UNPAID"")"),"Jackson Mwanza")</f>
        <v>Jackson Mwanza</v>
      </c>
      <c r="B4" s="38" t="str">
        <f>IFERROR(__xludf.DUMMYFUNCTION("""COMPUTED_VALUE"""),"260976625656")</f>
        <v>260976625656</v>
      </c>
      <c r="C4" s="37" t="str">
        <f>IFERROR(__xludf.DUMMYFUNCTION("""COMPUTED_VALUE"""),"BBH-2-B")</f>
        <v>BBH-2-B</v>
      </c>
      <c r="D4" s="39" t="str">
        <f>IFERROR(__xludf.DUMMYFUNCTION("""COMPUTED_VALUE"""),"Jul")</f>
        <v>Jul</v>
      </c>
      <c r="E4" s="38">
        <f>IFERROR(__xludf.DUMMYFUNCTION("""COMPUTED_VALUE"""),61.0)</f>
        <v>61</v>
      </c>
      <c r="F4" s="40">
        <f>IFERROR(__xludf.DUMMYFUNCTION("""COMPUTED_VALUE"""),1200.0)</f>
        <v>1200</v>
      </c>
      <c r="G4" s="44" t="str">
        <f>IF(A4="", "", HYPERLINK("https://wa.me/" &amp; B4 &amp; "?text=" &amp; ENCODEURL("Hello " &amp; IF(IFERROR(VLOOKUP(C4, 'Master Roster'!A:J, 10, FALSE), "")="Male", "Mr. ", "Ms. ") &amp; A4 &amp; ", this is a reminder that your rent balance of K" &amp; F4 &amp; " is due. Please make a payment,"), "Message on WhatsApp"))</f>
        <v>Message on WhatsApp</v>
      </c>
      <c r="H4" s="45" t="str">
        <f t="shared" ref="H4:H100" si="1">IF(ISBLANK(A4), "", HYPERLINK("sms:"&amp;B4&amp;"?body=Hello "&amp;A4&amp;", this is a reminder that your rent balance of "&amp;F4&amp;" is overdue.", "Send SMS"))</f>
        <v>Send SMS</v>
      </c>
    </row>
    <row r="5">
      <c r="A5" s="46" t="str">
        <f>IFERROR(__xludf.DUMMYFUNCTION("""COMPUTED_VALUE"""),"Himalikiti Saviour")</f>
        <v>Himalikiti Saviour</v>
      </c>
      <c r="B5" s="47">
        <f>IFERROR(__xludf.DUMMYFUNCTION("""COMPUTED_VALUE"""),2.60975547126E11)</f>
        <v>260975547126</v>
      </c>
      <c r="C5" s="46" t="str">
        <f>IFERROR(__xludf.DUMMYFUNCTION("""COMPUTED_VALUE"""),"BBH-4-A")</f>
        <v>BBH-4-A</v>
      </c>
      <c r="D5" s="49" t="str">
        <f>IFERROR(__xludf.DUMMYFUNCTION("""COMPUTED_VALUE"""),"Jul")</f>
        <v>Jul</v>
      </c>
      <c r="E5" s="47">
        <f>IFERROR(__xludf.DUMMYFUNCTION("""COMPUTED_VALUE"""),47.0)</f>
        <v>47</v>
      </c>
      <c r="F5" s="52">
        <f>IFERROR(__xludf.DUMMYFUNCTION("""COMPUTED_VALUE"""),1900.0)</f>
        <v>1900</v>
      </c>
      <c r="G5" s="56" t="str">
        <f>IF(A5="", "", HYPERLINK("https://wa.me/" &amp; B5 &amp; "?text=" &amp; ENCODEURL("Hello " &amp; IF(IFERROR(VLOOKUP(C5, 'Master Roster'!A:J, 10, FALSE), "")="Male", "Mr. ", "Ms. ") &amp; A5 &amp; ", this is a reminder that your rent balance of K" &amp; F5 &amp; " is due. Please make a payment,"), "Message on WhatsApp"))</f>
        <v>Message on WhatsApp</v>
      </c>
      <c r="H5" s="57" t="str">
        <f t="shared" si="1"/>
        <v>Send SMS</v>
      </c>
    </row>
    <row r="6">
      <c r="A6" s="37" t="str">
        <f>IFERROR(__xludf.DUMMYFUNCTION("""COMPUTED_VALUE"""),"McDonald")</f>
        <v>McDonald</v>
      </c>
      <c r="B6" s="38">
        <f>IFERROR(__xludf.DUMMYFUNCTION("""COMPUTED_VALUE"""),2.60773456119E11)</f>
        <v>260773456119</v>
      </c>
      <c r="C6" s="37" t="str">
        <f>IFERROR(__xludf.DUMMYFUNCTION("""COMPUTED_VALUE"""),"BBH-6-A")</f>
        <v>BBH-6-A</v>
      </c>
      <c r="D6" s="39" t="str">
        <f>IFERROR(__xludf.DUMMYFUNCTION("""COMPUTED_VALUE"""),"May")</f>
        <v>May</v>
      </c>
      <c r="E6" s="38">
        <f>IFERROR(__xludf.DUMMYFUNCTION("""COMPUTED_VALUE"""),129.0)</f>
        <v>129</v>
      </c>
      <c r="F6" s="40">
        <f>IFERROR(__xludf.DUMMYFUNCTION("""COMPUTED_VALUE"""),2600.0)</f>
        <v>2600</v>
      </c>
      <c r="G6" s="44" t="str">
        <f>IF(A6="", "", HYPERLINK("https://wa.me/" &amp; B6 &amp; "?text=" &amp; ENCODEURL("Hello " &amp; IF(IFERROR(VLOOKUP(C6, 'Master Roster'!A:J, 10, FALSE), "")="Male", "Mr. ", "Ms. ") &amp; A6 &amp; ", this is a reminder that your rent balance of K" &amp; F6 &amp; " is due. Please make a payment,"), "Message on WhatsApp"))</f>
        <v>Message on WhatsApp</v>
      </c>
      <c r="H6" s="37" t="str">
        <f t="shared" si="1"/>
        <v>Send SMS</v>
      </c>
    </row>
    <row r="7">
      <c r="A7" s="46" t="str">
        <f>IFERROR(__xludf.DUMMYFUNCTION("""COMPUTED_VALUE"""),"Nanga Obrien")</f>
        <v>Nanga Obrien</v>
      </c>
      <c r="B7" s="47">
        <f>IFERROR(__xludf.DUMMYFUNCTION("""COMPUTED_VALUE"""),2.60770838758E11)</f>
        <v>260770838758</v>
      </c>
      <c r="C7" s="46" t="str">
        <f>IFERROR(__xludf.DUMMYFUNCTION("""COMPUTED_VALUE"""),"BBH-6-B")</f>
        <v>BBH-6-B</v>
      </c>
      <c r="D7" s="49" t="str">
        <f>IFERROR(__xludf.DUMMYFUNCTION("""COMPUTED_VALUE"""),"May")</f>
        <v>May</v>
      </c>
      <c r="E7" s="47">
        <f>IFERROR(__xludf.DUMMYFUNCTION("""COMPUTED_VALUE"""),104.0)</f>
        <v>104</v>
      </c>
      <c r="F7" s="52">
        <f>IFERROR(__xludf.DUMMYFUNCTION("""COMPUTED_VALUE"""),3600.0)</f>
        <v>3600</v>
      </c>
      <c r="G7" s="56" t="str">
        <f>IF(A7="", "", HYPERLINK("https://wa.me/" &amp; B7 &amp; "?text=" &amp; ENCODEURL("Hello " &amp; IF(IFERROR(VLOOKUP(C7, 'Master Roster'!A:J, 10, FALSE), "")="Male", "Mr. ", "Ms. ") &amp; A7 &amp; ", this is a reminder that your rent balance of K" &amp; F7 &amp; " is due. Please make a payment,"), "Message on WhatsApp"))</f>
        <v>Message on WhatsApp</v>
      </c>
      <c r="H7" s="46" t="str">
        <f t="shared" si="1"/>
        <v>Send SMS</v>
      </c>
    </row>
    <row r="8">
      <c r="A8" s="37" t="str">
        <f>IFERROR(__xludf.DUMMYFUNCTION("""COMPUTED_VALUE"""),"Wendy Mpakise")</f>
        <v>Wendy Mpakise</v>
      </c>
      <c r="B8" s="38">
        <f>IFERROR(__xludf.DUMMYFUNCTION("""COMPUTED_VALUE"""),2.60971977845E11)</f>
        <v>260971977845</v>
      </c>
      <c r="C8" s="37" t="str">
        <f>IFERROR(__xludf.DUMMYFUNCTION("""COMPUTED_VALUE"""),"BBH-9-B")</f>
        <v>BBH-9-B</v>
      </c>
      <c r="D8" s="39" t="str">
        <f>IFERROR(__xludf.DUMMYFUNCTION("""COMPUTED_VALUE"""),"Jul")</f>
        <v>Jul</v>
      </c>
      <c r="E8" s="38">
        <f>IFERROR(__xludf.DUMMYFUNCTION("""COMPUTED_VALUE"""),42.0)</f>
        <v>42</v>
      </c>
      <c r="F8" s="40">
        <f>IFERROR(__xludf.DUMMYFUNCTION("""COMPUTED_VALUE"""),1800.0)</f>
        <v>1800</v>
      </c>
      <c r="G8" s="44" t="str">
        <f>IF(A8="", "", HYPERLINK("https://wa.me/" &amp; B8 &amp; "?text=" &amp; ENCODEURL("Hello " &amp; IF(IFERROR(VLOOKUP(C8, 'Master Roster'!A:J, 10, FALSE), "")="Male", "Mr. ", "Ms. ") &amp; A8 &amp; ", this is a reminder that your rent balance of K" &amp; F8 &amp; " is due. Please make a payment,"), "Message on WhatsApp"))</f>
        <v>Message on WhatsApp</v>
      </c>
      <c r="H8" s="37" t="str">
        <f t="shared" si="1"/>
        <v>Send SMS</v>
      </c>
    </row>
    <row r="9">
      <c r="A9" s="46" t="str">
        <f>IFERROR(__xludf.DUMMYFUNCTION("""COMPUTED_VALUE"""),"Lukundo Siame")</f>
        <v>Lukundo Siame</v>
      </c>
      <c r="B9" s="47">
        <f>IFERROR(__xludf.DUMMYFUNCTION("""COMPUTED_VALUE"""),2.60760833629E11)</f>
        <v>260760833629</v>
      </c>
      <c r="C9" s="46" t="str">
        <f>IFERROR(__xludf.DUMMYFUNCTION("""COMPUTED_VALUE"""),"NWG-21-A")</f>
        <v>NWG-21-A</v>
      </c>
      <c r="D9" s="49" t="str">
        <f>IFERROR(__xludf.DUMMYFUNCTION("""COMPUTED_VALUE"""),"Jul")</f>
        <v>Jul</v>
      </c>
      <c r="E9" s="47">
        <f>IFERROR(__xludf.DUMMYFUNCTION("""COMPUTED_VALUE"""),51.0)</f>
        <v>51</v>
      </c>
      <c r="F9" s="52">
        <f>IFERROR(__xludf.DUMMYFUNCTION("""COMPUTED_VALUE"""),1250.0)</f>
        <v>1250</v>
      </c>
      <c r="G9" s="56" t="str">
        <f>IF(A9="", "", HYPERLINK("https://wa.me/" &amp; B9 &amp; "?text=" &amp; ENCODEURL("Hello " &amp; IF(IFERROR(VLOOKUP(C9, 'Master Roster'!A:J, 10, FALSE), "")="Male", "Mr. ", "Ms. ") &amp; A9 &amp; ", this is a reminder that your rent balance of K" &amp; F9 &amp; " is due. Please make a payment,"), "Message on WhatsApp"))</f>
        <v>Message on WhatsApp</v>
      </c>
      <c r="H9" s="47" t="str">
        <f t="shared" si="1"/>
        <v>Send SMS</v>
      </c>
      <c r="I9" s="76"/>
      <c r="J9" s="74"/>
    </row>
    <row r="10">
      <c r="A10" s="37" t="str">
        <f>IFERROR(__xludf.DUMMYFUNCTION("""COMPUTED_VALUE"""),"Gabirel Kabwe")</f>
        <v>Gabirel Kabwe</v>
      </c>
      <c r="B10" s="38">
        <f>IFERROR(__xludf.DUMMYFUNCTION("""COMPUTED_VALUE"""),2.60968723095E11)</f>
        <v>260968723095</v>
      </c>
      <c r="C10" s="37" t="str">
        <f>IFERROR(__xludf.DUMMYFUNCTION("""COMPUTED_VALUE"""),"NWG-21-B")</f>
        <v>NWG-21-B</v>
      </c>
      <c r="D10" s="39" t="str">
        <f>IFERROR(__xludf.DUMMYFUNCTION("""COMPUTED_VALUE"""),"Aug")</f>
        <v>Aug</v>
      </c>
      <c r="E10" s="38">
        <f>IFERROR(__xludf.DUMMYFUNCTION("""COMPUTED_VALUE"""),37.0)</f>
        <v>37</v>
      </c>
      <c r="F10" s="40">
        <f>IFERROR(__xludf.DUMMYFUNCTION("""COMPUTED_VALUE"""),1200.0)</f>
        <v>1200</v>
      </c>
      <c r="G10" s="44" t="str">
        <f>IF(A10="", "", HYPERLINK("https://wa.me/" &amp; B10 &amp; "?text=" &amp; ENCODEURL("Hello " &amp; IF(IFERROR(VLOOKUP(C10, 'Master Roster'!A:J, 10, FALSE), "")="Male", "Mr. ", "Ms. ") &amp; A10 &amp; ", this is a reminder that your rent balance of K" &amp; F10 &amp; " is due. Please make a payment,"), "Message on WhatsApp"))</f>
        <v>Message on WhatsApp</v>
      </c>
      <c r="H10" s="38" t="str">
        <f t="shared" si="1"/>
        <v>Send SMS</v>
      </c>
      <c r="I10" s="76"/>
      <c r="J10" s="74"/>
    </row>
    <row r="11">
      <c r="A11" s="46" t="str">
        <f>IFERROR(__xludf.DUMMYFUNCTION("""COMPUTED_VALUE"""),"Chama Kampamba")</f>
        <v>Chama Kampamba</v>
      </c>
      <c r="B11" s="47">
        <f>IFERROR(__xludf.DUMMYFUNCTION("""COMPUTED_VALUE"""),2.60770055753E11)</f>
        <v>260770055753</v>
      </c>
      <c r="C11" s="46" t="str">
        <f>IFERROR(__xludf.DUMMYFUNCTION("""COMPUTED_VALUE"""),"NWG-21-C")</f>
        <v>NWG-21-C</v>
      </c>
      <c r="D11" s="49" t="str">
        <f>IFERROR(__xludf.DUMMYFUNCTION("""COMPUTED_VALUE"""),"Jul")</f>
        <v>Jul</v>
      </c>
      <c r="E11" s="47">
        <f>IFERROR(__xludf.DUMMYFUNCTION("""COMPUTED_VALUE"""),63.0)</f>
        <v>63</v>
      </c>
      <c r="F11" s="80">
        <f>IFERROR(__xludf.DUMMYFUNCTION("""COMPUTED_VALUE"""),2400.0)</f>
        <v>2400</v>
      </c>
      <c r="G11" s="81" t="str">
        <f>IF(A11="", "", HYPERLINK("https://wa.me/" &amp; B11 &amp; "?text=" &amp; ENCODEURL("Hello " &amp; IF(IFERROR(VLOOKUP(C11, 'Master Roster'!A:J, 10, FALSE), "")="Male", "Mr. ", "Ms. ") &amp; A11 &amp; ", this is a reminder that your rent balance of K" &amp; F11 &amp; " is due. Please make a payment,"), "Message on WhatsApp"))</f>
        <v>Message on WhatsApp</v>
      </c>
      <c r="H11" s="46" t="str">
        <f t="shared" si="1"/>
        <v>Send SMS</v>
      </c>
    </row>
    <row r="12">
      <c r="A12" s="37" t="str">
        <f>IFERROR(__xludf.DUMMYFUNCTION("""COMPUTED_VALUE"""),"Chansa Chinyama")</f>
        <v>Chansa Chinyama</v>
      </c>
      <c r="B12" s="38">
        <f>IFERROR(__xludf.DUMMYFUNCTION("""COMPUTED_VALUE"""),2.60974051468E11)</f>
        <v>260974051468</v>
      </c>
      <c r="C12" s="37" t="str">
        <f>IFERROR(__xludf.DUMMYFUNCTION("""COMPUTED_VALUE"""),"NWG-24-C")</f>
        <v>NWG-24-C</v>
      </c>
      <c r="D12" s="39" t="str">
        <f>IFERROR(__xludf.DUMMYFUNCTION("""COMPUTED_VALUE"""),"Jul")</f>
        <v>Jul</v>
      </c>
      <c r="E12" s="38">
        <f>IFERROR(__xludf.DUMMYFUNCTION("""COMPUTED_VALUE"""),53.0)</f>
        <v>53</v>
      </c>
      <c r="F12" s="82">
        <f>IFERROR(__xludf.DUMMYFUNCTION("""COMPUTED_VALUE"""),2400.0)</f>
        <v>2400</v>
      </c>
      <c r="G12" s="86" t="str">
        <f>IF(A12="", "", HYPERLINK("https://wa.me/" &amp; B12 &amp; "?text=" &amp; ENCODEURL("Hello " &amp; IF(IFERROR(VLOOKUP(C12, 'Master Roster'!A:J, 10, FALSE), "")="Male", "Mr. ", "Ms. ") &amp; A12 &amp; ", this is a reminder that your rent balance of K" &amp; F12 &amp; " is due. Please make a payment,"), "Message on WhatsApp"))</f>
        <v>Message on WhatsApp</v>
      </c>
      <c r="H12" s="37" t="str">
        <f t="shared" si="1"/>
        <v>Send SMS</v>
      </c>
    </row>
    <row r="13">
      <c r="A13" s="46" t="str">
        <f>IFERROR(__xludf.DUMMYFUNCTION("""COMPUTED_VALUE"""),"Kawina Florence")</f>
        <v>Kawina Florence</v>
      </c>
      <c r="B13" s="47">
        <f>IFERROR(__xludf.DUMMYFUNCTION("""COMPUTED_VALUE"""),2.60976534878E11)</f>
        <v>260976534878</v>
      </c>
      <c r="C13" s="46" t="str">
        <f>IFERROR(__xludf.DUMMYFUNCTION("""COMPUTED_VALUE"""),"NWG-24-D")</f>
        <v>NWG-24-D</v>
      </c>
      <c r="D13" s="49" t="str">
        <f>IFERROR(__xludf.DUMMYFUNCTION("""COMPUTED_VALUE"""),"Jun")</f>
        <v>Jun</v>
      </c>
      <c r="E13" s="47">
        <f>IFERROR(__xludf.DUMMYFUNCTION("""COMPUTED_VALUE"""),92.0)</f>
        <v>92</v>
      </c>
      <c r="F13" s="80">
        <f>IFERROR(__xludf.DUMMYFUNCTION("""COMPUTED_VALUE"""),3600.0)</f>
        <v>3600</v>
      </c>
      <c r="G13" s="81" t="str">
        <f>IF(A13="", "", HYPERLINK("https://wa.me/" &amp; B13 &amp; "?text=" &amp; ENCODEURL("Hello " &amp; IF(IFERROR(VLOOKUP(C13, 'Master Roster'!A:J, 10, FALSE), "")="Male", "Mr. ", "Ms. ") &amp; A13 &amp; ", this is a reminder that your rent balance of K" &amp; F13 &amp; " is due. Please make a payment,"), "Message on WhatsApp"))</f>
        <v>Message on WhatsApp</v>
      </c>
      <c r="H13" s="46" t="str">
        <f t="shared" si="1"/>
        <v>Send SMS</v>
      </c>
    </row>
    <row r="14">
      <c r="A14" s="37"/>
      <c r="B14" s="38"/>
      <c r="C14" s="37"/>
      <c r="D14" s="38"/>
      <c r="E14" s="38"/>
      <c r="F14" s="82"/>
      <c r="G14" s="87" t="str">
        <f>IF(A14="", "", HYPERLINK("https://wa.me/" &amp; B14 &amp; "?text=" &amp; ENCODEURL("Hello " &amp; IF(IFERROR(VLOOKUP(C14, 'Master Roster'!A:J, 10, FALSE), "")="Male", "Mr. ", "Ms. ") &amp; A14 &amp; ", this is a reminder that your rent balance of K" &amp; F14 &amp; " is due. Please make a payment,"), "Message on WhatsApp"))</f>
        <v/>
      </c>
      <c r="H14" s="37" t="str">
        <f t="shared" si="1"/>
        <v/>
      </c>
    </row>
    <row r="15">
      <c r="A15" s="46"/>
      <c r="B15" s="47"/>
      <c r="C15" s="46"/>
      <c r="D15" s="47"/>
      <c r="E15" s="47"/>
      <c r="F15" s="80"/>
      <c r="G15" s="89" t="str">
        <f>IF(A15="", "", HYPERLINK("https://wa.me/" &amp; B15 &amp; "?text=" &amp; ENCODEURL("Hello " &amp; IF(IFERROR(VLOOKUP(C15, 'Master Roster'!A:J, 10, FALSE), "")="Male", "Mr. ", "Ms. ") &amp; A15 &amp; ", this is a reminder that your rent balance of K" &amp; F15 &amp; " is due. Please make a payment,"), "Message on WhatsApp"))</f>
        <v/>
      </c>
      <c r="H15" s="46" t="str">
        <f t="shared" si="1"/>
        <v/>
      </c>
    </row>
    <row r="16">
      <c r="A16" s="37"/>
      <c r="B16" s="38"/>
      <c r="C16" s="37"/>
      <c r="D16" s="38"/>
      <c r="E16" s="38"/>
      <c r="F16" s="82"/>
      <c r="G16" s="87" t="str">
        <f>IF(A16="", "", HYPERLINK("https://wa.me/" &amp; B16 &amp; "?text=" &amp; ENCODEURL("Hello " &amp; IF(IFERROR(VLOOKUP(C16, 'Master Roster'!A:J, 10, FALSE), "")="Male", "Mr. ", "Ms. ") &amp; A16 &amp; ", this is a reminder that your rent balance of K" &amp; F16 &amp; " is due. Please make a payment,"), "Message on WhatsApp"))</f>
        <v/>
      </c>
      <c r="H16" s="37" t="str">
        <f t="shared" si="1"/>
        <v/>
      </c>
    </row>
    <row r="17">
      <c r="A17" s="46"/>
      <c r="B17" s="47"/>
      <c r="C17" s="46"/>
      <c r="D17" s="47"/>
      <c r="E17" s="47"/>
      <c r="F17" s="80"/>
      <c r="G17" s="89" t="str">
        <f>IF(A17="", "", HYPERLINK("https://wa.me/" &amp; B17 &amp; "?text=" &amp; ENCODEURL("Hello " &amp; IF(IFERROR(VLOOKUP(C17, 'Master Roster'!A:J, 10, FALSE), "")="Male", "Mr. ", "Ms. ") &amp; A17 &amp; ", this is a reminder that your rent balance of K" &amp; F17 &amp; " is due. Please make a payment,"), "Message on WhatsApp"))</f>
        <v/>
      </c>
      <c r="H17" s="46" t="str">
        <f t="shared" si="1"/>
        <v/>
      </c>
    </row>
    <row r="18">
      <c r="A18" s="37"/>
      <c r="B18" s="38"/>
      <c r="C18" s="37"/>
      <c r="D18" s="38"/>
      <c r="E18" s="38"/>
      <c r="F18" s="82"/>
      <c r="G18" s="87" t="str">
        <f>IF(A18="", "", HYPERLINK("https://wa.me/" &amp; B18 &amp; "?text=" &amp; ENCODEURL("Hello " &amp; IF(IFERROR(VLOOKUP(C18, 'Master Roster'!A:J, 10, FALSE), "")="Male", "Mr. ", "Ms. ") &amp; A18 &amp; ", this is a reminder that your rent balance of K" &amp; F18 &amp; " is due. Please make a payment,"), "Message on WhatsApp"))</f>
        <v/>
      </c>
      <c r="H18" s="37" t="str">
        <f t="shared" si="1"/>
        <v/>
      </c>
    </row>
    <row r="19">
      <c r="A19" s="46"/>
      <c r="B19" s="47"/>
      <c r="C19" s="46"/>
      <c r="D19" s="47"/>
      <c r="E19" s="47"/>
      <c r="F19" s="80"/>
      <c r="G19" s="89" t="str">
        <f>IF(A19="", "", HYPERLINK("https://wa.me/" &amp; B19 &amp; "?text=" &amp; ENCODEURL("Hello " &amp; IF(IFERROR(VLOOKUP(C19, 'Master Roster'!A:J, 10, FALSE), "")="Male", "Mr. ", "Ms. ") &amp; A19 &amp; ", this is a reminder that your rent balance of K" &amp; F19 &amp; " is due. Please make a payment,"), "Message on WhatsApp"))</f>
        <v/>
      </c>
      <c r="H19" s="46" t="str">
        <f t="shared" si="1"/>
        <v/>
      </c>
    </row>
    <row r="20">
      <c r="A20" s="37"/>
      <c r="B20" s="38"/>
      <c r="C20" s="37"/>
      <c r="D20" s="38"/>
      <c r="E20" s="38"/>
      <c r="F20" s="82"/>
      <c r="G20" s="87" t="str">
        <f>IF(A20="", "", HYPERLINK("https://wa.me/" &amp; B20 &amp; "?text=" &amp; ENCODEURL("Hello " &amp; IF(IFERROR(VLOOKUP(C20, 'Master Roster'!A:J, 10, FALSE), "")="Male", "Mr. ", "Ms. ") &amp; A20 &amp; ", this is a reminder that your rent balance of K" &amp; F20 &amp; " is due. Please make a payment,"), "Message on WhatsApp"))</f>
        <v/>
      </c>
      <c r="H20" s="37" t="str">
        <f t="shared" si="1"/>
        <v/>
      </c>
    </row>
    <row r="21">
      <c r="A21" s="46"/>
      <c r="B21" s="47"/>
      <c r="C21" s="46"/>
      <c r="D21" s="47"/>
      <c r="E21" s="47"/>
      <c r="F21" s="80"/>
      <c r="G21" s="89" t="str">
        <f>IF(A21="", "", HYPERLINK("https://wa.me/" &amp; B21 &amp; "?text=" &amp; ENCODEURL("Hello " &amp; IF(IFERROR(VLOOKUP(C21, 'Master Roster'!A:J, 10, FALSE), "")="Male", "Mr. ", "Ms. ") &amp; A21 &amp; ", this is a reminder that your rent balance of K" &amp; F21 &amp; " is due. Please make a payment,"), "Message on WhatsApp"))</f>
        <v/>
      </c>
      <c r="H21" s="46" t="str">
        <f t="shared" si="1"/>
        <v/>
      </c>
    </row>
    <row r="22">
      <c r="A22" s="37"/>
      <c r="B22" s="38"/>
      <c r="C22" s="37"/>
      <c r="D22" s="38"/>
      <c r="E22" s="38"/>
      <c r="F22" s="82"/>
      <c r="G22" s="87" t="str">
        <f>IF(A22="", "", HYPERLINK("https://wa.me/" &amp; B22 &amp; "?text=" &amp; ENCODEURL("Hello " &amp; IF(IFERROR(VLOOKUP(C22, 'Master Roster'!A:J, 10, FALSE), "")="Male", "Mr. ", "Ms. ") &amp; A22 &amp; ", this is a reminder that your rent balance of K" &amp; F22 &amp; " is due. Please make a payment,"), "Message on WhatsApp"))</f>
        <v/>
      </c>
      <c r="H22" s="37" t="str">
        <f t="shared" si="1"/>
        <v/>
      </c>
    </row>
    <row r="23">
      <c r="A23" s="46"/>
      <c r="B23" s="47"/>
      <c r="C23" s="46"/>
      <c r="D23" s="47"/>
      <c r="E23" s="47"/>
      <c r="F23" s="80"/>
      <c r="G23" s="89" t="str">
        <f>IF(A23="", "", HYPERLINK("https://wa.me/" &amp; B23 &amp; "?text=" &amp; ENCODEURL("Hello " &amp; IF(IFERROR(VLOOKUP(C23, 'Master Roster'!A:J, 10, FALSE), "")="Male", "Mr. ", "Ms. ") &amp; A23 &amp; ", this is a reminder that your rent balance of K" &amp; F23 &amp; " is due. Please make a payment,"), "Message on WhatsApp"))</f>
        <v/>
      </c>
      <c r="H23" s="46" t="str">
        <f t="shared" si="1"/>
        <v/>
      </c>
    </row>
    <row r="24">
      <c r="A24" s="37"/>
      <c r="B24" s="38"/>
      <c r="C24" s="37"/>
      <c r="D24" s="38"/>
      <c r="E24" s="38"/>
      <c r="F24" s="82"/>
      <c r="G24" s="87" t="str">
        <f>IF(A24="", "", HYPERLINK("https://wa.me/" &amp; B24 &amp; "?text=" &amp; ENCODEURL("Hello " &amp; IF(IFERROR(VLOOKUP(C24, 'Master Roster'!A:J, 10, FALSE), "")="Male", "Mr. ", "Ms. ") &amp; A24 &amp; ", this is a reminder that your rent balance of K" &amp; F24 &amp; " is due. Please make a payment,"), "Message on WhatsApp"))</f>
        <v/>
      </c>
      <c r="H24" s="37" t="str">
        <f t="shared" si="1"/>
        <v/>
      </c>
    </row>
    <row r="25">
      <c r="A25" s="46"/>
      <c r="B25" s="47"/>
      <c r="C25" s="46"/>
      <c r="D25" s="47"/>
      <c r="E25" s="47"/>
      <c r="F25" s="80"/>
      <c r="G25" s="89" t="str">
        <f>IF(A25="", "", HYPERLINK("https://wa.me/" &amp; B25 &amp; "?text=" &amp; ENCODEURL("Hello " &amp; IF(IFERROR(VLOOKUP(C25, 'Master Roster'!A:J, 10, FALSE), "")="Male", "Mr. ", "Ms. ") &amp; A25 &amp; ", this is a reminder that your rent balance of K" &amp; F25 &amp; " is due. Please make a payment,"), "Message on WhatsApp"))</f>
        <v/>
      </c>
      <c r="H25" s="46" t="str">
        <f t="shared" si="1"/>
        <v/>
      </c>
    </row>
    <row r="26">
      <c r="A26" s="37"/>
      <c r="B26" s="38"/>
      <c r="C26" s="37"/>
      <c r="D26" s="38"/>
      <c r="E26" s="38"/>
      <c r="F26" s="82"/>
      <c r="G26" s="87" t="str">
        <f>IF(A26="", "", HYPERLINK("https://wa.me/" &amp; B26 &amp; "?text=" &amp; ENCODEURL("Hello " &amp; IF(IFERROR(VLOOKUP(C26, 'Master Roster'!A:J, 10, FALSE), "")="Male", "Mr. ", "Ms. ") &amp; A26 &amp; ", this is a reminder that your rent balance of K" &amp; F26 &amp; " is due. Please make a payment,"), "Message on WhatsApp"))</f>
        <v/>
      </c>
      <c r="H26" s="37" t="str">
        <f t="shared" si="1"/>
        <v/>
      </c>
    </row>
    <row r="27">
      <c r="A27" s="46"/>
      <c r="B27" s="47"/>
      <c r="C27" s="46"/>
      <c r="D27" s="47"/>
      <c r="E27" s="47"/>
      <c r="F27" s="80"/>
      <c r="G27" s="89" t="str">
        <f>IF(A27="", "", HYPERLINK("https://wa.me/" &amp; B27 &amp; "?text=" &amp; ENCODEURL("Hello " &amp; IF(IFERROR(VLOOKUP(C27, 'Master Roster'!A:J, 10, FALSE), "")="Male", "Mr. ", "Ms. ") &amp; A27 &amp; ", this is a reminder that your rent balance of K" &amp; F27 &amp; " is due. Please make a payment,"), "Message on WhatsApp"))</f>
        <v/>
      </c>
      <c r="H27" s="46" t="str">
        <f t="shared" si="1"/>
        <v/>
      </c>
    </row>
    <row r="28">
      <c r="A28" s="37"/>
      <c r="B28" s="38"/>
      <c r="C28" s="37"/>
      <c r="D28" s="38"/>
      <c r="E28" s="38"/>
      <c r="F28" s="82"/>
      <c r="G28" s="87" t="str">
        <f>IF(A28="", "", HYPERLINK("https://wa.me/" &amp; B28 &amp; "?text=" &amp; ENCODEURL("Hello " &amp; IF(IFERROR(VLOOKUP(C28, 'Master Roster'!A:J, 10, FALSE), "")="Male", "Mr. ", "Ms. ") &amp; A28 &amp; ", this is a reminder that your rent balance of K" &amp; F28 &amp; " is due. Please make a payment,"), "Message on WhatsApp"))</f>
        <v/>
      </c>
      <c r="H28" s="37" t="str">
        <f t="shared" si="1"/>
        <v/>
      </c>
    </row>
    <row r="29">
      <c r="A29" s="46"/>
      <c r="B29" s="47"/>
      <c r="C29" s="46"/>
      <c r="D29" s="47"/>
      <c r="E29" s="47"/>
      <c r="F29" s="80"/>
      <c r="G29" s="89" t="str">
        <f>IF(A29="", "", HYPERLINK("https://wa.me/" &amp; B29 &amp; "?text=" &amp; ENCODEURL("Hello " &amp; IF(IFERROR(VLOOKUP(C29, 'Master Roster'!A:J, 10, FALSE), "")="Male", "Mr. ", "Ms. ") &amp; A29 &amp; ", this is a reminder that your rent balance of K" &amp; F29 &amp; " is due. Please make a payment,"), "Message on WhatsApp"))</f>
        <v/>
      </c>
      <c r="H29" s="46" t="str">
        <f t="shared" si="1"/>
        <v/>
      </c>
    </row>
    <row r="30">
      <c r="A30" s="37"/>
      <c r="B30" s="38"/>
      <c r="C30" s="37"/>
      <c r="D30" s="38"/>
      <c r="E30" s="38"/>
      <c r="F30" s="82"/>
      <c r="G30" s="87" t="str">
        <f>IF(A30="", "", HYPERLINK("https://wa.me/" &amp; B30 &amp; "?text=" &amp; ENCODEURL("Hello " &amp; IF(IFERROR(VLOOKUP(C30, 'Master Roster'!A:J, 10, FALSE), "")="Male", "Mr. ", "Ms. ") &amp; A30 &amp; ", this is a reminder that your rent balance of K" &amp; F30 &amp; " is due. Please make a payment,"), "Message on WhatsApp"))</f>
        <v/>
      </c>
      <c r="H30" s="37" t="str">
        <f t="shared" si="1"/>
        <v/>
      </c>
    </row>
    <row r="31">
      <c r="A31" s="46"/>
      <c r="B31" s="47"/>
      <c r="C31" s="46"/>
      <c r="D31" s="47"/>
      <c r="E31" s="47"/>
      <c r="F31" s="80"/>
      <c r="G31" s="89" t="str">
        <f>IF(A31="", "", HYPERLINK("https://wa.me/" &amp; B31 &amp; "?text=" &amp; ENCODEURL("Hello " &amp; IF(IFERROR(VLOOKUP(C31, 'Master Roster'!A:J, 10, FALSE), "")="Male", "Mr. ", "Ms. ") &amp; A31 &amp; ", this is a reminder that your rent balance of K" &amp; F31 &amp; " is due. Please make a payment,"), "Message on WhatsApp"))</f>
        <v/>
      </c>
      <c r="H31" s="46" t="str">
        <f t="shared" si="1"/>
        <v/>
      </c>
    </row>
    <row r="32">
      <c r="A32" s="37"/>
      <c r="B32" s="38"/>
      <c r="C32" s="37"/>
      <c r="D32" s="38"/>
      <c r="E32" s="38"/>
      <c r="F32" s="82"/>
      <c r="G32" s="87" t="str">
        <f>IF(A32="", "", HYPERLINK("https://wa.me/" &amp; B32 &amp; "?text=" &amp; ENCODEURL("Hello " &amp; IF(IFERROR(VLOOKUP(C32, 'Master Roster'!A:J, 10, FALSE), "")="Male", "Mr. ", "Ms. ") &amp; A32 &amp; ", this is a reminder that your rent balance of K" &amp; F32 &amp; " is due. Please make a payment,"), "Message on WhatsApp"))</f>
        <v/>
      </c>
      <c r="H32" s="37" t="str">
        <f t="shared" si="1"/>
        <v/>
      </c>
    </row>
    <row r="33">
      <c r="A33" s="46"/>
      <c r="B33" s="47"/>
      <c r="C33" s="46"/>
      <c r="D33" s="47"/>
      <c r="E33" s="47"/>
      <c r="F33" s="80"/>
      <c r="G33" s="89" t="str">
        <f>IF(A33="", "", HYPERLINK("https://wa.me/" &amp; B33 &amp; "?text=" &amp; ENCODEURL("Hello " &amp; IF(IFERROR(VLOOKUP(C33, 'Master Roster'!A:J, 10, FALSE), "")="Male", "Mr. ", "Ms. ") &amp; A33 &amp; ", this is a reminder that your rent balance of K" &amp; F33 &amp; " is due. Please make a payment,"), "Message on WhatsApp"))</f>
        <v/>
      </c>
      <c r="H33" s="46" t="str">
        <f t="shared" si="1"/>
        <v/>
      </c>
    </row>
    <row r="34">
      <c r="A34" s="37"/>
      <c r="B34" s="38"/>
      <c r="C34" s="37"/>
      <c r="D34" s="38"/>
      <c r="E34" s="38"/>
      <c r="F34" s="82"/>
      <c r="G34" s="87" t="str">
        <f>IF(A34="", "", HYPERLINK("https://wa.me/" &amp; B34 &amp; "?text=" &amp; ENCODEURL("Hello " &amp; IF(IFERROR(VLOOKUP(C34, 'Master Roster'!A:J, 10, FALSE), "")="Male", "Mr. ", "Ms. ") &amp; A34 &amp; ", this is a reminder that your rent balance of K" &amp; F34 &amp; " is due. Please make a payment,"), "Message on WhatsApp"))</f>
        <v/>
      </c>
      <c r="H34" s="37" t="str">
        <f t="shared" si="1"/>
        <v/>
      </c>
    </row>
    <row r="35">
      <c r="A35" s="46"/>
      <c r="B35" s="47"/>
      <c r="C35" s="46"/>
      <c r="D35" s="47"/>
      <c r="E35" s="47"/>
      <c r="F35" s="80"/>
      <c r="G35" s="89" t="str">
        <f>IF(A35="", "", HYPERLINK("https://wa.me/" &amp; B35 &amp; "?text=" &amp; ENCODEURL("Hello " &amp; IF(IFERROR(VLOOKUP(C35, 'Master Roster'!A:J, 10, FALSE), "")="Male", "Mr. ", "Ms. ") &amp; A35 &amp; ", this is a reminder that your rent balance of K" &amp; F35 &amp; " is due. Please make a payment,"), "Message on WhatsApp"))</f>
        <v/>
      </c>
      <c r="H35" s="46" t="str">
        <f t="shared" si="1"/>
        <v/>
      </c>
    </row>
    <row r="36">
      <c r="A36" s="37"/>
      <c r="B36" s="38"/>
      <c r="C36" s="37"/>
      <c r="D36" s="38"/>
      <c r="E36" s="38"/>
      <c r="F36" s="82"/>
      <c r="G36" s="87" t="str">
        <f>IF(A36="", "", HYPERLINK("https://wa.me/" &amp; B36 &amp; "?text=" &amp; ENCODEURL("Hello " &amp; IF(IFERROR(VLOOKUP(C36, 'Master Roster'!A:J, 10, FALSE), "")="Male", "Mr. ", "Ms. ") &amp; A36 &amp; ", this is a reminder that your rent balance of K" &amp; F36 &amp; " is due. Please make a payment,"), "Message on WhatsApp"))</f>
        <v/>
      </c>
      <c r="H36" s="37" t="str">
        <f t="shared" si="1"/>
        <v/>
      </c>
    </row>
    <row r="37">
      <c r="A37" s="46"/>
      <c r="B37" s="47"/>
      <c r="C37" s="46"/>
      <c r="D37" s="47"/>
      <c r="E37" s="47"/>
      <c r="F37" s="80"/>
      <c r="G37" s="89" t="str">
        <f>IF(A37="", "", HYPERLINK("https://wa.me/" &amp; B37 &amp; "?text=" &amp; ENCODEURL("Hello " &amp; IF(IFERROR(VLOOKUP(C37, 'Master Roster'!A:J, 10, FALSE), "")="Male", "Mr. ", "Ms. ") &amp; A37 &amp; ", this is a reminder that your rent balance of K" &amp; F37 &amp; " is due. Please make a payment,"), "Message on WhatsApp"))</f>
        <v/>
      </c>
      <c r="H37" s="46" t="str">
        <f t="shared" si="1"/>
        <v/>
      </c>
    </row>
    <row r="38">
      <c r="A38" s="37"/>
      <c r="B38" s="38"/>
      <c r="C38" s="37"/>
      <c r="D38" s="38"/>
      <c r="E38" s="38"/>
      <c r="F38" s="82"/>
      <c r="G38" s="87" t="str">
        <f>IF(A38="", "", HYPERLINK("https://wa.me/" &amp; B38 &amp; "?text=" &amp; ENCODEURL("Hello " &amp; IF(IFERROR(VLOOKUP(C38, 'Master Roster'!A:J, 10, FALSE), "")="Male", "Mr. ", "Ms. ") &amp; A38 &amp; ", this is a reminder that your rent balance of K" &amp; F38 &amp; " is due. Please make a payment,"), "Message on WhatsApp"))</f>
        <v/>
      </c>
      <c r="H38" s="37" t="str">
        <f t="shared" si="1"/>
        <v/>
      </c>
    </row>
    <row r="39">
      <c r="A39" s="46"/>
      <c r="B39" s="47"/>
      <c r="C39" s="46"/>
      <c r="D39" s="47"/>
      <c r="E39" s="47"/>
      <c r="F39" s="80"/>
      <c r="G39" s="89" t="str">
        <f>IF(A39="", "", HYPERLINK("https://wa.me/" &amp; B39 &amp; "?text=" &amp; ENCODEURL("Hello " &amp; IF(IFERROR(VLOOKUP(C39, 'Master Roster'!A:J, 10, FALSE), "")="Male", "Mr. ", "Ms. ") &amp; A39 &amp; ", this is a reminder that your rent balance of K" &amp; F39 &amp; " is due. Please make a payment,"), "Message on WhatsApp"))</f>
        <v/>
      </c>
      <c r="H39" s="46" t="str">
        <f t="shared" si="1"/>
        <v/>
      </c>
    </row>
    <row r="40">
      <c r="A40" s="37"/>
      <c r="B40" s="38"/>
      <c r="C40" s="37"/>
      <c r="D40" s="38"/>
      <c r="E40" s="38"/>
      <c r="F40" s="82"/>
      <c r="G40" s="87" t="str">
        <f>IF(A40="", "", HYPERLINK("https://wa.me/" &amp; B40 &amp; "?text=" &amp; ENCODEURL("Hello " &amp; IF(IFERROR(VLOOKUP(C40, 'Master Roster'!A:J, 10, FALSE), "")="Male", "Mr. ", "Ms. ") &amp; A40 &amp; ", this is a reminder that your rent balance of K" &amp; F40 &amp; " is due. Please make a payment,"), "Message on WhatsApp"))</f>
        <v/>
      </c>
      <c r="H40" s="37" t="str">
        <f t="shared" si="1"/>
        <v/>
      </c>
    </row>
    <row r="41">
      <c r="A41" s="46"/>
      <c r="B41" s="47"/>
      <c r="C41" s="46"/>
      <c r="D41" s="47"/>
      <c r="E41" s="47"/>
      <c r="F41" s="80"/>
      <c r="G41" s="89" t="str">
        <f>IF(A41="", "", HYPERLINK("https://wa.me/" &amp; B41 &amp; "?text=" &amp; ENCODEURL("Hello " &amp; IF(IFERROR(VLOOKUP(C41, 'Master Roster'!A:J, 10, FALSE), "")="Male", "Mr. ", "Ms. ") &amp; A41 &amp; ", this is a reminder that your rent balance of K" &amp; F41 &amp; " is due. Please make a payment,"), "Message on WhatsApp"))</f>
        <v/>
      </c>
      <c r="H41" s="46" t="str">
        <f t="shared" si="1"/>
        <v/>
      </c>
    </row>
    <row r="42">
      <c r="A42" s="37"/>
      <c r="B42" s="38"/>
      <c r="C42" s="37"/>
      <c r="D42" s="38"/>
      <c r="E42" s="38"/>
      <c r="F42" s="82"/>
      <c r="G42" s="87" t="str">
        <f>IF(A42="", "", HYPERLINK("https://wa.me/" &amp; B42 &amp; "?text=" &amp; ENCODEURL("Hello " &amp; IF(IFERROR(VLOOKUP(C42, 'Master Roster'!A:J, 10, FALSE), "")="Male", "Mr. ", "Ms. ") &amp; A42 &amp; ", this is a reminder that your rent balance of K" &amp; F42 &amp; " is due. Please make a payment,"), "Message on WhatsApp"))</f>
        <v/>
      </c>
      <c r="H42" s="37" t="str">
        <f t="shared" si="1"/>
        <v/>
      </c>
    </row>
    <row r="43">
      <c r="A43" s="46"/>
      <c r="B43" s="47"/>
      <c r="C43" s="46"/>
      <c r="D43" s="47"/>
      <c r="E43" s="47"/>
      <c r="F43" s="80"/>
      <c r="G43" s="89" t="str">
        <f>IF(A43="", "", HYPERLINK("https://wa.me/" &amp; B43 &amp; "?text=" &amp; ENCODEURL("Hello " &amp; IF(IFERROR(VLOOKUP(C43, 'Master Roster'!A:J, 10, FALSE), "")="Male", "Mr. ", "Ms. ") &amp; A43 &amp; ", this is a reminder that your rent balance of K" &amp; F43 &amp; " is due. Please make a payment,"), "Message on WhatsApp"))</f>
        <v/>
      </c>
      <c r="H43" s="46" t="str">
        <f t="shared" si="1"/>
        <v/>
      </c>
    </row>
    <row r="44">
      <c r="A44" s="37"/>
      <c r="B44" s="38"/>
      <c r="C44" s="37"/>
      <c r="D44" s="38"/>
      <c r="E44" s="38"/>
      <c r="F44" s="82"/>
      <c r="G44" s="87" t="str">
        <f>IF(A44="", "", HYPERLINK("https://wa.me/" &amp; B44 &amp; "?text=" &amp; ENCODEURL("Hello " &amp; IF(IFERROR(VLOOKUP(C44, 'Master Roster'!A:J, 10, FALSE), "")="Male", "Mr. ", "Ms. ") &amp; A44 &amp; ", this is a reminder that your rent balance of K" &amp; F44 &amp; " is due. Please make a payment,"), "Message on WhatsApp"))</f>
        <v/>
      </c>
      <c r="H44" s="37" t="str">
        <f t="shared" si="1"/>
        <v/>
      </c>
    </row>
    <row r="45">
      <c r="A45" s="46"/>
      <c r="B45" s="47"/>
      <c r="C45" s="46"/>
      <c r="D45" s="47"/>
      <c r="E45" s="47"/>
      <c r="F45" s="80"/>
      <c r="G45" s="89" t="str">
        <f>IF(A45="", "", HYPERLINK("https://wa.me/" &amp; B45 &amp; "?text=" &amp; ENCODEURL("Hello " &amp; IF(IFERROR(VLOOKUP(C45, 'Master Roster'!A:J, 10, FALSE), "")="Male", "Mr. ", "Ms. ") &amp; A45 &amp; ", this is a reminder that your rent balance of K" &amp; F45 &amp; " is due. Please make a payment,"), "Message on WhatsApp"))</f>
        <v/>
      </c>
      <c r="H45" s="46" t="str">
        <f t="shared" si="1"/>
        <v/>
      </c>
    </row>
    <row r="46">
      <c r="A46" s="37"/>
      <c r="B46" s="38"/>
      <c r="C46" s="37"/>
      <c r="D46" s="38"/>
      <c r="E46" s="38"/>
      <c r="F46" s="82"/>
      <c r="G46" s="87" t="str">
        <f>IF(A46="", "", HYPERLINK("https://wa.me/" &amp; B46 &amp; "?text=" &amp; ENCODEURL("Hello " &amp; IF(IFERROR(VLOOKUP(C46, 'Master Roster'!A:J, 10, FALSE), "")="Male", "Mr. ", "Ms. ") &amp; A46 &amp; ", this is a reminder that your rent balance of K" &amp; F46 &amp; " is due. Please make a payment,"), "Message on WhatsApp"))</f>
        <v/>
      </c>
      <c r="H46" s="37" t="str">
        <f t="shared" si="1"/>
        <v/>
      </c>
    </row>
    <row r="47">
      <c r="A47" s="46"/>
      <c r="B47" s="47"/>
      <c r="C47" s="46"/>
      <c r="D47" s="47"/>
      <c r="E47" s="47"/>
      <c r="F47" s="80"/>
      <c r="G47" s="89" t="str">
        <f>IF(A47="", "", HYPERLINK("https://wa.me/" &amp; B47 &amp; "?text=" &amp; ENCODEURL("Hello " &amp; IF(IFERROR(VLOOKUP(C47, 'Master Roster'!A:J, 10, FALSE), "")="Male", "Mr. ", "Ms. ") &amp; A47 &amp; ", this is a reminder that your rent balance of K" &amp; F47 &amp; " is due. Please make a payment,"), "Message on WhatsApp"))</f>
        <v/>
      </c>
      <c r="H47" s="46" t="str">
        <f t="shared" si="1"/>
        <v/>
      </c>
    </row>
    <row r="48">
      <c r="A48" s="37"/>
      <c r="B48" s="38"/>
      <c r="C48" s="37"/>
      <c r="D48" s="38"/>
      <c r="E48" s="38"/>
      <c r="F48" s="82"/>
      <c r="G48" s="87" t="str">
        <f>IF(A48="", "", HYPERLINK("https://wa.me/" &amp; B48 &amp; "?text=" &amp; ENCODEURL("Hello " &amp; IF(IFERROR(VLOOKUP(C48, 'Master Roster'!A:J, 10, FALSE), "")="Male", "Mr. ", "Ms. ") &amp; A48 &amp; ", this is a reminder that your rent balance of K" &amp; F48 &amp; " is due. Please make a payment,"), "Message on WhatsApp"))</f>
        <v/>
      </c>
      <c r="H48" s="37" t="str">
        <f t="shared" si="1"/>
        <v/>
      </c>
    </row>
    <row r="49">
      <c r="A49" s="46"/>
      <c r="B49" s="47"/>
      <c r="C49" s="46"/>
      <c r="D49" s="47"/>
      <c r="E49" s="47"/>
      <c r="F49" s="80"/>
      <c r="G49" s="89" t="str">
        <f>IF(A49="", "", HYPERLINK("https://wa.me/" &amp; B49 &amp; "?text=" &amp; ENCODEURL("Hello " &amp; IF(IFERROR(VLOOKUP(C49, 'Master Roster'!A:J, 10, FALSE), "")="Male", "Mr. ", "Ms. ") &amp; A49 &amp; ", this is a reminder that your rent balance of K" &amp; F49 &amp; " is due. Please make a payment,"), "Message on WhatsApp"))</f>
        <v/>
      </c>
      <c r="H49" s="46" t="str">
        <f t="shared" si="1"/>
        <v/>
      </c>
    </row>
    <row r="50">
      <c r="A50" s="37"/>
      <c r="B50" s="38"/>
      <c r="C50" s="37"/>
      <c r="D50" s="38"/>
      <c r="E50" s="38"/>
      <c r="F50" s="82"/>
      <c r="G50" s="87" t="str">
        <f>IF(A50="", "", HYPERLINK("https://wa.me/" &amp; B50 &amp; "?text=" &amp; ENCODEURL("Hello " &amp; IF(IFERROR(VLOOKUP(C50, 'Master Roster'!A:J, 10, FALSE), "")="Male", "Mr. ", "Ms. ") &amp; A50 &amp; ", this is a reminder that your rent balance of K" &amp; F50 &amp; " is due. Please make a payment,"), "Message on WhatsApp"))</f>
        <v/>
      </c>
      <c r="H50" s="37" t="str">
        <f t="shared" si="1"/>
        <v/>
      </c>
    </row>
    <row r="51">
      <c r="A51" s="46"/>
      <c r="B51" s="47"/>
      <c r="C51" s="46"/>
      <c r="D51" s="47"/>
      <c r="E51" s="47"/>
      <c r="F51" s="80"/>
      <c r="G51" s="89" t="str">
        <f>IF(A51="", "", HYPERLINK("https://wa.me/" &amp; B51 &amp; "?text=" &amp; ENCODEURL("Hello " &amp; IF(IFERROR(VLOOKUP(C51, 'Master Roster'!A:J, 10, FALSE), "")="Male", "Mr. ", "Ms. ") &amp; A51 &amp; ", this is a reminder that your rent balance of K" &amp; F51 &amp; " is due. Please make a payment,"), "Message on WhatsApp"))</f>
        <v/>
      </c>
      <c r="H51" s="46" t="str">
        <f t="shared" si="1"/>
        <v/>
      </c>
    </row>
    <row r="52">
      <c r="A52" s="37"/>
      <c r="B52" s="38"/>
      <c r="C52" s="37"/>
      <c r="D52" s="38"/>
      <c r="E52" s="38"/>
      <c r="F52" s="82"/>
      <c r="G52" s="87" t="str">
        <f>IF(A52="", "", HYPERLINK("https://wa.me/" &amp; B52 &amp; "?text=" &amp; ENCODEURL("Hello " &amp; IF(IFERROR(VLOOKUP(C52, 'Master Roster'!A:J, 10, FALSE), "")="Male", "Mr. ", "Ms. ") &amp; A52 &amp; ", this is a reminder that your rent balance of K" &amp; F52 &amp; " is due. Please make a payment,"), "Message on WhatsApp"))</f>
        <v/>
      </c>
      <c r="H52" s="37" t="str">
        <f t="shared" si="1"/>
        <v/>
      </c>
    </row>
    <row r="53">
      <c r="A53" s="46"/>
      <c r="B53" s="47"/>
      <c r="C53" s="46"/>
      <c r="D53" s="47"/>
      <c r="E53" s="47"/>
      <c r="F53" s="80"/>
      <c r="G53" s="89" t="str">
        <f>IF(A53="", "", HYPERLINK("https://wa.me/" &amp; B53 &amp; "?text=" &amp; ENCODEURL("Hello " &amp; IF(IFERROR(VLOOKUP(C53, 'Master Roster'!A:J, 10, FALSE), "")="Male", "Mr. ", "Ms. ") &amp; A53 &amp; ", this is a reminder that your rent balance of K" &amp; F53 &amp; " is due. Please make a payment,"), "Message on WhatsApp"))</f>
        <v/>
      </c>
      <c r="H53" s="46" t="str">
        <f t="shared" si="1"/>
        <v/>
      </c>
    </row>
    <row r="54">
      <c r="A54" s="37"/>
      <c r="B54" s="38"/>
      <c r="C54" s="37"/>
      <c r="D54" s="38"/>
      <c r="E54" s="38"/>
      <c r="F54" s="82"/>
      <c r="G54" s="87" t="str">
        <f>IF(A54="", "", HYPERLINK("https://wa.me/" &amp; B54 &amp; "?text=" &amp; ENCODEURL("Hello " &amp; IF(IFERROR(VLOOKUP(C54, 'Master Roster'!A:J, 10, FALSE), "")="Male", "Mr. ", "Ms. ") &amp; A54 &amp; ", this is a reminder that your rent balance of K" &amp; F54 &amp; " is due. Please make a payment,"), "Message on WhatsApp"))</f>
        <v/>
      </c>
      <c r="H54" s="37" t="str">
        <f t="shared" si="1"/>
        <v/>
      </c>
    </row>
    <row r="55">
      <c r="A55" s="46"/>
      <c r="B55" s="47"/>
      <c r="C55" s="46"/>
      <c r="D55" s="47"/>
      <c r="E55" s="47"/>
      <c r="F55" s="80"/>
      <c r="G55" s="89" t="str">
        <f>IF(A55="", "", HYPERLINK("https://wa.me/" &amp; B55 &amp; "?text=" &amp; ENCODEURL("Hello " &amp; IF(IFERROR(VLOOKUP(C55, 'Master Roster'!A:J, 10, FALSE), "")="Male", "Mr. ", "Ms. ") &amp; A55 &amp; ", this is a reminder that your rent balance of K" &amp; F55 &amp; " is due. Please make a payment,"), "Message on WhatsApp"))</f>
        <v/>
      </c>
      <c r="H55" s="46" t="str">
        <f t="shared" si="1"/>
        <v/>
      </c>
    </row>
    <row r="56">
      <c r="A56" s="37"/>
      <c r="B56" s="38"/>
      <c r="C56" s="37"/>
      <c r="D56" s="38"/>
      <c r="E56" s="38"/>
      <c r="F56" s="82"/>
      <c r="G56" s="87" t="str">
        <f>IF(A56="", "", HYPERLINK("https://wa.me/" &amp; B56 &amp; "?text=" &amp; ENCODEURL("Hello " &amp; IF(IFERROR(VLOOKUP(C56, 'Master Roster'!A:J, 10, FALSE), "")="Male", "Mr. ", "Ms. ") &amp; A56 &amp; ", this is a reminder that your rent balance of K" &amp; F56 &amp; " is due. Please make a payment,"), "Message on WhatsApp"))</f>
        <v/>
      </c>
      <c r="H56" s="37" t="str">
        <f t="shared" si="1"/>
        <v/>
      </c>
    </row>
    <row r="57">
      <c r="A57" s="46"/>
      <c r="B57" s="47"/>
      <c r="C57" s="46"/>
      <c r="D57" s="47"/>
      <c r="E57" s="47"/>
      <c r="F57" s="80"/>
      <c r="G57" s="89" t="str">
        <f>IF(A57="", "", HYPERLINK("https://wa.me/" &amp; B57 &amp; "?text=" &amp; ENCODEURL("Hello " &amp; IF(IFERROR(VLOOKUP(C57, 'Master Roster'!A:J, 10, FALSE), "")="Male", "Mr. ", "Ms. ") &amp; A57 &amp; ", this is a reminder that your rent balance of K" &amp; F57 &amp; " is due. Please make a payment,"), "Message on WhatsApp"))</f>
        <v/>
      </c>
      <c r="H57" s="46" t="str">
        <f t="shared" si="1"/>
        <v/>
      </c>
    </row>
    <row r="58">
      <c r="A58" s="37"/>
      <c r="B58" s="38"/>
      <c r="C58" s="37"/>
      <c r="D58" s="38"/>
      <c r="E58" s="38"/>
      <c r="F58" s="82"/>
      <c r="G58" s="87" t="str">
        <f>IF(A58="", "", HYPERLINK("https://wa.me/" &amp; B58 &amp; "?text=" &amp; ENCODEURL("Hello " &amp; IF(IFERROR(VLOOKUP(C58, 'Master Roster'!A:J, 10, FALSE), "")="Male", "Mr. ", "Ms. ") &amp; A58 &amp; ", this is a reminder that your rent balance of K" &amp; F58 &amp; " is due. Please make a payment,"), "Message on WhatsApp"))</f>
        <v/>
      </c>
      <c r="H58" s="37" t="str">
        <f t="shared" si="1"/>
        <v/>
      </c>
    </row>
    <row r="59">
      <c r="A59" s="46"/>
      <c r="B59" s="47"/>
      <c r="C59" s="46"/>
      <c r="D59" s="47"/>
      <c r="E59" s="47"/>
      <c r="F59" s="80"/>
      <c r="G59" s="89" t="str">
        <f>IF(A59="", "", HYPERLINK("https://wa.me/" &amp; B59 &amp; "?text=" &amp; ENCODEURL("Hello " &amp; IF(IFERROR(VLOOKUP(C59, 'Master Roster'!A:J, 10, FALSE), "")="Male", "Mr. ", "Ms. ") &amp; A59 &amp; ", this is a reminder that your rent balance of K" &amp; F59 &amp; " is due. Please make a payment,"), "Message on WhatsApp"))</f>
        <v/>
      </c>
      <c r="H59" s="46" t="str">
        <f t="shared" si="1"/>
        <v/>
      </c>
    </row>
    <row r="60">
      <c r="A60" s="37"/>
      <c r="B60" s="38"/>
      <c r="C60" s="37"/>
      <c r="D60" s="38"/>
      <c r="E60" s="38"/>
      <c r="F60" s="82"/>
      <c r="G60" s="87" t="str">
        <f>IF(A60="", "", HYPERLINK("https://wa.me/" &amp; B60 &amp; "?text=" &amp; ENCODEURL("Hello " &amp; IF(IFERROR(VLOOKUP(C60, 'Master Roster'!A:J, 10, FALSE), "")="Male", "Mr. ", "Ms. ") &amp; A60 &amp; ", this is a reminder that your rent balance of K" &amp; F60 &amp; " is due. Please make a payment,"), "Message on WhatsApp"))</f>
        <v/>
      </c>
      <c r="H60" s="37" t="str">
        <f t="shared" si="1"/>
        <v/>
      </c>
    </row>
    <row r="61">
      <c r="A61" s="46"/>
      <c r="B61" s="47"/>
      <c r="C61" s="46"/>
      <c r="D61" s="47"/>
      <c r="E61" s="47"/>
      <c r="F61" s="80"/>
      <c r="G61" s="89" t="str">
        <f>IF(A61="", "", HYPERLINK("https://wa.me/" &amp; B61 &amp; "?text=" &amp; ENCODEURL("Hello " &amp; IF(IFERROR(VLOOKUP(C61, 'Master Roster'!A:J, 10, FALSE), "")="Male", "Mr. ", "Ms. ") &amp; A61 &amp; ", this is a reminder that your rent balance of K" &amp; F61 &amp; " is due. Please make a payment,"), "Message on WhatsApp"))</f>
        <v/>
      </c>
      <c r="H61" s="46" t="str">
        <f t="shared" si="1"/>
        <v/>
      </c>
    </row>
    <row r="62">
      <c r="A62" s="37"/>
      <c r="B62" s="38"/>
      <c r="C62" s="37"/>
      <c r="D62" s="38"/>
      <c r="E62" s="38"/>
      <c r="F62" s="82"/>
      <c r="G62" s="87" t="str">
        <f>IF(A62="", "", HYPERLINK("https://wa.me/" &amp; B62 &amp; "?text=" &amp; ENCODEURL("Hello " &amp; IF(IFERROR(VLOOKUP(C62, 'Master Roster'!A:J, 10, FALSE), "")="Male", "Mr. ", "Ms. ") &amp; A62 &amp; ", this is a reminder that your rent balance of K" &amp; F62 &amp; " is due. Please make a payment,"), "Message on WhatsApp"))</f>
        <v/>
      </c>
      <c r="H62" s="37" t="str">
        <f t="shared" si="1"/>
        <v/>
      </c>
    </row>
    <row r="63">
      <c r="A63" s="46"/>
      <c r="B63" s="47"/>
      <c r="C63" s="46"/>
      <c r="D63" s="47"/>
      <c r="E63" s="47"/>
      <c r="F63" s="80"/>
      <c r="G63" s="89" t="str">
        <f>IF(A63="", "", HYPERLINK("https://wa.me/" &amp; B63 &amp; "?text=" &amp; ENCODEURL("Hello " &amp; IF(IFERROR(VLOOKUP(C63, 'Master Roster'!A:J, 10, FALSE), "")="Male", "Mr. ", "Ms. ") &amp; A63 &amp; ", this is a reminder that your rent balance of K" &amp; F63 &amp; " is due. Please make a payment,"), "Message on WhatsApp"))</f>
        <v/>
      </c>
      <c r="H63" s="46" t="str">
        <f t="shared" si="1"/>
        <v/>
      </c>
    </row>
    <row r="64">
      <c r="A64" s="37"/>
      <c r="B64" s="38"/>
      <c r="C64" s="37"/>
      <c r="D64" s="38"/>
      <c r="E64" s="38"/>
      <c r="F64" s="82"/>
      <c r="G64" s="87" t="str">
        <f>IF(A64="", "", HYPERLINK("https://wa.me/" &amp; B64 &amp; "?text=" &amp; ENCODEURL("Hello " &amp; IF(IFERROR(VLOOKUP(C64, 'Master Roster'!A:J, 10, FALSE), "")="Male", "Mr. ", "Ms. ") &amp; A64 &amp; ", this is a reminder that your rent balance of K" &amp; F64 &amp; " is due. Please make a payment,"), "Message on WhatsApp"))</f>
        <v/>
      </c>
      <c r="H64" s="37" t="str">
        <f t="shared" si="1"/>
        <v/>
      </c>
    </row>
    <row r="65">
      <c r="A65" s="46"/>
      <c r="B65" s="47"/>
      <c r="C65" s="46"/>
      <c r="D65" s="47"/>
      <c r="E65" s="47"/>
      <c r="F65" s="80"/>
      <c r="G65" s="89" t="str">
        <f>IF(A65="", "", HYPERLINK("https://wa.me/" &amp; B65 &amp; "?text=" &amp; ENCODEURL("Hello " &amp; IF(IFERROR(VLOOKUP(C65, 'Master Roster'!A:J, 10, FALSE), "")="Male", "Mr. ", "Ms. ") &amp; A65 &amp; ", this is a reminder that your rent balance of K" &amp; F65 &amp; " is due. Please make a payment,"), "Message on WhatsApp"))</f>
        <v/>
      </c>
      <c r="H65" s="46" t="str">
        <f t="shared" si="1"/>
        <v/>
      </c>
    </row>
    <row r="66">
      <c r="A66" s="37"/>
      <c r="B66" s="38"/>
      <c r="C66" s="37"/>
      <c r="D66" s="38"/>
      <c r="E66" s="38"/>
      <c r="F66" s="82"/>
      <c r="G66" s="87" t="str">
        <f>IF(A66="", "", HYPERLINK("https://wa.me/" &amp; B66 &amp; "?text=" &amp; ENCODEURL("Hello " &amp; IF(IFERROR(VLOOKUP(C66, 'Master Roster'!A:J, 10, FALSE), "")="Male", "Mr. ", "Ms. ") &amp; A66 &amp; ", this is a reminder that your rent balance of K" &amp; F66 &amp; " is due. Please make a payment,"), "Message on WhatsApp"))</f>
        <v/>
      </c>
      <c r="H66" s="37" t="str">
        <f t="shared" si="1"/>
        <v/>
      </c>
    </row>
    <row r="67">
      <c r="A67" s="46"/>
      <c r="B67" s="47"/>
      <c r="C67" s="46"/>
      <c r="D67" s="47"/>
      <c r="E67" s="47"/>
      <c r="F67" s="80"/>
      <c r="G67" s="89" t="str">
        <f>IF(A67="", "", HYPERLINK("https://wa.me/" &amp; B67 &amp; "?text=" &amp; ENCODEURL("Hello " &amp; IF(IFERROR(VLOOKUP(C67, 'Master Roster'!A:J, 10, FALSE), "")="Male", "Mr. ", "Ms. ") &amp; A67 &amp; ", this is a reminder that your rent balance of K" &amp; F67 &amp; " is due. Please make a payment,"), "Message on WhatsApp"))</f>
        <v/>
      </c>
      <c r="H67" s="46" t="str">
        <f t="shared" si="1"/>
        <v/>
      </c>
    </row>
    <row r="68">
      <c r="A68" s="37"/>
      <c r="B68" s="38"/>
      <c r="C68" s="37"/>
      <c r="D68" s="38"/>
      <c r="E68" s="38"/>
      <c r="F68" s="82"/>
      <c r="G68" s="87" t="str">
        <f>IF(A68="", "", HYPERLINK("https://wa.me/" &amp; B68 &amp; "?text=" &amp; ENCODEURL("Hello " &amp; IF(IFERROR(VLOOKUP(C68, 'Master Roster'!A:J, 10, FALSE), "")="Male", "Mr. ", "Ms. ") &amp; A68 &amp; ", this is a reminder that your rent balance of K" &amp; F68 &amp; " is due. Please make a payment,"), "Message on WhatsApp"))</f>
        <v/>
      </c>
      <c r="H68" s="37" t="str">
        <f t="shared" si="1"/>
        <v/>
      </c>
    </row>
    <row r="69">
      <c r="A69" s="46"/>
      <c r="B69" s="47"/>
      <c r="C69" s="46"/>
      <c r="D69" s="47"/>
      <c r="E69" s="47"/>
      <c r="F69" s="80"/>
      <c r="G69" s="89" t="str">
        <f>IF(A69="", "", HYPERLINK("https://wa.me/" &amp; B69 &amp; "?text=" &amp; ENCODEURL("Hello " &amp; IF(IFERROR(VLOOKUP(C69, 'Master Roster'!A:J, 10, FALSE), "")="Male", "Mr. ", "Ms. ") &amp; A69 &amp; ", this is a reminder that your rent balance of K" &amp; F69 &amp; " is due. Please make a payment,"), "Message on WhatsApp"))</f>
        <v/>
      </c>
      <c r="H69" s="46" t="str">
        <f t="shared" si="1"/>
        <v/>
      </c>
    </row>
    <row r="70">
      <c r="A70" s="37"/>
      <c r="B70" s="38"/>
      <c r="C70" s="37"/>
      <c r="D70" s="38"/>
      <c r="E70" s="38"/>
      <c r="F70" s="82"/>
      <c r="G70" s="87" t="str">
        <f>IF(A70="", "", HYPERLINK("https://wa.me/" &amp; B70 &amp; "?text=" &amp; ENCODEURL("Hello " &amp; IF(IFERROR(VLOOKUP(C70, 'Master Roster'!A:J, 10, FALSE), "")="Male", "Mr. ", "Ms. ") &amp; A70 &amp; ", this is a reminder that your rent balance of K" &amp; F70 &amp; " is due. Please make a payment,"), "Message on WhatsApp"))</f>
        <v/>
      </c>
      <c r="H70" s="37" t="str">
        <f t="shared" si="1"/>
        <v/>
      </c>
    </row>
    <row r="71">
      <c r="A71" s="46"/>
      <c r="B71" s="47"/>
      <c r="C71" s="46"/>
      <c r="D71" s="47"/>
      <c r="E71" s="47"/>
      <c r="F71" s="80"/>
      <c r="G71" s="89" t="str">
        <f>IF(A71="", "", HYPERLINK("https://wa.me/" &amp; B71 &amp; "?text=" &amp; ENCODEURL("Hello " &amp; IF(IFERROR(VLOOKUP(C71, 'Master Roster'!A:J, 10, FALSE), "")="Male", "Mr. ", "Ms. ") &amp; A71 &amp; ", this is a reminder that your rent balance of K" &amp; F71 &amp; " is due. Please make a payment,"), "Message on WhatsApp"))</f>
        <v/>
      </c>
      <c r="H71" s="46" t="str">
        <f t="shared" si="1"/>
        <v/>
      </c>
    </row>
    <row r="72">
      <c r="A72" s="37"/>
      <c r="B72" s="38"/>
      <c r="C72" s="37"/>
      <c r="D72" s="38"/>
      <c r="E72" s="38"/>
      <c r="F72" s="82"/>
      <c r="G72" s="87" t="str">
        <f>IF(A72="", "", HYPERLINK("https://wa.me/" &amp; B72 &amp; "?text=" &amp; ENCODEURL("Hello " &amp; IF(IFERROR(VLOOKUP(C72, 'Master Roster'!A:J, 10, FALSE), "")="Male", "Mr. ", "Ms. ") &amp; A72 &amp; ", this is a reminder that your rent balance of K" &amp; F72 &amp; " is due. Please make a payment,"), "Message on WhatsApp"))</f>
        <v/>
      </c>
      <c r="H72" s="37" t="str">
        <f t="shared" si="1"/>
        <v/>
      </c>
    </row>
    <row r="73">
      <c r="A73" s="46"/>
      <c r="B73" s="47"/>
      <c r="C73" s="46"/>
      <c r="D73" s="47"/>
      <c r="E73" s="47"/>
      <c r="F73" s="80"/>
      <c r="G73" s="89" t="str">
        <f>IF(A73="", "", HYPERLINK("https://wa.me/" &amp; B73 &amp; "?text=" &amp; ENCODEURL("Hello " &amp; IF(IFERROR(VLOOKUP(C73, 'Master Roster'!A:J, 10, FALSE), "")="Male", "Mr. ", "Ms. ") &amp; A73 &amp; ", this is a reminder that your rent balance of K" &amp; F73 &amp; " is due. Please make a payment,"), "Message on WhatsApp"))</f>
        <v/>
      </c>
      <c r="H73" s="46" t="str">
        <f t="shared" si="1"/>
        <v/>
      </c>
    </row>
    <row r="74">
      <c r="A74" s="37"/>
      <c r="B74" s="38"/>
      <c r="C74" s="37"/>
      <c r="D74" s="38"/>
      <c r="E74" s="38"/>
      <c r="F74" s="82"/>
      <c r="G74" s="87" t="str">
        <f>IF(A74="", "", HYPERLINK("https://wa.me/" &amp; B74 &amp; "?text=" &amp; ENCODEURL("Hello " &amp; IF(IFERROR(VLOOKUP(C74, 'Master Roster'!A:J, 10, FALSE), "")="Male", "Mr. ", "Ms. ") &amp; A74 &amp; ", this is a reminder that your rent balance of K" &amp; F74 &amp; " is due. Please make a payment,"), "Message on WhatsApp"))</f>
        <v/>
      </c>
      <c r="H74" s="37" t="str">
        <f t="shared" si="1"/>
        <v/>
      </c>
    </row>
    <row r="75">
      <c r="A75" s="46"/>
      <c r="B75" s="47"/>
      <c r="C75" s="46"/>
      <c r="D75" s="47"/>
      <c r="E75" s="47"/>
      <c r="F75" s="80"/>
      <c r="G75" s="89" t="str">
        <f>IF(A75="", "", HYPERLINK("https://wa.me/" &amp; B75 &amp; "?text=" &amp; ENCODEURL("Hello " &amp; IF(IFERROR(VLOOKUP(C75, 'Master Roster'!A:J, 10, FALSE), "")="Male", "Mr. ", "Ms. ") &amp; A75 &amp; ", this is a reminder that your rent balance of K" &amp; F75 &amp; " is due. Please make a payment,"), "Message on WhatsApp"))</f>
        <v/>
      </c>
      <c r="H75" s="46" t="str">
        <f t="shared" si="1"/>
        <v/>
      </c>
    </row>
    <row r="76">
      <c r="A76" s="37"/>
      <c r="B76" s="38"/>
      <c r="C76" s="37"/>
      <c r="D76" s="38"/>
      <c r="E76" s="38"/>
      <c r="F76" s="82"/>
      <c r="G76" s="87" t="str">
        <f>IF(A76="", "", HYPERLINK("https://wa.me/" &amp; B76 &amp; "?text=" &amp; ENCODEURL("Hello " &amp; IF(IFERROR(VLOOKUP(C76, 'Master Roster'!A:J, 10, FALSE), "")="Male", "Mr. ", "Ms. ") &amp; A76 &amp; ", this is a reminder that your rent balance of K" &amp; F76 &amp; " is due. Please make a payment,"), "Message on WhatsApp"))</f>
        <v/>
      </c>
      <c r="H76" s="37" t="str">
        <f t="shared" si="1"/>
        <v/>
      </c>
    </row>
    <row r="77">
      <c r="A77" s="46"/>
      <c r="B77" s="47"/>
      <c r="C77" s="46"/>
      <c r="D77" s="47"/>
      <c r="E77" s="47"/>
      <c r="F77" s="80"/>
      <c r="G77" s="89" t="str">
        <f>IF(A77="", "", HYPERLINK("https://wa.me/" &amp; B77 &amp; "?text=" &amp; ENCODEURL("Hello " &amp; IF(IFERROR(VLOOKUP(C77, 'Master Roster'!A:J, 10, FALSE), "")="Male", "Mr. ", "Ms. ") &amp; A77 &amp; ", this is a reminder that your rent balance of K" &amp; F77 &amp; " is due. Please make a payment,"), "Message on WhatsApp"))</f>
        <v/>
      </c>
      <c r="H77" s="46" t="str">
        <f t="shared" si="1"/>
        <v/>
      </c>
    </row>
    <row r="78">
      <c r="A78" s="37"/>
      <c r="B78" s="38"/>
      <c r="C78" s="37"/>
      <c r="D78" s="38"/>
      <c r="E78" s="38"/>
      <c r="F78" s="82"/>
      <c r="G78" s="87" t="str">
        <f>IF(A78="", "", HYPERLINK("https://wa.me/" &amp; B78 &amp; "?text=" &amp; ENCODEURL("Hello " &amp; IF(IFERROR(VLOOKUP(C78, 'Master Roster'!A:J, 10, FALSE), "")="Male", "Mr. ", "Ms. ") &amp; A78 &amp; ", this is a reminder that your rent balance of K" &amp; F78 &amp; " is due. Please make a payment,"), "Message on WhatsApp"))</f>
        <v/>
      </c>
      <c r="H78" s="37" t="str">
        <f t="shared" si="1"/>
        <v/>
      </c>
    </row>
    <row r="79">
      <c r="A79" s="46"/>
      <c r="B79" s="47"/>
      <c r="C79" s="46"/>
      <c r="D79" s="47"/>
      <c r="E79" s="47"/>
      <c r="F79" s="80"/>
      <c r="G79" s="89" t="str">
        <f>IF(A79="", "", HYPERLINK("https://wa.me/" &amp; B79 &amp; "?text=" &amp; ENCODEURL("Hello " &amp; IF(IFERROR(VLOOKUP(C79, 'Master Roster'!A:J, 10, FALSE), "")="Male", "Mr. ", "Ms. ") &amp; A79 &amp; ", this is a reminder that your rent balance of K" &amp; F79 &amp; " is due. Please make a payment,"), "Message on WhatsApp"))</f>
        <v/>
      </c>
      <c r="H79" s="46" t="str">
        <f t="shared" si="1"/>
        <v/>
      </c>
    </row>
    <row r="80">
      <c r="A80" s="37"/>
      <c r="B80" s="38"/>
      <c r="C80" s="37"/>
      <c r="D80" s="38"/>
      <c r="E80" s="38"/>
      <c r="F80" s="82"/>
      <c r="G80" s="87" t="str">
        <f>IF(A80="", "", HYPERLINK("https://wa.me/" &amp; B80 &amp; "?text=" &amp; ENCODEURL("Hello " &amp; IF(IFERROR(VLOOKUP(C80, 'Master Roster'!A:J, 10, FALSE), "")="Male", "Mr. ", "Ms. ") &amp; A80 &amp; ", this is a reminder that your rent balance of K" &amp; F80 &amp; " is due. Please make a payment,"), "Message on WhatsApp"))</f>
        <v/>
      </c>
      <c r="H80" s="37" t="str">
        <f t="shared" si="1"/>
        <v/>
      </c>
    </row>
    <row r="81">
      <c r="A81" s="46"/>
      <c r="B81" s="47"/>
      <c r="C81" s="46"/>
      <c r="D81" s="47"/>
      <c r="E81" s="47"/>
      <c r="F81" s="80"/>
      <c r="G81" s="89" t="str">
        <f>IF(A81="", "", HYPERLINK("https://wa.me/" &amp; B81 &amp; "?text=" &amp; ENCODEURL("Hello " &amp; IF(IFERROR(VLOOKUP(C81, 'Master Roster'!A:J, 10, FALSE), "")="Male", "Mr. ", "Ms. ") &amp; A81 &amp; ", this is a reminder that your rent balance of K" &amp; F81 &amp; " is due. Please make a payment,"), "Message on WhatsApp"))</f>
        <v/>
      </c>
      <c r="H81" s="46" t="str">
        <f t="shared" si="1"/>
        <v/>
      </c>
    </row>
    <row r="82">
      <c r="A82" s="37"/>
      <c r="B82" s="38"/>
      <c r="C82" s="37"/>
      <c r="D82" s="38"/>
      <c r="E82" s="38"/>
      <c r="F82" s="82"/>
      <c r="G82" s="87" t="str">
        <f>IF(A82="", "", HYPERLINK("https://wa.me/" &amp; B82 &amp; "?text=" &amp; ENCODEURL("Hello " &amp; IF(IFERROR(VLOOKUP(C82, 'Master Roster'!A:J, 10, FALSE), "")="Male", "Mr. ", "Ms. ") &amp; A82 &amp; ", this is a reminder that your rent balance of K" &amp; F82 &amp; " is due. Please make a payment,"), "Message on WhatsApp"))</f>
        <v/>
      </c>
      <c r="H82" s="37" t="str">
        <f t="shared" si="1"/>
        <v/>
      </c>
    </row>
    <row r="83">
      <c r="A83" s="46"/>
      <c r="B83" s="47"/>
      <c r="C83" s="46"/>
      <c r="D83" s="47"/>
      <c r="E83" s="47"/>
      <c r="F83" s="80"/>
      <c r="G83" s="89" t="str">
        <f>IF(A83="", "", HYPERLINK("https://wa.me/" &amp; B83 &amp; "?text=" &amp; ENCODEURL("Hello " &amp; IF(IFERROR(VLOOKUP(C83, 'Master Roster'!A:J, 10, FALSE), "")="Male", "Mr. ", "Ms. ") &amp; A83 &amp; ", this is a reminder that your rent balance of K" &amp; F83 &amp; " is due. Please make a payment,"), "Message on WhatsApp"))</f>
        <v/>
      </c>
      <c r="H83" s="46" t="str">
        <f t="shared" si="1"/>
        <v/>
      </c>
    </row>
    <row r="84">
      <c r="A84" s="37"/>
      <c r="B84" s="38"/>
      <c r="C84" s="37"/>
      <c r="D84" s="38"/>
      <c r="E84" s="38"/>
      <c r="F84" s="82"/>
      <c r="G84" s="87" t="str">
        <f>IF(A84="", "", HYPERLINK("https://wa.me/" &amp; B84 &amp; "?text=" &amp; ENCODEURL("Hello " &amp; IF(IFERROR(VLOOKUP(C84, 'Master Roster'!A:J, 10, FALSE), "")="Male", "Mr. ", "Ms. ") &amp; A84 &amp; ", this is a reminder that your rent balance of K" &amp; F84 &amp; " is due. Please make a payment,"), "Message on WhatsApp"))</f>
        <v/>
      </c>
      <c r="H84" s="37" t="str">
        <f t="shared" si="1"/>
        <v/>
      </c>
    </row>
    <row r="85">
      <c r="A85" s="46"/>
      <c r="B85" s="47"/>
      <c r="C85" s="46"/>
      <c r="D85" s="47"/>
      <c r="E85" s="47"/>
      <c r="F85" s="80"/>
      <c r="G85" s="89" t="str">
        <f>IF(A85="", "", HYPERLINK("https://wa.me/" &amp; B85 &amp; "?text=" &amp; ENCODEURL("Hello " &amp; IF(IFERROR(VLOOKUP(C85, 'Master Roster'!A:J, 10, FALSE), "")="Male", "Mr. ", "Ms. ") &amp; A85 &amp; ", this is a reminder that your rent balance of K" &amp; F85 &amp; " is due. Please make a payment,"), "Message on WhatsApp"))</f>
        <v/>
      </c>
      <c r="H85" s="46" t="str">
        <f t="shared" si="1"/>
        <v/>
      </c>
    </row>
    <row r="86">
      <c r="A86" s="37"/>
      <c r="B86" s="38"/>
      <c r="C86" s="37"/>
      <c r="D86" s="38"/>
      <c r="E86" s="38"/>
      <c r="F86" s="82"/>
      <c r="G86" s="87" t="str">
        <f>IF(A86="", "", HYPERLINK("https://wa.me/" &amp; B86 &amp; "?text=" &amp; ENCODEURL("Hello " &amp; IF(IFERROR(VLOOKUP(C86, 'Master Roster'!A:J, 10, FALSE), "")="Male", "Mr. ", "Ms. ") &amp; A86 &amp; ", this is a reminder that your rent balance of K" &amp; F86 &amp; " is due. Please make a payment,"), "Message on WhatsApp"))</f>
        <v/>
      </c>
      <c r="H86" s="37" t="str">
        <f t="shared" si="1"/>
        <v/>
      </c>
    </row>
    <row r="87">
      <c r="A87" s="46"/>
      <c r="B87" s="47"/>
      <c r="C87" s="46"/>
      <c r="D87" s="47"/>
      <c r="E87" s="47"/>
      <c r="F87" s="80"/>
      <c r="G87" s="89" t="str">
        <f>IF(A87="", "", HYPERLINK("https://wa.me/" &amp; B87 &amp; "?text=" &amp; ENCODEURL("Hello " &amp; IF(IFERROR(VLOOKUP(C87, 'Master Roster'!A:J, 10, FALSE), "")="Male", "Mr. ", "Ms. ") &amp; A87 &amp; ", this is a reminder that your rent balance of K" &amp; F87 &amp; " is due. Please make a payment,"), "Message on WhatsApp"))</f>
        <v/>
      </c>
      <c r="H87" s="46" t="str">
        <f t="shared" si="1"/>
        <v/>
      </c>
    </row>
    <row r="88">
      <c r="A88" s="37"/>
      <c r="B88" s="38"/>
      <c r="C88" s="37"/>
      <c r="D88" s="38"/>
      <c r="E88" s="38"/>
      <c r="F88" s="82"/>
      <c r="G88" s="87" t="str">
        <f>IF(A88="", "", HYPERLINK("https://wa.me/" &amp; B88 &amp; "?text=" &amp; ENCODEURL("Hello " &amp; IF(IFERROR(VLOOKUP(C88, 'Master Roster'!A:J, 10, FALSE), "")="Male", "Mr. ", "Ms. ") &amp; A88 &amp; ", this is a reminder that your rent balance of K" &amp; F88 &amp; " is due. Please make a payment,"), "Message on WhatsApp"))</f>
        <v/>
      </c>
      <c r="H88" s="37" t="str">
        <f t="shared" si="1"/>
        <v/>
      </c>
    </row>
    <row r="89">
      <c r="A89" s="46"/>
      <c r="B89" s="47"/>
      <c r="C89" s="46"/>
      <c r="D89" s="47"/>
      <c r="E89" s="47"/>
      <c r="F89" s="80"/>
      <c r="G89" s="89" t="str">
        <f>IF(A89="", "", HYPERLINK("https://wa.me/" &amp; B89 &amp; "?text=" &amp; ENCODEURL("Hello " &amp; IF(IFERROR(VLOOKUP(C89, 'Master Roster'!A:J, 10, FALSE), "")="Male", "Mr. ", "Ms. ") &amp; A89 &amp; ", this is a reminder that your rent balance of K" &amp; F89 &amp; " is due. Please make a payment,"), "Message on WhatsApp"))</f>
        <v/>
      </c>
      <c r="H89" s="46" t="str">
        <f t="shared" si="1"/>
        <v/>
      </c>
    </row>
    <row r="90">
      <c r="A90" s="37"/>
      <c r="B90" s="38"/>
      <c r="C90" s="37"/>
      <c r="D90" s="38"/>
      <c r="E90" s="38"/>
      <c r="F90" s="82"/>
      <c r="G90" s="87" t="str">
        <f>IF(A90="", "", HYPERLINK("https://wa.me/" &amp; B90 &amp; "?text=" &amp; ENCODEURL("Hello " &amp; IF(IFERROR(VLOOKUP(C90, 'Master Roster'!A:J, 10, FALSE), "")="Male", "Mr. ", "Ms. ") &amp; A90 &amp; ", this is a reminder that your rent balance of K" &amp; F90 &amp; " is due. Please make a payment,"), "Message on WhatsApp"))</f>
        <v/>
      </c>
      <c r="H90" s="37" t="str">
        <f t="shared" si="1"/>
        <v/>
      </c>
    </row>
    <row r="91">
      <c r="A91" s="46"/>
      <c r="B91" s="47"/>
      <c r="C91" s="46"/>
      <c r="D91" s="47"/>
      <c r="E91" s="47"/>
      <c r="F91" s="80"/>
      <c r="G91" s="89" t="str">
        <f>IF(A91="", "", HYPERLINK("https://wa.me/" &amp; B91 &amp; "?text=" &amp; ENCODEURL("Hello " &amp; IF(IFERROR(VLOOKUP(C91, 'Master Roster'!A:J, 10, FALSE), "")="Male", "Mr. ", "Ms. ") &amp; A91 &amp; ", this is a reminder that your rent balance of K" &amp; F91 &amp; " is due. Please make a payment,"), "Message on WhatsApp"))</f>
        <v/>
      </c>
      <c r="H91" s="46" t="str">
        <f t="shared" si="1"/>
        <v/>
      </c>
    </row>
    <row r="92">
      <c r="A92" s="37"/>
      <c r="B92" s="38"/>
      <c r="C92" s="37"/>
      <c r="D92" s="38"/>
      <c r="E92" s="38"/>
      <c r="F92" s="82"/>
      <c r="G92" s="87" t="str">
        <f>IF(A92="", "", HYPERLINK("https://wa.me/" &amp; B92 &amp; "?text=" &amp; ENCODEURL("Hello " &amp; IF(IFERROR(VLOOKUP(C92, 'Master Roster'!A:J, 10, FALSE), "")="Male", "Mr. ", "Ms. ") &amp; A92 &amp; ", this is a reminder that your rent balance of K" &amp; F92 &amp; " is due. Please make a payment,"), "Message on WhatsApp"))</f>
        <v/>
      </c>
      <c r="H92" s="37" t="str">
        <f t="shared" si="1"/>
        <v/>
      </c>
    </row>
    <row r="93">
      <c r="A93" s="46"/>
      <c r="B93" s="47"/>
      <c r="C93" s="46"/>
      <c r="D93" s="47"/>
      <c r="E93" s="47"/>
      <c r="F93" s="80"/>
      <c r="G93" s="89" t="str">
        <f>IF(A93="", "", HYPERLINK("https://wa.me/" &amp; B93 &amp; "?text=" &amp; ENCODEURL("Hello " &amp; IF(IFERROR(VLOOKUP(C93, 'Master Roster'!A:J, 10, FALSE), "")="Male", "Mr. ", "Ms. ") &amp; A93 &amp; ", this is a reminder that your rent balance of K" &amp; F93 &amp; " is due. Please make a payment,"), "Message on WhatsApp"))</f>
        <v/>
      </c>
      <c r="H93" s="46" t="str">
        <f t="shared" si="1"/>
        <v/>
      </c>
    </row>
    <row r="94">
      <c r="A94" s="37"/>
      <c r="B94" s="38"/>
      <c r="C94" s="37"/>
      <c r="D94" s="38"/>
      <c r="E94" s="38"/>
      <c r="F94" s="82"/>
      <c r="G94" s="87" t="str">
        <f>IF(A94="", "", HYPERLINK("https://wa.me/" &amp; B94 &amp; "?text=" &amp; ENCODEURL("Hello " &amp; IF(IFERROR(VLOOKUP(C94, 'Master Roster'!A:J, 10, FALSE), "")="Male", "Mr. ", "Ms. ") &amp; A94 &amp; ", this is a reminder that your rent balance of K" &amp; F94 &amp; " is due. Please make a payment,"), "Message on WhatsApp"))</f>
        <v/>
      </c>
      <c r="H94" s="37" t="str">
        <f t="shared" si="1"/>
        <v/>
      </c>
    </row>
    <row r="95">
      <c r="A95" s="46"/>
      <c r="B95" s="47"/>
      <c r="C95" s="46"/>
      <c r="D95" s="47"/>
      <c r="E95" s="47"/>
      <c r="F95" s="80"/>
      <c r="G95" s="89" t="str">
        <f>IF(A95="", "", HYPERLINK("https://wa.me/" &amp; B95 &amp; "?text=" &amp; ENCODEURL("Hello " &amp; IF(IFERROR(VLOOKUP(C95, 'Master Roster'!A:J, 10, FALSE), "")="Male", "Mr. ", "Ms. ") &amp; A95 &amp; ", this is a reminder that your rent balance of K" &amp; F95 &amp; " is due. Please make a payment,"), "Message on WhatsApp"))</f>
        <v/>
      </c>
      <c r="H95" s="46" t="str">
        <f t="shared" si="1"/>
        <v/>
      </c>
    </row>
    <row r="96">
      <c r="A96" s="37"/>
      <c r="B96" s="38"/>
      <c r="C96" s="37"/>
      <c r="D96" s="38"/>
      <c r="E96" s="38"/>
      <c r="F96" s="82"/>
      <c r="G96" s="87" t="str">
        <f>IF(A96="", "", HYPERLINK("https://wa.me/" &amp; B96 &amp; "?text=" &amp; ENCODEURL("Hello " &amp; IF(IFERROR(VLOOKUP(C96, 'Master Roster'!A:J, 10, FALSE), "")="Male", "Mr. ", "Ms. ") &amp; A96 &amp; ", this is a reminder that your rent balance of K" &amp; F96 &amp; " is due. Please make a payment,"), "Message on WhatsApp"))</f>
        <v/>
      </c>
      <c r="H96" s="37" t="str">
        <f t="shared" si="1"/>
        <v/>
      </c>
    </row>
    <row r="97">
      <c r="A97" s="46"/>
      <c r="B97" s="47"/>
      <c r="C97" s="46"/>
      <c r="D97" s="47"/>
      <c r="E97" s="47"/>
      <c r="F97" s="80"/>
      <c r="G97" s="89" t="str">
        <f>IF(A97="", "", HYPERLINK("https://wa.me/" &amp; B97 &amp; "?text=" &amp; ENCODEURL("Hello " &amp; IF(IFERROR(VLOOKUP(C97, 'Master Roster'!A:J, 10, FALSE), "")="Male", "Mr. ", "Ms. ") &amp; A97 &amp; ", this is a reminder that your rent balance of K" &amp; F97 &amp; " is due. Please make a payment,"), "Message on WhatsApp"))</f>
        <v/>
      </c>
      <c r="H97" s="46" t="str">
        <f t="shared" si="1"/>
        <v/>
      </c>
    </row>
    <row r="98">
      <c r="A98" s="37"/>
      <c r="B98" s="38"/>
      <c r="C98" s="37"/>
      <c r="D98" s="38"/>
      <c r="E98" s="38"/>
      <c r="F98" s="82"/>
      <c r="G98" s="87" t="str">
        <f>IF(A98="", "", HYPERLINK("https://wa.me/" &amp; B98 &amp; "?text=" &amp; ENCODEURL("Hello " &amp; IF(IFERROR(VLOOKUP(C98, 'Master Roster'!A:J, 10, FALSE), "")="Male", "Mr. ", "Ms. ") &amp; A98 &amp; ", this is a reminder that your rent balance of K" &amp; F98 &amp; " is due. Please make a payment,"), "Message on WhatsApp"))</f>
        <v/>
      </c>
      <c r="H98" s="37" t="str">
        <f t="shared" si="1"/>
        <v/>
      </c>
    </row>
    <row r="99">
      <c r="A99" s="46"/>
      <c r="B99" s="47"/>
      <c r="C99" s="46"/>
      <c r="D99" s="47"/>
      <c r="E99" s="47"/>
      <c r="F99" s="80"/>
      <c r="G99" s="89" t="str">
        <f>IF(A99="", "", HYPERLINK("https://wa.me/" &amp; B99 &amp; "?text=" &amp; ENCODEURL("Hello " &amp; IF(IFERROR(VLOOKUP(C99, 'Master Roster'!A:J, 10, FALSE), "")="Male", "Mr. ", "Ms. ") &amp; A99 &amp; ", this is a reminder that your rent balance of K" &amp; F99 &amp; " is due. Please make a payment,"), "Message on WhatsApp"))</f>
        <v/>
      </c>
      <c r="H99" s="46" t="str">
        <f t="shared" si="1"/>
        <v/>
      </c>
    </row>
    <row r="100">
      <c r="A100" s="37"/>
      <c r="B100" s="38"/>
      <c r="C100" s="37"/>
      <c r="D100" s="38"/>
      <c r="E100" s="38"/>
      <c r="F100" s="82"/>
      <c r="G100" s="87" t="str">
        <f>IF(A100="", "", HYPERLINK("https://wa.me/" &amp; B100 &amp; "?text=" &amp; ENCODEURL("Hello " &amp; IF(IFERROR(VLOOKUP(C100, 'Master Roster'!A:J, 10, FALSE), "")="Male", "Mr. ", "Ms. ") &amp; A100 &amp; ", this is a reminder that your rent balance of K" &amp; F100 &amp; " is due. Please make a payment,"), "Message on WhatsApp"))</f>
        <v/>
      </c>
      <c r="H100" s="37" t="str">
        <f t="shared" si="1"/>
        <v/>
      </c>
    </row>
    <row r="101">
      <c r="A101" s="140"/>
      <c r="B101" s="153"/>
      <c r="C101" s="140"/>
      <c r="D101" s="153"/>
      <c r="E101" s="153"/>
      <c r="F101" s="154"/>
      <c r="G101" s="155"/>
      <c r="H101" s="140"/>
    </row>
    <row r="102">
      <c r="A102" s="140"/>
      <c r="B102" s="153"/>
      <c r="C102" s="140"/>
      <c r="D102" s="153"/>
      <c r="E102" s="153"/>
      <c r="F102" s="154"/>
      <c r="G102" s="155"/>
      <c r="H102" s="140"/>
    </row>
    <row r="103">
      <c r="A103" s="140"/>
      <c r="B103" s="153"/>
      <c r="C103" s="140"/>
      <c r="D103" s="153"/>
      <c r="E103" s="153"/>
      <c r="F103" s="154"/>
      <c r="G103" s="155"/>
      <c r="H103" s="140"/>
    </row>
    <row r="104">
      <c r="A104" s="140"/>
      <c r="B104" s="153"/>
      <c r="C104" s="140"/>
      <c r="D104" s="153"/>
      <c r="E104" s="153"/>
      <c r="F104" s="154"/>
      <c r="G104" s="155"/>
      <c r="H104" s="140"/>
    </row>
    <row r="105">
      <c r="A105" s="140"/>
      <c r="B105" s="153"/>
      <c r="C105" s="140"/>
      <c r="D105" s="153"/>
      <c r="E105" s="153"/>
      <c r="F105" s="154"/>
      <c r="G105" s="155"/>
      <c r="H105" s="140"/>
    </row>
    <row r="106">
      <c r="A106" s="140"/>
      <c r="B106" s="153"/>
      <c r="C106" s="140"/>
      <c r="D106" s="153"/>
      <c r="E106" s="153"/>
      <c r="F106" s="154"/>
      <c r="G106" s="155"/>
      <c r="H106" s="140"/>
    </row>
    <row r="107">
      <c r="A107" s="140"/>
      <c r="B107" s="153"/>
      <c r="C107" s="140"/>
      <c r="D107" s="153"/>
      <c r="E107" s="153"/>
      <c r="F107" s="154"/>
      <c r="G107" s="155"/>
      <c r="H107" s="140"/>
    </row>
    <row r="108">
      <c r="A108" s="140"/>
      <c r="B108" s="153"/>
      <c r="C108" s="140"/>
      <c r="D108" s="153"/>
      <c r="E108" s="153"/>
      <c r="F108" s="154"/>
      <c r="G108" s="155"/>
      <c r="H108" s="140"/>
    </row>
    <row r="109">
      <c r="A109" s="140"/>
      <c r="B109" s="153"/>
      <c r="C109" s="140"/>
      <c r="D109" s="153"/>
      <c r="E109" s="153"/>
      <c r="F109" s="154"/>
      <c r="G109" s="155"/>
      <c r="H109" s="140"/>
    </row>
    <row r="110">
      <c r="A110" s="140"/>
      <c r="B110" s="153"/>
      <c r="C110" s="140"/>
      <c r="D110" s="153"/>
      <c r="E110" s="153"/>
      <c r="F110" s="154"/>
      <c r="G110" s="155"/>
      <c r="H110" s="140"/>
    </row>
    <row r="111">
      <c r="A111" s="140"/>
      <c r="B111" s="153"/>
      <c r="C111" s="140"/>
      <c r="D111" s="153"/>
      <c r="E111" s="153"/>
      <c r="F111" s="154"/>
      <c r="G111" s="155"/>
      <c r="H111" s="140"/>
    </row>
    <row r="112">
      <c r="A112" s="140"/>
      <c r="B112" s="153"/>
      <c r="C112" s="140"/>
      <c r="D112" s="153"/>
      <c r="E112" s="153"/>
      <c r="F112" s="154"/>
      <c r="G112" s="155"/>
      <c r="H112" s="140"/>
    </row>
    <row r="113">
      <c r="A113" s="140"/>
      <c r="B113" s="153"/>
      <c r="C113" s="140"/>
      <c r="D113" s="153"/>
      <c r="E113" s="153"/>
      <c r="F113" s="154"/>
      <c r="G113" s="155"/>
      <c r="H113" s="140"/>
    </row>
    <row r="114">
      <c r="A114" s="140"/>
      <c r="B114" s="153"/>
      <c r="C114" s="140"/>
      <c r="D114" s="153"/>
      <c r="E114" s="153"/>
      <c r="F114" s="154"/>
      <c r="G114" s="155"/>
      <c r="H114" s="140"/>
    </row>
    <row r="115">
      <c r="A115" s="140"/>
      <c r="B115" s="153"/>
      <c r="C115" s="140"/>
      <c r="D115" s="153"/>
      <c r="E115" s="153"/>
      <c r="F115" s="154"/>
      <c r="G115" s="155"/>
      <c r="H115" s="140"/>
    </row>
    <row r="116">
      <c r="A116" s="140"/>
      <c r="B116" s="153"/>
      <c r="C116" s="140"/>
      <c r="D116" s="153"/>
      <c r="E116" s="153"/>
      <c r="F116" s="154"/>
      <c r="G116" s="155"/>
      <c r="H116" s="140"/>
    </row>
    <row r="117">
      <c r="A117" s="140"/>
      <c r="B117" s="153"/>
      <c r="C117" s="140"/>
      <c r="D117" s="153"/>
      <c r="E117" s="153"/>
      <c r="F117" s="154"/>
      <c r="G117" s="155"/>
      <c r="H117" s="140"/>
    </row>
    <row r="118">
      <c r="A118" s="140"/>
      <c r="B118" s="153"/>
      <c r="C118" s="140"/>
      <c r="D118" s="153"/>
      <c r="E118" s="153"/>
      <c r="F118" s="154"/>
      <c r="G118" s="155"/>
      <c r="H118" s="140"/>
    </row>
    <row r="119">
      <c r="A119" s="140"/>
      <c r="B119" s="153"/>
      <c r="C119" s="140"/>
      <c r="D119" s="153"/>
      <c r="E119" s="153"/>
      <c r="F119" s="154"/>
      <c r="G119" s="155"/>
      <c r="H119" s="140"/>
    </row>
    <row r="120">
      <c r="A120" s="140"/>
      <c r="B120" s="153"/>
      <c r="C120" s="140"/>
      <c r="D120" s="153"/>
      <c r="E120" s="153"/>
      <c r="F120" s="154"/>
      <c r="G120" s="155"/>
      <c r="H120" s="140"/>
    </row>
    <row r="121">
      <c r="A121" s="140"/>
      <c r="B121" s="153"/>
      <c r="C121" s="140"/>
      <c r="D121" s="153"/>
      <c r="E121" s="153"/>
      <c r="F121" s="154"/>
      <c r="G121" s="155"/>
      <c r="H121" s="140"/>
    </row>
    <row r="122">
      <c r="A122" s="140"/>
      <c r="B122" s="153"/>
      <c r="C122" s="140"/>
      <c r="D122" s="153"/>
      <c r="E122" s="153"/>
      <c r="F122" s="154"/>
      <c r="G122" s="155"/>
      <c r="H122" s="140"/>
    </row>
    <row r="123">
      <c r="A123" s="140"/>
      <c r="B123" s="153"/>
      <c r="C123" s="140"/>
      <c r="D123" s="153"/>
      <c r="E123" s="153"/>
      <c r="F123" s="154"/>
      <c r="G123" s="155"/>
      <c r="H123" s="140"/>
    </row>
    <row r="124">
      <c r="A124" s="140"/>
      <c r="B124" s="153"/>
      <c r="C124" s="140"/>
      <c r="D124" s="153"/>
      <c r="E124" s="153"/>
      <c r="F124" s="154"/>
      <c r="G124" s="155"/>
      <c r="H124" s="140"/>
    </row>
    <row r="125">
      <c r="A125" s="140"/>
      <c r="B125" s="153"/>
      <c r="C125" s="140"/>
      <c r="D125" s="153"/>
      <c r="E125" s="153"/>
      <c r="F125" s="154"/>
      <c r="G125" s="155"/>
      <c r="H125" s="140"/>
    </row>
    <row r="126">
      <c r="A126" s="140"/>
      <c r="B126" s="153"/>
      <c r="C126" s="140"/>
      <c r="D126" s="153"/>
      <c r="E126" s="153"/>
      <c r="F126" s="154"/>
      <c r="G126" s="155"/>
      <c r="H126" s="140"/>
    </row>
    <row r="127">
      <c r="A127" s="140"/>
      <c r="B127" s="153"/>
      <c r="C127" s="140"/>
      <c r="D127" s="153"/>
      <c r="E127" s="153"/>
      <c r="F127" s="154"/>
      <c r="G127" s="155"/>
      <c r="H127" s="140"/>
    </row>
    <row r="128">
      <c r="A128" s="140"/>
      <c r="B128" s="153"/>
      <c r="C128" s="140"/>
      <c r="D128" s="153"/>
      <c r="E128" s="153"/>
      <c r="F128" s="154"/>
      <c r="G128" s="155"/>
      <c r="H128" s="140"/>
    </row>
    <row r="129">
      <c r="A129" s="140"/>
      <c r="B129" s="153"/>
      <c r="C129" s="140"/>
      <c r="D129" s="153"/>
      <c r="E129" s="153"/>
      <c r="F129" s="154"/>
      <c r="G129" s="155"/>
      <c r="H129" s="140"/>
    </row>
    <row r="130">
      <c r="A130" s="140"/>
      <c r="B130" s="153"/>
      <c r="C130" s="140"/>
      <c r="D130" s="153"/>
      <c r="E130" s="153"/>
      <c r="F130" s="154"/>
      <c r="G130" s="155"/>
      <c r="H130" s="140"/>
    </row>
    <row r="131">
      <c r="A131" s="140"/>
      <c r="B131" s="153"/>
      <c r="C131" s="140"/>
      <c r="D131" s="153"/>
      <c r="E131" s="153"/>
      <c r="F131" s="154"/>
      <c r="G131" s="155"/>
      <c r="H131" s="140"/>
    </row>
    <row r="132">
      <c r="A132" s="140"/>
      <c r="B132" s="153"/>
      <c r="C132" s="140"/>
      <c r="D132" s="153"/>
      <c r="E132" s="153"/>
      <c r="F132" s="154"/>
      <c r="G132" s="155"/>
      <c r="H132" s="140"/>
    </row>
    <row r="133">
      <c r="A133" s="140"/>
      <c r="B133" s="153"/>
      <c r="C133" s="140"/>
      <c r="D133" s="153"/>
      <c r="E133" s="153"/>
      <c r="F133" s="154"/>
      <c r="G133" s="155"/>
      <c r="H133" s="140"/>
    </row>
    <row r="134">
      <c r="A134" s="140"/>
      <c r="B134" s="153"/>
      <c r="C134" s="140"/>
      <c r="D134" s="153"/>
      <c r="E134" s="153"/>
      <c r="F134" s="154"/>
      <c r="G134" s="155"/>
      <c r="H134" s="140"/>
    </row>
    <row r="135">
      <c r="A135" s="140"/>
      <c r="B135" s="153"/>
      <c r="C135" s="140"/>
      <c r="D135" s="153"/>
      <c r="E135" s="153"/>
      <c r="F135" s="154"/>
      <c r="G135" s="155"/>
      <c r="H135" s="140"/>
    </row>
    <row r="136">
      <c r="A136" s="140"/>
      <c r="B136" s="153"/>
      <c r="C136" s="140"/>
      <c r="D136" s="153"/>
      <c r="E136" s="153"/>
      <c r="F136" s="154"/>
      <c r="G136" s="155"/>
      <c r="H136" s="140"/>
    </row>
    <row r="137">
      <c r="A137" s="140"/>
      <c r="B137" s="153"/>
      <c r="C137" s="140"/>
      <c r="D137" s="153"/>
      <c r="E137" s="153"/>
      <c r="F137" s="154"/>
      <c r="G137" s="155"/>
      <c r="H137" s="140"/>
    </row>
    <row r="138">
      <c r="A138" s="140"/>
      <c r="B138" s="153"/>
      <c r="C138" s="140"/>
      <c r="D138" s="153"/>
      <c r="E138" s="153"/>
      <c r="F138" s="154"/>
      <c r="G138" s="155"/>
      <c r="H138" s="140"/>
    </row>
    <row r="139">
      <c r="A139" s="140"/>
      <c r="B139" s="153"/>
      <c r="C139" s="140"/>
      <c r="D139" s="153"/>
      <c r="E139" s="153"/>
      <c r="F139" s="154"/>
      <c r="G139" s="155"/>
      <c r="H139" s="140"/>
    </row>
    <row r="140">
      <c r="A140" s="140"/>
      <c r="B140" s="153"/>
      <c r="C140" s="140"/>
      <c r="D140" s="153"/>
      <c r="E140" s="153"/>
      <c r="F140" s="154"/>
      <c r="G140" s="155"/>
      <c r="H140" s="140"/>
    </row>
    <row r="141">
      <c r="A141" s="140"/>
      <c r="B141" s="153"/>
      <c r="C141" s="140"/>
      <c r="D141" s="153"/>
      <c r="E141" s="153"/>
      <c r="F141" s="154"/>
      <c r="G141" s="155"/>
      <c r="H141" s="140"/>
    </row>
    <row r="142">
      <c r="A142" s="140"/>
      <c r="B142" s="153"/>
      <c r="C142" s="140"/>
      <c r="D142" s="153"/>
      <c r="E142" s="153"/>
      <c r="F142" s="154"/>
      <c r="G142" s="155"/>
      <c r="H142" s="140"/>
    </row>
    <row r="143">
      <c r="A143" s="140"/>
      <c r="B143" s="153"/>
      <c r="C143" s="140"/>
      <c r="D143" s="153"/>
      <c r="E143" s="153"/>
      <c r="F143" s="154"/>
      <c r="G143" s="155"/>
      <c r="H143" s="140"/>
    </row>
    <row r="144">
      <c r="A144" s="140"/>
      <c r="B144" s="153"/>
      <c r="C144" s="140"/>
      <c r="D144" s="153"/>
      <c r="E144" s="153"/>
      <c r="F144" s="154"/>
      <c r="G144" s="155"/>
      <c r="H144" s="140"/>
    </row>
    <row r="145">
      <c r="A145" s="140"/>
      <c r="B145" s="153"/>
      <c r="C145" s="140"/>
      <c r="D145" s="153"/>
      <c r="E145" s="153"/>
      <c r="F145" s="154"/>
      <c r="G145" s="155"/>
      <c r="H145" s="140"/>
    </row>
    <row r="146">
      <c r="A146" s="140"/>
      <c r="B146" s="153"/>
      <c r="C146" s="140"/>
      <c r="D146" s="153"/>
      <c r="E146" s="153"/>
      <c r="F146" s="154"/>
      <c r="G146" s="155"/>
      <c r="H146" s="140"/>
    </row>
    <row r="147">
      <c r="A147" s="140"/>
      <c r="B147" s="153"/>
      <c r="C147" s="140"/>
      <c r="D147" s="153"/>
      <c r="E147" s="153"/>
      <c r="F147" s="154"/>
      <c r="G147" s="155"/>
      <c r="H147" s="140"/>
    </row>
    <row r="148">
      <c r="A148" s="140"/>
      <c r="B148" s="153"/>
      <c r="C148" s="140"/>
      <c r="D148" s="153"/>
      <c r="E148" s="153"/>
      <c r="F148" s="154"/>
      <c r="G148" s="155"/>
      <c r="H148" s="140"/>
    </row>
    <row r="149">
      <c r="A149" s="140"/>
      <c r="B149" s="153"/>
      <c r="C149" s="140"/>
      <c r="D149" s="153"/>
      <c r="E149" s="153"/>
      <c r="F149" s="154"/>
      <c r="G149" s="155"/>
      <c r="H149" s="140"/>
    </row>
    <row r="150">
      <c r="A150" s="140"/>
      <c r="B150" s="153"/>
      <c r="C150" s="140"/>
      <c r="D150" s="153"/>
      <c r="E150" s="153"/>
      <c r="F150" s="154"/>
      <c r="G150" s="155"/>
      <c r="H150" s="140"/>
    </row>
    <row r="151">
      <c r="A151" s="140"/>
      <c r="B151" s="153"/>
      <c r="C151" s="140"/>
      <c r="D151" s="153"/>
      <c r="E151" s="153"/>
      <c r="F151" s="154"/>
      <c r="G151" s="155"/>
      <c r="H151" s="140"/>
    </row>
    <row r="152">
      <c r="A152" s="140"/>
      <c r="B152" s="153"/>
      <c r="C152" s="140"/>
      <c r="D152" s="153"/>
      <c r="E152" s="153"/>
      <c r="F152" s="154"/>
      <c r="G152" s="155"/>
      <c r="H152" s="140"/>
    </row>
    <row r="153">
      <c r="A153" s="140"/>
      <c r="B153" s="153"/>
      <c r="C153" s="140"/>
      <c r="D153" s="153"/>
      <c r="E153" s="153"/>
      <c r="F153" s="154"/>
      <c r="G153" s="155"/>
      <c r="H153" s="140"/>
    </row>
    <row r="154">
      <c r="A154" s="140"/>
      <c r="B154" s="153"/>
      <c r="C154" s="140"/>
      <c r="D154" s="153"/>
      <c r="E154" s="153"/>
      <c r="F154" s="154"/>
      <c r="G154" s="155"/>
      <c r="H154" s="140"/>
    </row>
    <row r="155">
      <c r="A155" s="140"/>
      <c r="B155" s="153"/>
      <c r="C155" s="140"/>
      <c r="D155" s="153"/>
      <c r="E155" s="153"/>
      <c r="F155" s="154"/>
      <c r="G155" s="155"/>
      <c r="H155" s="140"/>
    </row>
    <row r="156">
      <c r="A156" s="140"/>
      <c r="B156" s="153"/>
      <c r="C156" s="140"/>
      <c r="D156" s="153"/>
      <c r="E156" s="153"/>
      <c r="F156" s="154"/>
      <c r="G156" s="155"/>
      <c r="H156" s="140"/>
    </row>
    <row r="157">
      <c r="A157" s="140"/>
      <c r="B157" s="153"/>
      <c r="C157" s="140"/>
      <c r="D157" s="153"/>
      <c r="E157" s="153"/>
      <c r="F157" s="154"/>
      <c r="G157" s="155"/>
      <c r="H157" s="140"/>
    </row>
    <row r="158">
      <c r="A158" s="140"/>
      <c r="B158" s="153"/>
      <c r="C158" s="140"/>
      <c r="D158" s="153"/>
      <c r="E158" s="153"/>
      <c r="F158" s="154"/>
      <c r="G158" s="155"/>
      <c r="H158" s="140"/>
    </row>
    <row r="159">
      <c r="A159" s="140"/>
      <c r="B159" s="153"/>
      <c r="C159" s="140"/>
      <c r="D159" s="153"/>
      <c r="E159" s="153"/>
      <c r="F159" s="154"/>
      <c r="G159" s="155"/>
      <c r="H159" s="140"/>
    </row>
    <row r="160">
      <c r="A160" s="140"/>
      <c r="B160" s="153"/>
      <c r="C160" s="140"/>
      <c r="D160" s="153"/>
      <c r="E160" s="153"/>
      <c r="F160" s="154"/>
      <c r="G160" s="155"/>
      <c r="H160" s="140"/>
    </row>
    <row r="161">
      <c r="A161" s="140"/>
      <c r="B161" s="153"/>
      <c r="C161" s="140"/>
      <c r="D161" s="153"/>
      <c r="E161" s="153"/>
      <c r="F161" s="154"/>
      <c r="G161" s="155"/>
      <c r="H161" s="140"/>
    </row>
    <row r="162">
      <c r="A162" s="140"/>
      <c r="B162" s="153"/>
      <c r="C162" s="140"/>
      <c r="D162" s="153"/>
      <c r="E162" s="153"/>
      <c r="F162" s="154"/>
      <c r="G162" s="155"/>
      <c r="H162" s="140"/>
    </row>
    <row r="163">
      <c r="A163" s="140"/>
      <c r="B163" s="153"/>
      <c r="C163" s="140"/>
      <c r="D163" s="153"/>
      <c r="E163" s="153"/>
      <c r="F163" s="154"/>
      <c r="G163" s="155"/>
      <c r="H163" s="140"/>
    </row>
    <row r="164">
      <c r="A164" s="140"/>
      <c r="B164" s="153"/>
      <c r="C164" s="140"/>
      <c r="D164" s="153"/>
      <c r="E164" s="153"/>
      <c r="F164" s="154"/>
      <c r="G164" s="155"/>
      <c r="H164" s="140"/>
    </row>
    <row r="165">
      <c r="A165" s="140"/>
      <c r="B165" s="153"/>
      <c r="C165" s="140"/>
      <c r="D165" s="153"/>
      <c r="E165" s="153"/>
      <c r="F165" s="154"/>
      <c r="G165" s="155"/>
      <c r="H165" s="140"/>
    </row>
    <row r="166">
      <c r="A166" s="140"/>
      <c r="B166" s="153"/>
      <c r="C166" s="140"/>
      <c r="D166" s="153"/>
      <c r="E166" s="153"/>
      <c r="F166" s="154"/>
      <c r="G166" s="155"/>
      <c r="H166" s="140"/>
    </row>
    <row r="167">
      <c r="A167" s="140"/>
      <c r="B167" s="153"/>
      <c r="C167" s="140"/>
      <c r="D167" s="153"/>
      <c r="E167" s="153"/>
      <c r="F167" s="154"/>
      <c r="G167" s="155"/>
      <c r="H167" s="140"/>
    </row>
    <row r="168">
      <c r="A168" s="140"/>
      <c r="B168" s="153"/>
      <c r="C168" s="140"/>
      <c r="D168" s="153"/>
      <c r="E168" s="153"/>
      <c r="F168" s="154"/>
      <c r="G168" s="155"/>
      <c r="H168" s="140"/>
    </row>
    <row r="169">
      <c r="A169" s="140"/>
      <c r="B169" s="153"/>
      <c r="C169" s="140"/>
      <c r="D169" s="153"/>
      <c r="E169" s="153"/>
      <c r="F169" s="154"/>
      <c r="G169" s="155"/>
      <c r="H169" s="140"/>
    </row>
    <row r="170">
      <c r="A170" s="140"/>
      <c r="B170" s="153"/>
      <c r="C170" s="140"/>
      <c r="D170" s="153"/>
      <c r="E170" s="153"/>
      <c r="F170" s="154"/>
      <c r="G170" s="155"/>
      <c r="H170" s="140"/>
    </row>
    <row r="171">
      <c r="A171" s="140"/>
      <c r="B171" s="153"/>
      <c r="C171" s="140"/>
      <c r="D171" s="153"/>
      <c r="E171" s="153"/>
      <c r="F171" s="154"/>
      <c r="G171" s="155"/>
      <c r="H171" s="140"/>
    </row>
    <row r="172">
      <c r="A172" s="140"/>
      <c r="B172" s="153"/>
      <c r="C172" s="140"/>
      <c r="D172" s="153"/>
      <c r="E172" s="153"/>
      <c r="F172" s="154"/>
      <c r="G172" s="155"/>
      <c r="H172" s="140"/>
    </row>
    <row r="173">
      <c r="A173" s="140"/>
      <c r="B173" s="153"/>
      <c r="C173" s="140"/>
      <c r="D173" s="153"/>
      <c r="E173" s="153"/>
      <c r="F173" s="154"/>
      <c r="G173" s="155"/>
      <c r="H173" s="140"/>
    </row>
    <row r="174">
      <c r="A174" s="140"/>
      <c r="B174" s="153"/>
      <c r="C174" s="140"/>
      <c r="D174" s="153"/>
      <c r="E174" s="153"/>
      <c r="F174" s="154"/>
      <c r="G174" s="155"/>
      <c r="H174" s="140"/>
    </row>
    <row r="175">
      <c r="A175" s="140"/>
      <c r="B175" s="153"/>
      <c r="C175" s="140"/>
      <c r="D175" s="153"/>
      <c r="E175" s="153"/>
      <c r="F175" s="154"/>
      <c r="G175" s="155"/>
      <c r="H175" s="140"/>
    </row>
    <row r="176">
      <c r="A176" s="140"/>
      <c r="B176" s="153"/>
      <c r="C176" s="140"/>
      <c r="D176" s="153"/>
      <c r="E176" s="153"/>
      <c r="F176" s="154"/>
      <c r="G176" s="155"/>
      <c r="H176" s="140"/>
    </row>
    <row r="177">
      <c r="A177" s="140"/>
      <c r="B177" s="153"/>
      <c r="C177" s="140"/>
      <c r="D177" s="153"/>
      <c r="E177" s="153"/>
      <c r="F177" s="154"/>
      <c r="G177" s="155"/>
      <c r="H177" s="140"/>
    </row>
    <row r="178">
      <c r="A178" s="140"/>
      <c r="B178" s="153"/>
      <c r="C178" s="140"/>
      <c r="D178" s="153"/>
      <c r="E178" s="153"/>
      <c r="F178" s="154"/>
      <c r="G178" s="155"/>
      <c r="H178" s="140"/>
    </row>
    <row r="179">
      <c r="A179" s="140"/>
      <c r="B179" s="153"/>
      <c r="C179" s="140"/>
      <c r="D179" s="153"/>
      <c r="E179" s="153"/>
      <c r="F179" s="154"/>
      <c r="G179" s="155"/>
      <c r="H179" s="140"/>
    </row>
    <row r="180">
      <c r="A180" s="140"/>
      <c r="B180" s="153"/>
      <c r="C180" s="140"/>
      <c r="D180" s="153"/>
      <c r="E180" s="153"/>
      <c r="F180" s="154"/>
      <c r="G180" s="155"/>
      <c r="H180" s="140"/>
    </row>
    <row r="181">
      <c r="A181" s="140"/>
      <c r="B181" s="153"/>
      <c r="C181" s="140"/>
      <c r="D181" s="153"/>
      <c r="E181" s="153"/>
      <c r="F181" s="154"/>
      <c r="G181" s="155"/>
      <c r="H181" s="140"/>
    </row>
    <row r="182">
      <c r="A182" s="140"/>
      <c r="B182" s="153"/>
      <c r="C182" s="140"/>
      <c r="D182" s="153"/>
      <c r="E182" s="153"/>
      <c r="F182" s="154"/>
      <c r="G182" s="155"/>
      <c r="H182" s="140"/>
    </row>
    <row r="183">
      <c r="A183" s="140"/>
      <c r="B183" s="153"/>
      <c r="C183" s="140"/>
      <c r="D183" s="153"/>
      <c r="E183" s="153"/>
      <c r="F183" s="154"/>
      <c r="G183" s="155"/>
      <c r="H183" s="140"/>
    </row>
    <row r="184">
      <c r="A184" s="140"/>
      <c r="B184" s="153"/>
      <c r="C184" s="140"/>
      <c r="D184" s="153"/>
      <c r="E184" s="153"/>
      <c r="F184" s="154"/>
      <c r="G184" s="155"/>
      <c r="H184" s="140"/>
    </row>
    <row r="185">
      <c r="A185" s="140"/>
      <c r="B185" s="153"/>
      <c r="C185" s="140"/>
      <c r="D185" s="153"/>
      <c r="E185" s="153"/>
      <c r="F185" s="154"/>
      <c r="G185" s="155"/>
      <c r="H185" s="140"/>
    </row>
    <row r="186">
      <c r="A186" s="140"/>
      <c r="B186" s="153"/>
      <c r="C186" s="140"/>
      <c r="D186" s="153"/>
      <c r="E186" s="153"/>
      <c r="F186" s="154"/>
      <c r="G186" s="155"/>
      <c r="H186" s="140"/>
    </row>
    <row r="187">
      <c r="A187" s="140"/>
      <c r="B187" s="153"/>
      <c r="C187" s="140"/>
      <c r="D187" s="153"/>
      <c r="E187" s="153"/>
      <c r="F187" s="154"/>
      <c r="G187" s="155"/>
      <c r="H187" s="140"/>
    </row>
    <row r="188">
      <c r="A188" s="140"/>
      <c r="B188" s="153"/>
      <c r="C188" s="140"/>
      <c r="D188" s="153"/>
      <c r="E188" s="153"/>
      <c r="F188" s="154"/>
      <c r="G188" s="155"/>
      <c r="H188" s="140"/>
    </row>
    <row r="189">
      <c r="A189" s="140"/>
      <c r="B189" s="153"/>
      <c r="C189" s="140"/>
      <c r="D189" s="153"/>
      <c r="E189" s="153"/>
      <c r="F189" s="154"/>
      <c r="G189" s="155"/>
      <c r="H189" s="140"/>
    </row>
    <row r="190">
      <c r="A190" s="140"/>
      <c r="B190" s="153"/>
      <c r="C190" s="140"/>
      <c r="D190" s="153"/>
      <c r="E190" s="153"/>
      <c r="F190" s="154"/>
      <c r="G190" s="155"/>
      <c r="H190" s="140"/>
    </row>
    <row r="191">
      <c r="A191" s="140"/>
      <c r="B191" s="153"/>
      <c r="C191" s="140"/>
      <c r="D191" s="153"/>
      <c r="E191" s="153"/>
      <c r="F191" s="154"/>
      <c r="G191" s="155"/>
      <c r="H191" s="140"/>
    </row>
    <row r="192">
      <c r="A192" s="140"/>
      <c r="B192" s="153"/>
      <c r="C192" s="140"/>
      <c r="D192" s="153"/>
      <c r="E192" s="153"/>
      <c r="F192" s="154"/>
      <c r="G192" s="155"/>
      <c r="H192" s="140"/>
    </row>
    <row r="193">
      <c r="A193" s="140"/>
      <c r="B193" s="153"/>
      <c r="C193" s="140"/>
      <c r="D193" s="153"/>
      <c r="E193" s="153"/>
      <c r="F193" s="154"/>
      <c r="G193" s="155"/>
      <c r="H193" s="140"/>
    </row>
    <row r="194">
      <c r="A194" s="140"/>
      <c r="B194" s="153"/>
      <c r="C194" s="140"/>
      <c r="D194" s="153"/>
      <c r="E194" s="153"/>
      <c r="F194" s="154"/>
      <c r="G194" s="155"/>
      <c r="H194" s="140"/>
    </row>
    <row r="195">
      <c r="A195" s="140"/>
      <c r="B195" s="153"/>
      <c r="C195" s="140"/>
      <c r="D195" s="153"/>
      <c r="E195" s="153"/>
      <c r="F195" s="154"/>
      <c r="G195" s="155"/>
      <c r="H195" s="140"/>
    </row>
    <row r="196">
      <c r="A196" s="140"/>
      <c r="B196" s="153"/>
      <c r="C196" s="140"/>
      <c r="D196" s="153"/>
      <c r="E196" s="153"/>
      <c r="F196" s="154"/>
      <c r="G196" s="155"/>
      <c r="H196" s="140"/>
    </row>
    <row r="197">
      <c r="A197" s="140"/>
      <c r="B197" s="153"/>
      <c r="C197" s="140"/>
      <c r="D197" s="153"/>
      <c r="E197" s="153"/>
      <c r="F197" s="154"/>
      <c r="G197" s="155"/>
      <c r="H197" s="140"/>
    </row>
    <row r="198">
      <c r="A198" s="140"/>
      <c r="B198" s="153"/>
      <c r="C198" s="140"/>
      <c r="D198" s="153"/>
      <c r="E198" s="153"/>
      <c r="F198" s="154"/>
      <c r="G198" s="155"/>
      <c r="H198" s="140"/>
    </row>
    <row r="199">
      <c r="A199" s="140"/>
      <c r="B199" s="153"/>
      <c r="C199" s="140"/>
      <c r="D199" s="153"/>
      <c r="E199" s="153"/>
      <c r="F199" s="154"/>
      <c r="G199" s="155"/>
      <c r="H199" s="140"/>
    </row>
    <row r="200">
      <c r="A200" s="140"/>
      <c r="B200" s="153"/>
      <c r="C200" s="140"/>
      <c r="D200" s="153"/>
      <c r="E200" s="153"/>
      <c r="F200" s="154"/>
      <c r="G200" s="155"/>
      <c r="H200" s="140"/>
    </row>
    <row r="201">
      <c r="A201" s="140"/>
      <c r="B201" s="153"/>
      <c r="C201" s="140"/>
      <c r="D201" s="153"/>
      <c r="E201" s="153"/>
      <c r="F201" s="154"/>
      <c r="G201" s="155"/>
      <c r="H201" s="140"/>
    </row>
    <row r="202">
      <c r="A202" s="140"/>
      <c r="B202" s="153"/>
      <c r="C202" s="140"/>
      <c r="D202" s="153"/>
      <c r="E202" s="153"/>
      <c r="F202" s="154"/>
      <c r="G202" s="155"/>
      <c r="H202" s="140"/>
    </row>
    <row r="203">
      <c r="A203" s="140"/>
      <c r="B203" s="153"/>
      <c r="C203" s="140"/>
      <c r="D203" s="153"/>
      <c r="E203" s="153"/>
      <c r="F203" s="154"/>
      <c r="G203" s="155"/>
      <c r="H203" s="140"/>
    </row>
    <row r="204">
      <c r="A204" s="140"/>
      <c r="B204" s="153"/>
      <c r="C204" s="140"/>
      <c r="D204" s="153"/>
      <c r="E204" s="153"/>
      <c r="F204" s="154"/>
      <c r="G204" s="155"/>
      <c r="H204" s="140"/>
    </row>
    <row r="205">
      <c r="A205" s="140"/>
      <c r="B205" s="153"/>
      <c r="C205" s="140"/>
      <c r="D205" s="153"/>
      <c r="E205" s="153"/>
      <c r="F205" s="154"/>
      <c r="G205" s="155"/>
      <c r="H205" s="140"/>
    </row>
    <row r="206">
      <c r="A206" s="140"/>
      <c r="B206" s="153"/>
      <c r="C206" s="140"/>
      <c r="D206" s="153"/>
      <c r="E206" s="153"/>
      <c r="F206" s="154"/>
      <c r="G206" s="155"/>
      <c r="H206" s="140"/>
    </row>
    <row r="207">
      <c r="A207" s="140"/>
      <c r="B207" s="153"/>
      <c r="C207" s="140"/>
      <c r="D207" s="153"/>
      <c r="E207" s="153"/>
      <c r="F207" s="154"/>
      <c r="G207" s="155"/>
      <c r="H207" s="140"/>
    </row>
    <row r="208">
      <c r="A208" s="140"/>
      <c r="B208" s="153"/>
      <c r="C208" s="140"/>
      <c r="D208" s="153"/>
      <c r="E208" s="153"/>
      <c r="F208" s="154"/>
      <c r="G208" s="155"/>
      <c r="H208" s="140"/>
    </row>
    <row r="209">
      <c r="A209" s="140"/>
      <c r="B209" s="153"/>
      <c r="C209" s="140"/>
      <c r="D209" s="153"/>
      <c r="E209" s="153"/>
      <c r="F209" s="154"/>
      <c r="G209" s="155"/>
      <c r="H209" s="140"/>
    </row>
    <row r="210">
      <c r="A210" s="140"/>
      <c r="B210" s="153"/>
      <c r="C210" s="140"/>
      <c r="D210" s="153"/>
      <c r="E210" s="153"/>
      <c r="F210" s="154"/>
      <c r="G210" s="155"/>
      <c r="H210" s="140"/>
    </row>
    <row r="211">
      <c r="A211" s="140"/>
      <c r="B211" s="153"/>
      <c r="C211" s="140"/>
      <c r="D211" s="153"/>
      <c r="E211" s="153"/>
      <c r="F211" s="154"/>
      <c r="G211" s="155"/>
      <c r="H211" s="140"/>
    </row>
    <row r="212">
      <c r="A212" s="140"/>
      <c r="B212" s="153"/>
      <c r="C212" s="140"/>
      <c r="D212" s="153"/>
      <c r="E212" s="153"/>
      <c r="F212" s="154"/>
      <c r="G212" s="155"/>
      <c r="H212" s="140"/>
    </row>
    <row r="213">
      <c r="A213" s="140"/>
      <c r="B213" s="153"/>
      <c r="C213" s="140"/>
      <c r="D213" s="153"/>
      <c r="E213" s="153"/>
      <c r="F213" s="154"/>
      <c r="G213" s="155"/>
      <c r="H213" s="140"/>
    </row>
    <row r="214">
      <c r="A214" s="140"/>
      <c r="B214" s="153"/>
      <c r="C214" s="140"/>
      <c r="D214" s="153"/>
      <c r="E214" s="153"/>
      <c r="F214" s="154"/>
      <c r="G214" s="155"/>
      <c r="H214" s="140"/>
    </row>
    <row r="215">
      <c r="A215" s="140"/>
      <c r="B215" s="153"/>
      <c r="C215" s="140"/>
      <c r="D215" s="153"/>
      <c r="E215" s="153"/>
      <c r="F215" s="154"/>
      <c r="G215" s="155"/>
      <c r="H215" s="140"/>
    </row>
    <row r="216">
      <c r="A216" s="140"/>
      <c r="B216" s="153"/>
      <c r="C216" s="140"/>
      <c r="D216" s="153"/>
      <c r="E216" s="153"/>
      <c r="F216" s="154"/>
      <c r="G216" s="155"/>
      <c r="H216" s="140"/>
    </row>
    <row r="217">
      <c r="A217" s="140"/>
      <c r="B217" s="153"/>
      <c r="C217" s="140"/>
      <c r="D217" s="153"/>
      <c r="E217" s="153"/>
      <c r="F217" s="154"/>
      <c r="G217" s="155"/>
      <c r="H217" s="140"/>
    </row>
    <row r="218">
      <c r="A218" s="140"/>
      <c r="B218" s="153"/>
      <c r="C218" s="140"/>
      <c r="D218" s="153"/>
      <c r="E218" s="153"/>
      <c r="F218" s="154"/>
      <c r="G218" s="155"/>
      <c r="H218" s="140"/>
    </row>
    <row r="219">
      <c r="A219" s="140"/>
      <c r="B219" s="153"/>
      <c r="C219" s="140"/>
      <c r="D219" s="153"/>
      <c r="E219" s="153"/>
      <c r="F219" s="154"/>
      <c r="G219" s="155"/>
      <c r="H219" s="140"/>
    </row>
    <row r="220">
      <c r="A220" s="140"/>
      <c r="B220" s="153"/>
      <c r="C220" s="140"/>
      <c r="D220" s="153"/>
      <c r="E220" s="153"/>
      <c r="F220" s="154"/>
      <c r="G220" s="155"/>
      <c r="H220" s="140"/>
    </row>
    <row r="221">
      <c r="A221" s="140"/>
      <c r="B221" s="153"/>
      <c r="C221" s="140"/>
      <c r="D221" s="153"/>
      <c r="E221" s="153"/>
      <c r="F221" s="154"/>
      <c r="G221" s="155"/>
      <c r="H221" s="140"/>
    </row>
    <row r="222">
      <c r="A222" s="140"/>
      <c r="B222" s="153"/>
      <c r="C222" s="140"/>
      <c r="D222" s="153"/>
      <c r="E222" s="153"/>
      <c r="F222" s="154"/>
      <c r="G222" s="155"/>
      <c r="H222" s="140"/>
    </row>
    <row r="223">
      <c r="A223" s="140"/>
      <c r="B223" s="153"/>
      <c r="C223" s="140"/>
      <c r="D223" s="153"/>
      <c r="E223" s="153"/>
      <c r="F223" s="154"/>
      <c r="G223" s="155"/>
      <c r="H223" s="140"/>
    </row>
    <row r="224">
      <c r="A224" s="140"/>
      <c r="B224" s="153"/>
      <c r="C224" s="140"/>
      <c r="D224" s="153"/>
      <c r="E224" s="153"/>
      <c r="F224" s="154"/>
      <c r="G224" s="155"/>
      <c r="H224" s="140"/>
    </row>
    <row r="225">
      <c r="A225" s="140"/>
      <c r="B225" s="153"/>
      <c r="C225" s="140"/>
      <c r="D225" s="153"/>
      <c r="E225" s="153"/>
      <c r="F225" s="154"/>
      <c r="G225" s="155"/>
      <c r="H225" s="140"/>
    </row>
    <row r="226">
      <c r="A226" s="140"/>
      <c r="B226" s="153"/>
      <c r="C226" s="140"/>
      <c r="D226" s="153"/>
      <c r="E226" s="153"/>
      <c r="F226" s="154"/>
      <c r="G226" s="155"/>
      <c r="H226" s="140"/>
    </row>
    <row r="227">
      <c r="A227" s="140"/>
      <c r="B227" s="153"/>
      <c r="C227" s="140"/>
      <c r="D227" s="153"/>
      <c r="E227" s="153"/>
      <c r="F227" s="154"/>
      <c r="G227" s="155"/>
      <c r="H227" s="140"/>
    </row>
    <row r="228">
      <c r="A228" s="140"/>
      <c r="B228" s="153"/>
      <c r="C228" s="140"/>
      <c r="D228" s="153"/>
      <c r="E228" s="153"/>
      <c r="F228" s="154"/>
      <c r="G228" s="155"/>
      <c r="H228" s="140"/>
    </row>
    <row r="229">
      <c r="A229" s="140"/>
      <c r="B229" s="153"/>
      <c r="C229" s="140"/>
      <c r="D229" s="153"/>
      <c r="E229" s="153"/>
      <c r="F229" s="154"/>
      <c r="G229" s="155"/>
      <c r="H229" s="140"/>
    </row>
    <row r="230">
      <c r="A230" s="140"/>
      <c r="B230" s="153"/>
      <c r="C230" s="140"/>
      <c r="D230" s="153"/>
      <c r="E230" s="153"/>
      <c r="F230" s="154"/>
      <c r="G230" s="155"/>
      <c r="H230" s="140"/>
    </row>
    <row r="231">
      <c r="A231" s="140"/>
      <c r="B231" s="153"/>
      <c r="C231" s="140"/>
      <c r="D231" s="153"/>
      <c r="E231" s="153"/>
      <c r="F231" s="154"/>
      <c r="G231" s="155"/>
      <c r="H231" s="140"/>
    </row>
    <row r="232">
      <c r="A232" s="140"/>
      <c r="B232" s="153"/>
      <c r="C232" s="140"/>
      <c r="D232" s="153"/>
      <c r="E232" s="153"/>
      <c r="F232" s="154"/>
      <c r="G232" s="155"/>
      <c r="H232" s="140"/>
    </row>
    <row r="233">
      <c r="A233" s="140"/>
      <c r="B233" s="153"/>
      <c r="C233" s="140"/>
      <c r="D233" s="153"/>
      <c r="E233" s="153"/>
      <c r="F233" s="154"/>
      <c r="G233" s="155"/>
      <c r="H233" s="140"/>
    </row>
    <row r="234">
      <c r="A234" s="140"/>
      <c r="B234" s="153"/>
      <c r="C234" s="140"/>
      <c r="D234" s="153"/>
      <c r="E234" s="153"/>
      <c r="F234" s="154"/>
      <c r="G234" s="155"/>
      <c r="H234" s="140"/>
    </row>
    <row r="235">
      <c r="A235" s="140"/>
      <c r="B235" s="153"/>
      <c r="C235" s="140"/>
      <c r="D235" s="153"/>
      <c r="E235" s="153"/>
      <c r="F235" s="154"/>
      <c r="G235" s="155"/>
      <c r="H235" s="140"/>
    </row>
    <row r="236">
      <c r="A236" s="140"/>
      <c r="B236" s="153"/>
      <c r="C236" s="140"/>
      <c r="D236" s="153"/>
      <c r="E236" s="153"/>
      <c r="F236" s="154"/>
      <c r="G236" s="155"/>
      <c r="H236" s="140"/>
    </row>
    <row r="237">
      <c r="A237" s="140"/>
      <c r="B237" s="153"/>
      <c r="C237" s="140"/>
      <c r="D237" s="153"/>
      <c r="E237" s="153"/>
      <c r="F237" s="154"/>
      <c r="G237" s="155"/>
      <c r="H237" s="140"/>
    </row>
    <row r="238">
      <c r="A238" s="140"/>
      <c r="B238" s="153"/>
      <c r="C238" s="140"/>
      <c r="D238" s="153"/>
      <c r="E238" s="153"/>
      <c r="F238" s="154"/>
      <c r="G238" s="155"/>
      <c r="H238" s="140"/>
    </row>
    <row r="239">
      <c r="A239" s="140"/>
      <c r="B239" s="153"/>
      <c r="C239" s="140"/>
      <c r="D239" s="153"/>
      <c r="E239" s="153"/>
      <c r="F239" s="154"/>
      <c r="G239" s="155"/>
      <c r="H239" s="140"/>
    </row>
    <row r="240">
      <c r="A240" s="140"/>
      <c r="B240" s="153"/>
      <c r="C240" s="140"/>
      <c r="D240" s="153"/>
      <c r="E240" s="153"/>
      <c r="F240" s="154"/>
      <c r="G240" s="155"/>
      <c r="H240" s="140"/>
    </row>
    <row r="241">
      <c r="A241" s="140"/>
      <c r="B241" s="153"/>
      <c r="C241" s="140"/>
      <c r="D241" s="153"/>
      <c r="E241" s="153"/>
      <c r="F241" s="154"/>
      <c r="G241" s="155"/>
      <c r="H241" s="140"/>
    </row>
    <row r="242">
      <c r="A242" s="140"/>
      <c r="B242" s="153"/>
      <c r="C242" s="140"/>
      <c r="D242" s="153"/>
      <c r="E242" s="153"/>
      <c r="F242" s="154"/>
      <c r="G242" s="155"/>
      <c r="H242" s="140"/>
    </row>
    <row r="243">
      <c r="A243" s="140"/>
      <c r="B243" s="153"/>
      <c r="C243" s="140"/>
      <c r="D243" s="153"/>
      <c r="E243" s="153"/>
      <c r="F243" s="154"/>
      <c r="G243" s="155"/>
      <c r="H243" s="140"/>
    </row>
    <row r="244">
      <c r="A244" s="140"/>
      <c r="B244" s="153"/>
      <c r="C244" s="140"/>
      <c r="D244" s="153"/>
      <c r="E244" s="153"/>
      <c r="F244" s="154"/>
      <c r="G244" s="155"/>
      <c r="H244" s="140"/>
    </row>
    <row r="245">
      <c r="A245" s="140"/>
      <c r="B245" s="153"/>
      <c r="C245" s="140"/>
      <c r="D245" s="153"/>
      <c r="E245" s="153"/>
      <c r="F245" s="154"/>
      <c r="G245" s="155"/>
      <c r="H245" s="140"/>
    </row>
    <row r="246">
      <c r="A246" s="140"/>
      <c r="B246" s="153"/>
      <c r="C246" s="140"/>
      <c r="D246" s="153"/>
      <c r="E246" s="153"/>
      <c r="F246" s="154"/>
      <c r="G246" s="155"/>
      <c r="H246" s="140"/>
    </row>
    <row r="247">
      <c r="A247" s="140"/>
      <c r="B247" s="153"/>
      <c r="C247" s="140"/>
      <c r="D247" s="153"/>
      <c r="E247" s="153"/>
      <c r="F247" s="154"/>
      <c r="G247" s="155"/>
      <c r="H247" s="140"/>
    </row>
    <row r="248">
      <c r="A248" s="140"/>
      <c r="B248" s="153"/>
      <c r="C248" s="140"/>
      <c r="D248" s="153"/>
      <c r="E248" s="153"/>
      <c r="F248" s="154"/>
      <c r="G248" s="155"/>
      <c r="H248" s="140"/>
    </row>
    <row r="249">
      <c r="A249" s="140"/>
      <c r="B249" s="153"/>
      <c r="C249" s="140"/>
      <c r="D249" s="153"/>
      <c r="E249" s="153"/>
      <c r="F249" s="154"/>
      <c r="G249" s="155"/>
      <c r="H249" s="140"/>
    </row>
    <row r="250">
      <c r="A250" s="140"/>
      <c r="B250" s="153"/>
      <c r="C250" s="140"/>
      <c r="D250" s="153"/>
      <c r="E250" s="153"/>
      <c r="F250" s="154"/>
      <c r="G250" s="155"/>
      <c r="H250" s="140"/>
    </row>
    <row r="251">
      <c r="A251" s="140"/>
      <c r="B251" s="153"/>
      <c r="C251" s="140"/>
      <c r="D251" s="153"/>
      <c r="E251" s="153"/>
      <c r="F251" s="154"/>
      <c r="G251" s="155"/>
      <c r="H251" s="140"/>
    </row>
    <row r="252">
      <c r="A252" s="140"/>
      <c r="B252" s="153"/>
      <c r="C252" s="140"/>
      <c r="D252" s="153"/>
      <c r="E252" s="153"/>
      <c r="F252" s="154"/>
      <c r="G252" s="155"/>
      <c r="H252" s="140"/>
    </row>
    <row r="253">
      <c r="A253" s="140"/>
      <c r="B253" s="153"/>
      <c r="C253" s="140"/>
      <c r="D253" s="153"/>
      <c r="E253" s="153"/>
      <c r="F253" s="154"/>
      <c r="G253" s="155"/>
      <c r="H253" s="140"/>
    </row>
    <row r="254">
      <c r="A254" s="140"/>
      <c r="B254" s="153"/>
      <c r="C254" s="140"/>
      <c r="D254" s="153"/>
      <c r="E254" s="153"/>
      <c r="F254" s="154"/>
      <c r="G254" s="155"/>
      <c r="H254" s="140"/>
    </row>
    <row r="255">
      <c r="A255" s="140"/>
      <c r="B255" s="153"/>
      <c r="C255" s="140"/>
      <c r="D255" s="153"/>
      <c r="E255" s="153"/>
      <c r="F255" s="154"/>
      <c r="G255" s="155"/>
      <c r="H255" s="140"/>
    </row>
    <row r="256">
      <c r="A256" s="140"/>
      <c r="B256" s="153"/>
      <c r="C256" s="140"/>
      <c r="D256" s="153"/>
      <c r="E256" s="153"/>
      <c r="F256" s="154"/>
      <c r="G256" s="155"/>
      <c r="H256" s="140"/>
    </row>
    <row r="257">
      <c r="A257" s="140"/>
      <c r="B257" s="153"/>
      <c r="C257" s="140"/>
      <c r="D257" s="153"/>
      <c r="E257" s="153"/>
      <c r="F257" s="154"/>
      <c r="G257" s="155"/>
      <c r="H257" s="140"/>
    </row>
    <row r="258">
      <c r="A258" s="140"/>
      <c r="B258" s="153"/>
      <c r="C258" s="140"/>
      <c r="D258" s="153"/>
      <c r="E258" s="153"/>
      <c r="F258" s="154"/>
      <c r="G258" s="155"/>
      <c r="H258" s="140"/>
    </row>
    <row r="259">
      <c r="A259" s="140"/>
      <c r="B259" s="153"/>
      <c r="C259" s="140"/>
      <c r="D259" s="153"/>
      <c r="E259" s="153"/>
      <c r="F259" s="154"/>
      <c r="G259" s="155"/>
      <c r="H259" s="140"/>
    </row>
    <row r="260">
      <c r="A260" s="140"/>
      <c r="B260" s="153"/>
      <c r="C260" s="140"/>
      <c r="D260" s="153"/>
      <c r="E260" s="153"/>
      <c r="F260" s="154"/>
      <c r="G260" s="155"/>
      <c r="H260" s="140"/>
    </row>
    <row r="261">
      <c r="A261" s="140"/>
      <c r="B261" s="153"/>
      <c r="C261" s="140"/>
      <c r="D261" s="153"/>
      <c r="E261" s="153"/>
      <c r="F261" s="154"/>
      <c r="G261" s="155"/>
      <c r="H261" s="140"/>
    </row>
    <row r="262">
      <c r="A262" s="140"/>
      <c r="B262" s="153"/>
      <c r="C262" s="140"/>
      <c r="D262" s="153"/>
      <c r="E262" s="153"/>
      <c r="F262" s="154"/>
      <c r="G262" s="155"/>
      <c r="H262" s="140"/>
    </row>
    <row r="263">
      <c r="A263" s="140"/>
      <c r="B263" s="153"/>
      <c r="C263" s="140"/>
      <c r="D263" s="153"/>
      <c r="E263" s="153"/>
      <c r="F263" s="154"/>
      <c r="G263" s="155"/>
      <c r="H263" s="140"/>
    </row>
    <row r="264">
      <c r="A264" s="140"/>
      <c r="B264" s="153"/>
      <c r="C264" s="140"/>
      <c r="D264" s="153"/>
      <c r="E264" s="153"/>
      <c r="F264" s="154"/>
      <c r="G264" s="155"/>
      <c r="H264" s="140"/>
    </row>
    <row r="265">
      <c r="A265" s="140"/>
      <c r="B265" s="153"/>
      <c r="C265" s="140"/>
      <c r="D265" s="153"/>
      <c r="E265" s="153"/>
      <c r="F265" s="154"/>
      <c r="G265" s="155"/>
      <c r="H265" s="140"/>
    </row>
    <row r="266">
      <c r="A266" s="140"/>
      <c r="B266" s="153"/>
      <c r="C266" s="140"/>
      <c r="D266" s="153"/>
      <c r="E266" s="153"/>
      <c r="F266" s="154"/>
      <c r="G266" s="155"/>
      <c r="H266" s="140"/>
    </row>
    <row r="267">
      <c r="A267" s="140"/>
      <c r="B267" s="153"/>
      <c r="C267" s="140"/>
      <c r="D267" s="153"/>
      <c r="E267" s="153"/>
      <c r="F267" s="154"/>
      <c r="G267" s="155"/>
      <c r="H267" s="140"/>
    </row>
    <row r="268">
      <c r="A268" s="140"/>
      <c r="B268" s="153"/>
      <c r="C268" s="140"/>
      <c r="D268" s="153"/>
      <c r="E268" s="153"/>
      <c r="F268" s="154"/>
      <c r="G268" s="155"/>
      <c r="H268" s="140"/>
    </row>
    <row r="269">
      <c r="A269" s="140"/>
      <c r="B269" s="153"/>
      <c r="C269" s="140"/>
      <c r="D269" s="153"/>
      <c r="E269" s="153"/>
      <c r="F269" s="154"/>
      <c r="G269" s="155"/>
      <c r="H269" s="140"/>
    </row>
    <row r="270">
      <c r="A270" s="140"/>
      <c r="B270" s="153"/>
      <c r="C270" s="140"/>
      <c r="D270" s="153"/>
      <c r="E270" s="153"/>
      <c r="F270" s="154"/>
      <c r="G270" s="155"/>
      <c r="H270" s="140"/>
    </row>
    <row r="271">
      <c r="A271" s="140"/>
      <c r="B271" s="153"/>
      <c r="C271" s="140"/>
      <c r="D271" s="153"/>
      <c r="E271" s="153"/>
      <c r="F271" s="154"/>
      <c r="G271" s="155"/>
      <c r="H271" s="140"/>
    </row>
    <row r="272">
      <c r="A272" s="140"/>
      <c r="B272" s="153"/>
      <c r="C272" s="140"/>
      <c r="D272" s="153"/>
      <c r="E272" s="153"/>
      <c r="F272" s="154"/>
      <c r="G272" s="155"/>
      <c r="H272" s="140"/>
    </row>
    <row r="273">
      <c r="A273" s="140"/>
      <c r="B273" s="153"/>
      <c r="C273" s="140"/>
      <c r="D273" s="153"/>
      <c r="E273" s="153"/>
      <c r="F273" s="154"/>
      <c r="G273" s="155"/>
      <c r="H273" s="140"/>
    </row>
    <row r="274">
      <c r="A274" s="140"/>
      <c r="B274" s="153"/>
      <c r="C274" s="140"/>
      <c r="D274" s="153"/>
      <c r="E274" s="153"/>
      <c r="F274" s="154"/>
      <c r="G274" s="155"/>
      <c r="H274" s="140"/>
    </row>
    <row r="275">
      <c r="A275" s="140"/>
      <c r="B275" s="153"/>
      <c r="C275" s="140"/>
      <c r="D275" s="153"/>
      <c r="E275" s="153"/>
      <c r="F275" s="154"/>
      <c r="G275" s="155"/>
      <c r="H275" s="140"/>
    </row>
    <row r="276">
      <c r="A276" s="140"/>
      <c r="B276" s="153"/>
      <c r="C276" s="140"/>
      <c r="D276" s="153"/>
      <c r="E276" s="153"/>
      <c r="F276" s="154"/>
      <c r="G276" s="155"/>
      <c r="H276" s="140"/>
    </row>
    <row r="277">
      <c r="A277" s="140"/>
      <c r="B277" s="153"/>
      <c r="C277" s="140"/>
      <c r="D277" s="153"/>
      <c r="E277" s="153"/>
      <c r="F277" s="154"/>
      <c r="G277" s="155"/>
      <c r="H277" s="140"/>
    </row>
    <row r="278">
      <c r="A278" s="140"/>
      <c r="B278" s="153"/>
      <c r="C278" s="140"/>
      <c r="D278" s="153"/>
      <c r="E278" s="153"/>
      <c r="F278" s="154"/>
      <c r="G278" s="155"/>
      <c r="H278" s="140"/>
    </row>
    <row r="279">
      <c r="A279" s="140"/>
      <c r="B279" s="153"/>
      <c r="C279" s="140"/>
      <c r="D279" s="153"/>
      <c r="E279" s="153"/>
      <c r="F279" s="154"/>
      <c r="G279" s="155"/>
      <c r="H279" s="140"/>
    </row>
    <row r="280">
      <c r="A280" s="140"/>
      <c r="B280" s="153"/>
      <c r="C280" s="140"/>
      <c r="D280" s="153"/>
      <c r="E280" s="153"/>
      <c r="F280" s="154"/>
      <c r="G280" s="155"/>
      <c r="H280" s="140"/>
    </row>
    <row r="281">
      <c r="A281" s="140"/>
      <c r="B281" s="153"/>
      <c r="C281" s="140"/>
      <c r="D281" s="153"/>
      <c r="E281" s="153"/>
      <c r="F281" s="154"/>
      <c r="G281" s="155"/>
      <c r="H281" s="140"/>
    </row>
    <row r="282">
      <c r="A282" s="140"/>
      <c r="B282" s="153"/>
      <c r="C282" s="140"/>
      <c r="D282" s="153"/>
      <c r="E282" s="153"/>
      <c r="F282" s="154"/>
      <c r="G282" s="155"/>
      <c r="H282" s="140"/>
    </row>
    <row r="283">
      <c r="A283" s="140"/>
      <c r="B283" s="153"/>
      <c r="C283" s="140"/>
      <c r="D283" s="153"/>
      <c r="E283" s="153"/>
      <c r="F283" s="154"/>
      <c r="G283" s="155"/>
      <c r="H283" s="140"/>
    </row>
    <row r="284">
      <c r="A284" s="140"/>
      <c r="B284" s="153"/>
      <c r="C284" s="140"/>
      <c r="D284" s="153"/>
      <c r="E284" s="153"/>
      <c r="F284" s="154"/>
      <c r="G284" s="155"/>
      <c r="H284" s="140"/>
    </row>
    <row r="285">
      <c r="A285" s="140"/>
      <c r="B285" s="153"/>
      <c r="C285" s="140"/>
      <c r="D285" s="153"/>
      <c r="E285" s="153"/>
      <c r="F285" s="154"/>
      <c r="G285" s="155"/>
      <c r="H285" s="140"/>
    </row>
    <row r="286">
      <c r="A286" s="140"/>
      <c r="B286" s="153"/>
      <c r="C286" s="140"/>
      <c r="D286" s="153"/>
      <c r="E286" s="153"/>
      <c r="F286" s="154"/>
      <c r="G286" s="155"/>
      <c r="H286" s="140"/>
    </row>
    <row r="287">
      <c r="A287" s="140"/>
      <c r="B287" s="153"/>
      <c r="C287" s="140"/>
      <c r="D287" s="153"/>
      <c r="E287" s="153"/>
      <c r="F287" s="154"/>
      <c r="G287" s="155"/>
      <c r="H287" s="140"/>
    </row>
    <row r="288">
      <c r="A288" s="140"/>
      <c r="B288" s="153"/>
      <c r="C288" s="140"/>
      <c r="D288" s="153"/>
      <c r="E288" s="153"/>
      <c r="F288" s="154"/>
      <c r="G288" s="155"/>
      <c r="H288" s="140"/>
    </row>
    <row r="289">
      <c r="A289" s="140"/>
      <c r="B289" s="153"/>
      <c r="C289" s="140"/>
      <c r="D289" s="153"/>
      <c r="E289" s="153"/>
      <c r="F289" s="154"/>
      <c r="G289" s="155"/>
      <c r="H289" s="140"/>
    </row>
    <row r="290">
      <c r="A290" s="140"/>
      <c r="B290" s="153"/>
      <c r="C290" s="140"/>
      <c r="D290" s="153"/>
      <c r="E290" s="153"/>
      <c r="F290" s="154"/>
      <c r="G290" s="155"/>
      <c r="H290" s="140"/>
    </row>
    <row r="291">
      <c r="A291" s="140"/>
      <c r="B291" s="153"/>
      <c r="C291" s="140"/>
      <c r="D291" s="153"/>
      <c r="E291" s="153"/>
      <c r="F291" s="154"/>
      <c r="G291" s="155"/>
      <c r="H291" s="140"/>
    </row>
    <row r="292">
      <c r="A292" s="140"/>
      <c r="B292" s="153"/>
      <c r="C292" s="140"/>
      <c r="D292" s="153"/>
      <c r="E292" s="153"/>
      <c r="F292" s="154"/>
      <c r="G292" s="155"/>
      <c r="H292" s="140"/>
    </row>
    <row r="293">
      <c r="A293" s="140"/>
      <c r="B293" s="153"/>
      <c r="C293" s="140"/>
      <c r="D293" s="153"/>
      <c r="E293" s="153"/>
      <c r="F293" s="154"/>
      <c r="G293" s="155"/>
      <c r="H293" s="140"/>
    </row>
    <row r="294">
      <c r="A294" s="140"/>
      <c r="B294" s="153"/>
      <c r="C294" s="140"/>
      <c r="D294" s="153"/>
      <c r="E294" s="153"/>
      <c r="F294" s="154"/>
      <c r="G294" s="155"/>
      <c r="H294" s="140"/>
    </row>
    <row r="295">
      <c r="A295" s="140"/>
      <c r="B295" s="153"/>
      <c r="C295" s="140"/>
      <c r="D295" s="153"/>
      <c r="E295" s="153"/>
      <c r="F295" s="154"/>
      <c r="G295" s="155"/>
      <c r="H295" s="140"/>
    </row>
    <row r="296">
      <c r="A296" s="140"/>
      <c r="B296" s="153"/>
      <c r="C296" s="140"/>
      <c r="D296" s="153"/>
      <c r="E296" s="153"/>
      <c r="F296" s="154"/>
      <c r="G296" s="155"/>
      <c r="H296" s="140"/>
    </row>
    <row r="297">
      <c r="A297" s="140"/>
      <c r="B297" s="153"/>
      <c r="C297" s="140"/>
      <c r="D297" s="153"/>
      <c r="E297" s="153"/>
      <c r="F297" s="154"/>
      <c r="G297" s="155"/>
      <c r="H297" s="140"/>
    </row>
    <row r="298">
      <c r="A298" s="140"/>
      <c r="B298" s="153"/>
      <c r="C298" s="140"/>
      <c r="D298" s="153"/>
      <c r="E298" s="153"/>
      <c r="F298" s="154"/>
      <c r="G298" s="155"/>
      <c r="H298" s="140"/>
    </row>
    <row r="299">
      <c r="A299" s="140"/>
      <c r="B299" s="153"/>
      <c r="C299" s="140"/>
      <c r="D299" s="153"/>
      <c r="E299" s="153"/>
      <c r="F299" s="154"/>
      <c r="G299" s="155"/>
      <c r="H299" s="140"/>
    </row>
    <row r="300">
      <c r="A300" s="140"/>
      <c r="B300" s="153"/>
      <c r="C300" s="140"/>
      <c r="D300" s="153"/>
      <c r="E300" s="153"/>
      <c r="F300" s="154"/>
      <c r="G300" s="155"/>
      <c r="H300" s="140"/>
    </row>
    <row r="301">
      <c r="A301" s="140"/>
      <c r="B301" s="153"/>
      <c r="C301" s="140"/>
      <c r="D301" s="153"/>
      <c r="E301" s="153"/>
      <c r="F301" s="154"/>
      <c r="G301" s="155"/>
      <c r="H301" s="140"/>
    </row>
    <row r="302">
      <c r="A302" s="140"/>
      <c r="B302" s="153"/>
      <c r="C302" s="140"/>
      <c r="D302" s="153"/>
      <c r="E302" s="153"/>
      <c r="F302" s="154"/>
      <c r="G302" s="155"/>
      <c r="H302" s="140"/>
    </row>
    <row r="303">
      <c r="A303" s="140"/>
      <c r="B303" s="153"/>
      <c r="C303" s="140"/>
      <c r="D303" s="153"/>
      <c r="E303" s="153"/>
      <c r="F303" s="154"/>
      <c r="G303" s="155"/>
      <c r="H303" s="140"/>
    </row>
    <row r="304">
      <c r="A304" s="140"/>
      <c r="B304" s="153"/>
      <c r="C304" s="140"/>
      <c r="D304" s="153"/>
      <c r="E304" s="153"/>
      <c r="F304" s="154"/>
      <c r="G304" s="155"/>
      <c r="H304" s="140"/>
    </row>
    <row r="305">
      <c r="A305" s="140"/>
      <c r="B305" s="153"/>
      <c r="C305" s="140"/>
      <c r="D305" s="153"/>
      <c r="E305" s="153"/>
      <c r="F305" s="154"/>
      <c r="G305" s="155"/>
      <c r="H305" s="140"/>
    </row>
    <row r="306">
      <c r="A306" s="140"/>
      <c r="B306" s="153"/>
      <c r="C306" s="140"/>
      <c r="D306" s="153"/>
      <c r="E306" s="153"/>
      <c r="F306" s="154"/>
      <c r="G306" s="155"/>
      <c r="H306" s="140"/>
    </row>
    <row r="307">
      <c r="A307" s="140"/>
      <c r="B307" s="153"/>
      <c r="C307" s="140"/>
      <c r="D307" s="153"/>
      <c r="E307" s="153"/>
      <c r="F307" s="154"/>
      <c r="G307" s="155"/>
      <c r="H307" s="140"/>
    </row>
    <row r="308">
      <c r="A308" s="140"/>
      <c r="B308" s="153"/>
      <c r="C308" s="140"/>
      <c r="D308" s="153"/>
      <c r="E308" s="153"/>
      <c r="F308" s="154"/>
      <c r="G308" s="155"/>
      <c r="H308" s="140"/>
    </row>
    <row r="309">
      <c r="A309" s="140"/>
      <c r="B309" s="153"/>
      <c r="C309" s="140"/>
      <c r="D309" s="153"/>
      <c r="E309" s="153"/>
      <c r="F309" s="154"/>
      <c r="G309" s="155"/>
      <c r="H309" s="140"/>
    </row>
    <row r="310">
      <c r="A310" s="140"/>
      <c r="B310" s="153"/>
      <c r="C310" s="140"/>
      <c r="D310" s="153"/>
      <c r="E310" s="153"/>
      <c r="F310" s="154"/>
      <c r="G310" s="155"/>
      <c r="H310" s="140"/>
    </row>
    <row r="311">
      <c r="A311" s="140"/>
      <c r="B311" s="153"/>
      <c r="C311" s="140"/>
      <c r="D311" s="153"/>
      <c r="E311" s="153"/>
      <c r="F311" s="154"/>
      <c r="G311" s="155"/>
      <c r="H311" s="140"/>
    </row>
    <row r="312">
      <c r="A312" s="140"/>
      <c r="B312" s="153"/>
      <c r="C312" s="140"/>
      <c r="D312" s="153"/>
      <c r="E312" s="153"/>
      <c r="F312" s="154"/>
      <c r="G312" s="155"/>
      <c r="H312" s="140"/>
    </row>
    <row r="313">
      <c r="A313" s="140"/>
      <c r="B313" s="153"/>
      <c r="C313" s="140"/>
      <c r="D313" s="153"/>
      <c r="E313" s="153"/>
      <c r="F313" s="154"/>
      <c r="G313" s="155"/>
      <c r="H313" s="140"/>
    </row>
    <row r="314">
      <c r="A314" s="140"/>
      <c r="B314" s="153"/>
      <c r="C314" s="140"/>
      <c r="D314" s="153"/>
      <c r="E314" s="153"/>
      <c r="F314" s="154"/>
      <c r="G314" s="155"/>
      <c r="H314" s="140"/>
    </row>
    <row r="315">
      <c r="A315" s="140"/>
      <c r="B315" s="153"/>
      <c r="C315" s="140"/>
      <c r="D315" s="153"/>
      <c r="E315" s="153"/>
      <c r="F315" s="154"/>
      <c r="G315" s="155"/>
      <c r="H315" s="140"/>
    </row>
    <row r="316">
      <c r="A316" s="140"/>
      <c r="B316" s="153"/>
      <c r="C316" s="140"/>
      <c r="D316" s="153"/>
      <c r="E316" s="153"/>
      <c r="F316" s="154"/>
      <c r="G316" s="155"/>
      <c r="H316" s="140"/>
    </row>
    <row r="317">
      <c r="A317" s="140"/>
      <c r="B317" s="153"/>
      <c r="C317" s="140"/>
      <c r="D317" s="153"/>
      <c r="E317" s="153"/>
      <c r="F317" s="154"/>
      <c r="G317" s="155"/>
      <c r="H317" s="140"/>
    </row>
    <row r="318">
      <c r="A318" s="140"/>
      <c r="B318" s="153"/>
      <c r="C318" s="140"/>
      <c r="D318" s="153"/>
      <c r="E318" s="153"/>
      <c r="F318" s="154"/>
      <c r="G318" s="155"/>
      <c r="H318" s="140"/>
    </row>
    <row r="319">
      <c r="A319" s="140"/>
      <c r="B319" s="153"/>
      <c r="C319" s="140"/>
      <c r="D319" s="153"/>
      <c r="E319" s="153"/>
      <c r="F319" s="154"/>
      <c r="G319" s="155"/>
      <c r="H319" s="140"/>
    </row>
    <row r="320">
      <c r="A320" s="140"/>
      <c r="B320" s="153"/>
      <c r="C320" s="140"/>
      <c r="D320" s="153"/>
      <c r="E320" s="153"/>
      <c r="F320" s="154"/>
      <c r="G320" s="155"/>
      <c r="H320" s="140"/>
    </row>
    <row r="321">
      <c r="A321" s="140"/>
      <c r="B321" s="153"/>
      <c r="C321" s="140"/>
      <c r="D321" s="153"/>
      <c r="E321" s="153"/>
      <c r="F321" s="154"/>
      <c r="G321" s="155"/>
      <c r="H321" s="140"/>
    </row>
    <row r="322">
      <c r="A322" s="140"/>
      <c r="B322" s="153"/>
      <c r="C322" s="140"/>
      <c r="D322" s="153"/>
      <c r="E322" s="153"/>
      <c r="F322" s="154"/>
      <c r="G322" s="155"/>
      <c r="H322" s="140"/>
    </row>
    <row r="323">
      <c r="A323" s="140"/>
      <c r="B323" s="153"/>
      <c r="C323" s="140"/>
      <c r="D323" s="153"/>
      <c r="E323" s="153"/>
      <c r="F323" s="154"/>
      <c r="G323" s="155"/>
      <c r="H323" s="140"/>
    </row>
    <row r="324">
      <c r="A324" s="140"/>
      <c r="B324" s="153"/>
      <c r="C324" s="140"/>
      <c r="D324" s="153"/>
      <c r="E324" s="153"/>
      <c r="F324" s="154"/>
      <c r="G324" s="155"/>
      <c r="H324" s="140"/>
    </row>
    <row r="325">
      <c r="A325" s="140"/>
      <c r="B325" s="153"/>
      <c r="C325" s="140"/>
      <c r="D325" s="153"/>
      <c r="E325" s="153"/>
      <c r="F325" s="154"/>
      <c r="G325" s="155"/>
      <c r="H325" s="140"/>
    </row>
    <row r="326">
      <c r="A326" s="140"/>
      <c r="B326" s="153"/>
      <c r="C326" s="140"/>
      <c r="D326" s="153"/>
      <c r="E326" s="153"/>
      <c r="F326" s="154"/>
      <c r="G326" s="155"/>
      <c r="H326" s="140"/>
    </row>
    <row r="327">
      <c r="A327" s="140"/>
      <c r="B327" s="153"/>
      <c r="C327" s="140"/>
      <c r="D327" s="153"/>
      <c r="E327" s="153"/>
      <c r="F327" s="154"/>
      <c r="G327" s="155"/>
      <c r="H327" s="140"/>
    </row>
    <row r="328">
      <c r="A328" s="140"/>
      <c r="B328" s="153"/>
      <c r="C328" s="140"/>
      <c r="D328" s="153"/>
      <c r="E328" s="153"/>
      <c r="F328" s="154"/>
      <c r="G328" s="155"/>
      <c r="H328" s="140"/>
    </row>
    <row r="329">
      <c r="A329" s="140"/>
      <c r="B329" s="153"/>
      <c r="C329" s="140"/>
      <c r="D329" s="153"/>
      <c r="E329" s="153"/>
      <c r="F329" s="154"/>
      <c r="G329" s="155"/>
      <c r="H329" s="140"/>
    </row>
    <row r="330">
      <c r="A330" s="140"/>
      <c r="B330" s="153"/>
      <c r="C330" s="140"/>
      <c r="D330" s="153"/>
      <c r="E330" s="153"/>
      <c r="F330" s="154"/>
      <c r="G330" s="155"/>
      <c r="H330" s="140"/>
    </row>
    <row r="331">
      <c r="A331" s="140"/>
      <c r="B331" s="153"/>
      <c r="C331" s="140"/>
      <c r="D331" s="153"/>
      <c r="E331" s="153"/>
      <c r="F331" s="154"/>
      <c r="G331" s="155"/>
      <c r="H331" s="140"/>
    </row>
    <row r="332">
      <c r="A332" s="140"/>
      <c r="B332" s="153"/>
      <c r="C332" s="140"/>
      <c r="D332" s="153"/>
      <c r="E332" s="153"/>
      <c r="F332" s="154"/>
      <c r="G332" s="155"/>
      <c r="H332" s="140"/>
    </row>
    <row r="333">
      <c r="A333" s="140"/>
      <c r="B333" s="153"/>
      <c r="C333" s="140"/>
      <c r="D333" s="153"/>
      <c r="E333" s="153"/>
      <c r="F333" s="154"/>
      <c r="G333" s="155"/>
      <c r="H333" s="140"/>
    </row>
    <row r="334">
      <c r="A334" s="140"/>
      <c r="B334" s="153"/>
      <c r="C334" s="140"/>
      <c r="D334" s="153"/>
      <c r="E334" s="153"/>
      <c r="F334" s="154"/>
      <c r="G334" s="155"/>
      <c r="H334" s="140"/>
    </row>
    <row r="335">
      <c r="A335" s="140"/>
      <c r="B335" s="153"/>
      <c r="C335" s="140"/>
      <c r="D335" s="153"/>
      <c r="E335" s="153"/>
      <c r="F335" s="154"/>
      <c r="G335" s="155"/>
      <c r="H335" s="140"/>
    </row>
    <row r="336">
      <c r="A336" s="140"/>
      <c r="B336" s="153"/>
      <c r="C336" s="140"/>
      <c r="D336" s="153"/>
      <c r="E336" s="153"/>
      <c r="F336" s="154"/>
      <c r="G336" s="155"/>
      <c r="H336" s="140"/>
    </row>
    <row r="337">
      <c r="A337" s="140"/>
      <c r="B337" s="153"/>
      <c r="C337" s="140"/>
      <c r="D337" s="153"/>
      <c r="E337" s="153"/>
      <c r="F337" s="154"/>
      <c r="G337" s="155"/>
      <c r="H337" s="140"/>
    </row>
    <row r="338">
      <c r="A338" s="140"/>
      <c r="B338" s="153"/>
      <c r="C338" s="140"/>
      <c r="D338" s="153"/>
      <c r="E338" s="153"/>
      <c r="F338" s="154"/>
      <c r="G338" s="155"/>
      <c r="H338" s="140"/>
    </row>
    <row r="339">
      <c r="A339" s="140"/>
      <c r="B339" s="153"/>
      <c r="C339" s="140"/>
      <c r="D339" s="153"/>
      <c r="E339" s="153"/>
      <c r="F339" s="154"/>
      <c r="G339" s="155"/>
      <c r="H339" s="140"/>
    </row>
    <row r="340">
      <c r="A340" s="140"/>
      <c r="B340" s="153"/>
      <c r="C340" s="140"/>
      <c r="D340" s="153"/>
      <c r="E340" s="153"/>
      <c r="F340" s="154"/>
      <c r="G340" s="155"/>
      <c r="H340" s="140"/>
    </row>
    <row r="341">
      <c r="A341" s="140"/>
      <c r="B341" s="153"/>
      <c r="C341" s="140"/>
      <c r="D341" s="153"/>
      <c r="E341" s="153"/>
      <c r="F341" s="154"/>
      <c r="G341" s="155"/>
      <c r="H341" s="140"/>
    </row>
    <row r="342">
      <c r="A342" s="140"/>
      <c r="B342" s="153"/>
      <c r="C342" s="140"/>
      <c r="D342" s="153"/>
      <c r="E342" s="153"/>
      <c r="F342" s="154"/>
      <c r="G342" s="155"/>
      <c r="H342" s="140"/>
    </row>
    <row r="343">
      <c r="A343" s="140"/>
      <c r="B343" s="153"/>
      <c r="C343" s="140"/>
      <c r="D343" s="153"/>
      <c r="E343" s="153"/>
      <c r="F343" s="154"/>
      <c r="G343" s="155"/>
      <c r="H343" s="140"/>
    </row>
    <row r="344">
      <c r="A344" s="140"/>
      <c r="B344" s="153"/>
      <c r="C344" s="140"/>
      <c r="D344" s="153"/>
      <c r="E344" s="153"/>
      <c r="F344" s="154"/>
      <c r="G344" s="155"/>
      <c r="H344" s="140"/>
    </row>
    <row r="345">
      <c r="A345" s="140"/>
      <c r="B345" s="153"/>
      <c r="C345" s="140"/>
      <c r="D345" s="153"/>
      <c r="E345" s="153"/>
      <c r="F345" s="154"/>
      <c r="G345" s="155"/>
      <c r="H345" s="140"/>
    </row>
    <row r="346">
      <c r="A346" s="140"/>
      <c r="B346" s="153"/>
      <c r="C346" s="140"/>
      <c r="D346" s="153"/>
      <c r="E346" s="153"/>
      <c r="F346" s="154"/>
      <c r="G346" s="155"/>
      <c r="H346" s="140"/>
    </row>
    <row r="347">
      <c r="A347" s="140"/>
      <c r="B347" s="153"/>
      <c r="C347" s="140"/>
      <c r="D347" s="153"/>
      <c r="E347" s="153"/>
      <c r="F347" s="154"/>
      <c r="G347" s="155"/>
      <c r="H347" s="140"/>
    </row>
    <row r="348">
      <c r="A348" s="140"/>
      <c r="B348" s="153"/>
      <c r="C348" s="140"/>
      <c r="D348" s="153"/>
      <c r="E348" s="153"/>
      <c r="F348" s="154"/>
      <c r="G348" s="155"/>
      <c r="H348" s="140"/>
    </row>
    <row r="349">
      <c r="A349" s="140"/>
      <c r="B349" s="153"/>
      <c r="C349" s="140"/>
      <c r="D349" s="153"/>
      <c r="E349" s="153"/>
      <c r="F349" s="154"/>
      <c r="G349" s="155"/>
      <c r="H349" s="140"/>
    </row>
    <row r="350">
      <c r="A350" s="140"/>
      <c r="B350" s="153"/>
      <c r="C350" s="140"/>
      <c r="D350" s="153"/>
      <c r="E350" s="153"/>
      <c r="F350" s="154"/>
      <c r="G350" s="155"/>
      <c r="H350" s="140"/>
    </row>
    <row r="351">
      <c r="A351" s="140"/>
      <c r="B351" s="153"/>
      <c r="C351" s="140"/>
      <c r="D351" s="153"/>
      <c r="E351" s="153"/>
      <c r="F351" s="154"/>
      <c r="G351" s="155"/>
      <c r="H351" s="140"/>
    </row>
    <row r="352">
      <c r="A352" s="140"/>
      <c r="B352" s="153"/>
      <c r="C352" s="140"/>
      <c r="D352" s="153"/>
      <c r="E352" s="153"/>
      <c r="F352" s="154"/>
      <c r="G352" s="155"/>
      <c r="H352" s="140"/>
    </row>
    <row r="353">
      <c r="A353" s="140"/>
      <c r="B353" s="153"/>
      <c r="C353" s="140"/>
      <c r="D353" s="153"/>
      <c r="E353" s="153"/>
      <c r="F353" s="154"/>
      <c r="G353" s="155"/>
      <c r="H353" s="140"/>
    </row>
    <row r="354">
      <c r="A354" s="140"/>
      <c r="B354" s="153"/>
      <c r="C354" s="140"/>
      <c r="D354" s="153"/>
      <c r="E354" s="153"/>
      <c r="F354" s="154"/>
      <c r="G354" s="155"/>
      <c r="H354" s="140"/>
    </row>
    <row r="355">
      <c r="A355" s="140"/>
      <c r="B355" s="153"/>
      <c r="C355" s="140"/>
      <c r="D355" s="153"/>
      <c r="E355" s="153"/>
      <c r="F355" s="154"/>
      <c r="G355" s="155"/>
      <c r="H355" s="140"/>
    </row>
    <row r="356">
      <c r="A356" s="140"/>
      <c r="B356" s="153"/>
      <c r="C356" s="140"/>
      <c r="D356" s="153"/>
      <c r="E356" s="153"/>
      <c r="F356" s="154"/>
      <c r="G356" s="155"/>
      <c r="H356" s="140"/>
    </row>
    <row r="357">
      <c r="A357" s="140"/>
      <c r="B357" s="153"/>
      <c r="C357" s="140"/>
      <c r="D357" s="153"/>
      <c r="E357" s="153"/>
      <c r="F357" s="154"/>
      <c r="G357" s="155"/>
      <c r="H357" s="140"/>
    </row>
    <row r="358">
      <c r="A358" s="140"/>
      <c r="B358" s="153"/>
      <c r="C358" s="140"/>
      <c r="D358" s="153"/>
      <c r="E358" s="153"/>
      <c r="F358" s="154"/>
      <c r="G358" s="155"/>
      <c r="H358" s="140"/>
    </row>
    <row r="359">
      <c r="A359" s="140"/>
      <c r="B359" s="153"/>
      <c r="C359" s="140"/>
      <c r="D359" s="153"/>
      <c r="E359" s="153"/>
      <c r="F359" s="154"/>
      <c r="G359" s="155"/>
      <c r="H359" s="140"/>
    </row>
    <row r="360">
      <c r="A360" s="140"/>
      <c r="B360" s="153"/>
      <c r="C360" s="140"/>
      <c r="D360" s="153"/>
      <c r="E360" s="153"/>
      <c r="F360" s="154"/>
      <c r="G360" s="155"/>
      <c r="H360" s="140"/>
    </row>
    <row r="361">
      <c r="A361" s="140"/>
      <c r="B361" s="153"/>
      <c r="C361" s="140"/>
      <c r="D361" s="153"/>
      <c r="E361" s="153"/>
      <c r="F361" s="154"/>
      <c r="G361" s="155"/>
      <c r="H361" s="140"/>
    </row>
    <row r="362">
      <c r="A362" s="140"/>
      <c r="B362" s="153"/>
      <c r="C362" s="140"/>
      <c r="D362" s="153"/>
      <c r="E362" s="153"/>
      <c r="F362" s="154"/>
      <c r="G362" s="155"/>
      <c r="H362" s="140"/>
    </row>
    <row r="363">
      <c r="A363" s="140"/>
      <c r="B363" s="153"/>
      <c r="C363" s="140"/>
      <c r="D363" s="153"/>
      <c r="E363" s="153"/>
      <c r="F363" s="154"/>
      <c r="G363" s="155"/>
      <c r="H363" s="140"/>
    </row>
    <row r="364">
      <c r="A364" s="140"/>
      <c r="B364" s="153"/>
      <c r="C364" s="140"/>
      <c r="D364" s="153"/>
      <c r="E364" s="153"/>
      <c r="F364" s="154"/>
      <c r="G364" s="155"/>
      <c r="H364" s="140"/>
    </row>
    <row r="365">
      <c r="A365" s="140"/>
      <c r="B365" s="153"/>
      <c r="C365" s="140"/>
      <c r="D365" s="153"/>
      <c r="E365" s="153"/>
      <c r="F365" s="154"/>
      <c r="G365" s="155"/>
      <c r="H365" s="140"/>
    </row>
    <row r="366">
      <c r="A366" s="140"/>
      <c r="B366" s="153"/>
      <c r="C366" s="140"/>
      <c r="D366" s="153"/>
      <c r="E366" s="153"/>
      <c r="F366" s="154"/>
      <c r="G366" s="155"/>
      <c r="H366" s="140"/>
    </row>
    <row r="367">
      <c r="A367" s="140"/>
      <c r="B367" s="153"/>
      <c r="C367" s="140"/>
      <c r="D367" s="153"/>
      <c r="E367" s="153"/>
      <c r="F367" s="154"/>
      <c r="G367" s="155"/>
      <c r="H367" s="140"/>
    </row>
    <row r="368">
      <c r="A368" s="140"/>
      <c r="B368" s="153"/>
      <c r="C368" s="140"/>
      <c r="D368" s="153"/>
      <c r="E368" s="153"/>
      <c r="F368" s="154"/>
      <c r="G368" s="155"/>
      <c r="H368" s="140"/>
    </row>
    <row r="369">
      <c r="A369" s="140"/>
      <c r="B369" s="153"/>
      <c r="C369" s="140"/>
      <c r="D369" s="153"/>
      <c r="E369" s="153"/>
      <c r="F369" s="154"/>
      <c r="G369" s="155"/>
      <c r="H369" s="140"/>
    </row>
    <row r="370">
      <c r="A370" s="140"/>
      <c r="B370" s="153"/>
      <c r="C370" s="140"/>
      <c r="D370" s="153"/>
      <c r="E370" s="153"/>
      <c r="F370" s="154"/>
      <c r="G370" s="155"/>
      <c r="H370" s="140"/>
    </row>
    <row r="371">
      <c r="A371" s="140"/>
      <c r="B371" s="153"/>
      <c r="C371" s="140"/>
      <c r="D371" s="153"/>
      <c r="E371" s="153"/>
      <c r="F371" s="154"/>
      <c r="G371" s="155"/>
      <c r="H371" s="140"/>
    </row>
    <row r="372">
      <c r="A372" s="140"/>
      <c r="B372" s="153"/>
      <c r="C372" s="140"/>
      <c r="D372" s="153"/>
      <c r="E372" s="153"/>
      <c r="F372" s="154"/>
      <c r="G372" s="155"/>
      <c r="H372" s="140"/>
    </row>
    <row r="373">
      <c r="A373" s="140"/>
      <c r="B373" s="153"/>
      <c r="C373" s="140"/>
      <c r="D373" s="153"/>
      <c r="E373" s="153"/>
      <c r="F373" s="154"/>
      <c r="G373" s="155"/>
      <c r="H373" s="140"/>
    </row>
    <row r="374">
      <c r="A374" s="140"/>
      <c r="B374" s="153"/>
      <c r="C374" s="140"/>
      <c r="D374" s="153"/>
      <c r="E374" s="153"/>
      <c r="F374" s="154"/>
      <c r="G374" s="155"/>
      <c r="H374" s="140"/>
    </row>
    <row r="375">
      <c r="A375" s="140"/>
      <c r="B375" s="153"/>
      <c r="C375" s="140"/>
      <c r="D375" s="153"/>
      <c r="E375" s="153"/>
      <c r="F375" s="154"/>
      <c r="G375" s="155"/>
      <c r="H375" s="140"/>
    </row>
    <row r="376">
      <c r="A376" s="140"/>
      <c r="B376" s="153"/>
      <c r="C376" s="140"/>
      <c r="D376" s="153"/>
      <c r="E376" s="153"/>
      <c r="F376" s="154"/>
      <c r="G376" s="155"/>
      <c r="H376" s="140"/>
    </row>
    <row r="377">
      <c r="A377" s="140"/>
      <c r="B377" s="153"/>
      <c r="C377" s="140"/>
      <c r="D377" s="153"/>
      <c r="E377" s="153"/>
      <c r="F377" s="154"/>
      <c r="G377" s="155"/>
      <c r="H377" s="140"/>
    </row>
    <row r="378">
      <c r="A378" s="140"/>
      <c r="B378" s="153"/>
      <c r="C378" s="140"/>
      <c r="D378" s="153"/>
      <c r="E378" s="153"/>
      <c r="F378" s="154"/>
      <c r="G378" s="155"/>
      <c r="H378" s="140"/>
    </row>
    <row r="379">
      <c r="A379" s="140"/>
      <c r="B379" s="153"/>
      <c r="C379" s="140"/>
      <c r="D379" s="153"/>
      <c r="E379" s="153"/>
      <c r="F379" s="154"/>
      <c r="G379" s="155"/>
      <c r="H379" s="140"/>
    </row>
    <row r="380">
      <c r="A380" s="140"/>
      <c r="B380" s="153"/>
      <c r="C380" s="140"/>
      <c r="D380" s="153"/>
      <c r="E380" s="153"/>
      <c r="F380" s="154"/>
      <c r="G380" s="155"/>
      <c r="H380" s="140"/>
    </row>
    <row r="381">
      <c r="A381" s="140"/>
      <c r="B381" s="153"/>
      <c r="C381" s="140"/>
      <c r="D381" s="153"/>
      <c r="E381" s="153"/>
      <c r="F381" s="154"/>
      <c r="G381" s="155"/>
      <c r="H381" s="140"/>
    </row>
    <row r="382">
      <c r="A382" s="140"/>
      <c r="B382" s="153"/>
      <c r="C382" s="140"/>
      <c r="D382" s="153"/>
      <c r="E382" s="153"/>
      <c r="F382" s="154"/>
      <c r="G382" s="155"/>
      <c r="H382" s="140"/>
    </row>
    <row r="383">
      <c r="A383" s="140"/>
      <c r="B383" s="153"/>
      <c r="C383" s="140"/>
      <c r="D383" s="153"/>
      <c r="E383" s="153"/>
      <c r="F383" s="154"/>
      <c r="G383" s="155"/>
      <c r="H383" s="140"/>
    </row>
    <row r="384">
      <c r="A384" s="140"/>
      <c r="B384" s="153"/>
      <c r="C384" s="140"/>
      <c r="D384" s="153"/>
      <c r="E384" s="153"/>
      <c r="F384" s="154"/>
      <c r="G384" s="155"/>
      <c r="H384" s="140"/>
    </row>
    <row r="385">
      <c r="A385" s="140"/>
      <c r="B385" s="153"/>
      <c r="C385" s="140"/>
      <c r="D385" s="153"/>
      <c r="E385" s="153"/>
      <c r="F385" s="154"/>
      <c r="G385" s="155"/>
      <c r="H385" s="140"/>
    </row>
    <row r="386">
      <c r="A386" s="140"/>
      <c r="B386" s="153"/>
      <c r="C386" s="140"/>
      <c r="D386" s="153"/>
      <c r="E386" s="153"/>
      <c r="F386" s="154"/>
      <c r="G386" s="155"/>
      <c r="H386" s="140"/>
    </row>
    <row r="387">
      <c r="A387" s="140"/>
      <c r="B387" s="153"/>
      <c r="C387" s="140"/>
      <c r="D387" s="153"/>
      <c r="E387" s="153"/>
      <c r="F387" s="154"/>
      <c r="G387" s="155"/>
      <c r="H387" s="140"/>
    </row>
    <row r="388">
      <c r="A388" s="140"/>
      <c r="B388" s="153"/>
      <c r="C388" s="140"/>
      <c r="D388" s="153"/>
      <c r="E388" s="153"/>
      <c r="F388" s="154"/>
      <c r="G388" s="155"/>
      <c r="H388" s="140"/>
    </row>
    <row r="389">
      <c r="A389" s="140"/>
      <c r="B389" s="153"/>
      <c r="C389" s="140"/>
      <c r="D389" s="153"/>
      <c r="E389" s="153"/>
      <c r="F389" s="154"/>
      <c r="G389" s="155"/>
      <c r="H389" s="140"/>
    </row>
    <row r="390">
      <c r="A390" s="140"/>
      <c r="B390" s="153"/>
      <c r="C390" s="140"/>
      <c r="D390" s="153"/>
      <c r="E390" s="153"/>
      <c r="F390" s="154"/>
      <c r="G390" s="155"/>
      <c r="H390" s="140"/>
    </row>
    <row r="391">
      <c r="A391" s="140"/>
      <c r="B391" s="153"/>
      <c r="C391" s="140"/>
      <c r="D391" s="153"/>
      <c r="E391" s="153"/>
      <c r="F391" s="154"/>
      <c r="G391" s="155"/>
      <c r="H391" s="140"/>
    </row>
    <row r="392">
      <c r="A392" s="140"/>
      <c r="B392" s="153"/>
      <c r="C392" s="140"/>
      <c r="D392" s="153"/>
      <c r="E392" s="153"/>
      <c r="F392" s="154"/>
      <c r="G392" s="155"/>
      <c r="H392" s="140"/>
    </row>
    <row r="393">
      <c r="A393" s="140"/>
      <c r="B393" s="153"/>
      <c r="C393" s="140"/>
      <c r="D393" s="153"/>
      <c r="E393" s="153"/>
      <c r="F393" s="154"/>
      <c r="G393" s="155"/>
      <c r="H393" s="140"/>
    </row>
    <row r="394">
      <c r="A394" s="140"/>
      <c r="B394" s="153"/>
      <c r="C394" s="140"/>
      <c r="D394" s="153"/>
      <c r="E394" s="153"/>
      <c r="F394" s="154"/>
      <c r="G394" s="155"/>
      <c r="H394" s="140"/>
    </row>
    <row r="395">
      <c r="A395" s="140"/>
      <c r="B395" s="153"/>
      <c r="C395" s="140"/>
      <c r="D395" s="153"/>
      <c r="E395" s="153"/>
      <c r="F395" s="154"/>
      <c r="G395" s="155"/>
      <c r="H395" s="140"/>
    </row>
    <row r="396">
      <c r="A396" s="140"/>
      <c r="B396" s="153"/>
      <c r="C396" s="140"/>
      <c r="D396" s="153"/>
      <c r="E396" s="153"/>
      <c r="F396" s="154"/>
      <c r="G396" s="155"/>
      <c r="H396" s="140"/>
    </row>
    <row r="397">
      <c r="A397" s="140"/>
      <c r="B397" s="153"/>
      <c r="C397" s="140"/>
      <c r="D397" s="153"/>
      <c r="E397" s="153"/>
      <c r="F397" s="154"/>
      <c r="G397" s="155"/>
      <c r="H397" s="140"/>
    </row>
    <row r="398">
      <c r="A398" s="140"/>
      <c r="B398" s="153"/>
      <c r="C398" s="140"/>
      <c r="D398" s="153"/>
      <c r="E398" s="153"/>
      <c r="F398" s="154"/>
      <c r="G398" s="155"/>
      <c r="H398" s="140"/>
    </row>
    <row r="399">
      <c r="A399" s="140"/>
      <c r="B399" s="153"/>
      <c r="C399" s="140"/>
      <c r="D399" s="153"/>
      <c r="E399" s="153"/>
      <c r="F399" s="154"/>
      <c r="G399" s="155"/>
      <c r="H399" s="140"/>
    </row>
    <row r="400">
      <c r="A400" s="140"/>
      <c r="B400" s="153"/>
      <c r="C400" s="140"/>
      <c r="D400" s="153"/>
      <c r="E400" s="153"/>
      <c r="F400" s="154"/>
      <c r="G400" s="155"/>
      <c r="H400" s="140"/>
    </row>
    <row r="401">
      <c r="A401" s="140"/>
      <c r="B401" s="153"/>
      <c r="C401" s="140"/>
      <c r="D401" s="153"/>
      <c r="E401" s="153"/>
      <c r="F401" s="154"/>
      <c r="G401" s="155"/>
      <c r="H401" s="140"/>
    </row>
    <row r="402">
      <c r="A402" s="140"/>
      <c r="B402" s="153"/>
      <c r="C402" s="140"/>
      <c r="D402" s="153"/>
      <c r="E402" s="153"/>
      <c r="F402" s="154"/>
      <c r="G402" s="155"/>
      <c r="H402" s="140"/>
    </row>
    <row r="403">
      <c r="A403" s="140"/>
      <c r="B403" s="153"/>
      <c r="C403" s="140"/>
      <c r="D403" s="153"/>
      <c r="E403" s="153"/>
      <c r="F403" s="154"/>
      <c r="G403" s="155"/>
      <c r="H403" s="140"/>
    </row>
    <row r="404">
      <c r="A404" s="140"/>
      <c r="B404" s="153"/>
      <c r="C404" s="140"/>
      <c r="D404" s="153"/>
      <c r="E404" s="153"/>
      <c r="F404" s="154"/>
      <c r="G404" s="155"/>
      <c r="H404" s="140"/>
    </row>
    <row r="405">
      <c r="A405" s="140"/>
      <c r="B405" s="153"/>
      <c r="C405" s="140"/>
      <c r="D405" s="153"/>
      <c r="E405" s="153"/>
      <c r="F405" s="154"/>
      <c r="G405" s="155"/>
      <c r="H405" s="140"/>
    </row>
    <row r="406">
      <c r="A406" s="140"/>
      <c r="B406" s="153"/>
      <c r="C406" s="140"/>
      <c r="D406" s="153"/>
      <c r="E406" s="153"/>
      <c r="F406" s="154"/>
      <c r="G406" s="155"/>
      <c r="H406" s="140"/>
    </row>
    <row r="407">
      <c r="A407" s="140"/>
      <c r="B407" s="153"/>
      <c r="C407" s="140"/>
      <c r="D407" s="153"/>
      <c r="E407" s="153"/>
      <c r="F407" s="154"/>
      <c r="G407" s="155"/>
      <c r="H407" s="140"/>
    </row>
    <row r="408">
      <c r="A408" s="140"/>
      <c r="B408" s="153"/>
      <c r="C408" s="140"/>
      <c r="D408" s="153"/>
      <c r="E408" s="153"/>
      <c r="F408" s="154"/>
      <c r="G408" s="155"/>
      <c r="H408" s="140"/>
    </row>
    <row r="409">
      <c r="A409" s="140"/>
      <c r="B409" s="153"/>
      <c r="C409" s="140"/>
      <c r="D409" s="153"/>
      <c r="E409" s="153"/>
      <c r="F409" s="154"/>
      <c r="G409" s="155"/>
      <c r="H409" s="140"/>
    </row>
    <row r="410">
      <c r="A410" s="140"/>
      <c r="B410" s="153"/>
      <c r="C410" s="140"/>
      <c r="D410" s="153"/>
      <c r="E410" s="153"/>
      <c r="F410" s="154"/>
      <c r="G410" s="155"/>
      <c r="H410" s="140"/>
    </row>
    <row r="411">
      <c r="A411" s="140"/>
      <c r="B411" s="153"/>
      <c r="C411" s="140"/>
      <c r="D411" s="153"/>
      <c r="E411" s="153"/>
      <c r="F411" s="154"/>
      <c r="G411" s="155"/>
      <c r="H411" s="140"/>
    </row>
    <row r="412">
      <c r="A412" s="140"/>
      <c r="B412" s="153"/>
      <c r="C412" s="140"/>
      <c r="D412" s="153"/>
      <c r="E412" s="153"/>
      <c r="F412" s="154"/>
      <c r="G412" s="155"/>
      <c r="H412" s="140"/>
    </row>
    <row r="413">
      <c r="A413" s="140"/>
      <c r="B413" s="153"/>
      <c r="C413" s="140"/>
      <c r="D413" s="153"/>
      <c r="E413" s="153"/>
      <c r="F413" s="154"/>
      <c r="G413" s="155"/>
      <c r="H413" s="140"/>
    </row>
    <row r="414">
      <c r="A414" s="140"/>
      <c r="B414" s="153"/>
      <c r="C414" s="140"/>
      <c r="D414" s="153"/>
      <c r="E414" s="153"/>
      <c r="F414" s="154"/>
      <c r="G414" s="155"/>
      <c r="H414" s="140"/>
    </row>
    <row r="415">
      <c r="A415" s="140"/>
      <c r="B415" s="153"/>
      <c r="C415" s="140"/>
      <c r="D415" s="153"/>
      <c r="E415" s="153"/>
      <c r="F415" s="154"/>
      <c r="G415" s="155"/>
      <c r="H415" s="140"/>
    </row>
    <row r="416">
      <c r="A416" s="140"/>
      <c r="B416" s="153"/>
      <c r="C416" s="140"/>
      <c r="D416" s="153"/>
      <c r="E416" s="153"/>
      <c r="F416" s="154"/>
      <c r="G416" s="155"/>
      <c r="H416" s="140"/>
    </row>
    <row r="417">
      <c r="A417" s="140"/>
      <c r="B417" s="153"/>
      <c r="C417" s="140"/>
      <c r="D417" s="153"/>
      <c r="E417" s="153"/>
      <c r="F417" s="154"/>
      <c r="G417" s="155"/>
      <c r="H417" s="140"/>
    </row>
    <row r="418">
      <c r="A418" s="140"/>
      <c r="B418" s="153"/>
      <c r="C418" s="140"/>
      <c r="D418" s="153"/>
      <c r="E418" s="153"/>
      <c r="F418" s="154"/>
      <c r="G418" s="155"/>
      <c r="H418" s="140"/>
    </row>
    <row r="419">
      <c r="A419" s="140"/>
      <c r="B419" s="153"/>
      <c r="C419" s="140"/>
      <c r="D419" s="153"/>
      <c r="E419" s="153"/>
      <c r="F419" s="154"/>
      <c r="G419" s="155"/>
      <c r="H419" s="140"/>
    </row>
    <row r="420">
      <c r="A420" s="140"/>
      <c r="B420" s="153"/>
      <c r="C420" s="140"/>
      <c r="D420" s="153"/>
      <c r="E420" s="153"/>
      <c r="F420" s="154"/>
      <c r="G420" s="155"/>
      <c r="H420" s="140"/>
    </row>
    <row r="421">
      <c r="A421" s="140"/>
      <c r="B421" s="153"/>
      <c r="C421" s="140"/>
      <c r="D421" s="153"/>
      <c r="E421" s="153"/>
      <c r="F421" s="154"/>
      <c r="G421" s="155"/>
      <c r="H421" s="140"/>
    </row>
    <row r="422">
      <c r="A422" s="140"/>
      <c r="B422" s="153"/>
      <c r="C422" s="140"/>
      <c r="D422" s="153"/>
      <c r="E422" s="153"/>
      <c r="F422" s="154"/>
      <c r="G422" s="155"/>
      <c r="H422" s="140"/>
    </row>
    <row r="423">
      <c r="A423" s="140"/>
      <c r="B423" s="153"/>
      <c r="C423" s="140"/>
      <c r="D423" s="153"/>
      <c r="E423" s="153"/>
      <c r="F423" s="154"/>
      <c r="G423" s="155"/>
      <c r="H423" s="140"/>
    </row>
    <row r="424">
      <c r="A424" s="140"/>
      <c r="B424" s="153"/>
      <c r="C424" s="140"/>
      <c r="D424" s="153"/>
      <c r="E424" s="153"/>
      <c r="F424" s="154"/>
      <c r="G424" s="155"/>
      <c r="H424" s="140"/>
    </row>
    <row r="425">
      <c r="A425" s="140"/>
      <c r="B425" s="153"/>
      <c r="C425" s="140"/>
      <c r="D425" s="153"/>
      <c r="E425" s="153"/>
      <c r="F425" s="154"/>
      <c r="G425" s="155"/>
      <c r="H425" s="140"/>
    </row>
    <row r="426">
      <c r="A426" s="140"/>
      <c r="B426" s="153"/>
      <c r="C426" s="140"/>
      <c r="D426" s="153"/>
      <c r="E426" s="153"/>
      <c r="F426" s="154"/>
      <c r="G426" s="155"/>
      <c r="H426" s="140"/>
    </row>
    <row r="427">
      <c r="A427" s="140"/>
      <c r="B427" s="153"/>
      <c r="C427" s="140"/>
      <c r="D427" s="153"/>
      <c r="E427" s="153"/>
      <c r="F427" s="154"/>
      <c r="G427" s="155"/>
      <c r="H427" s="140"/>
    </row>
    <row r="428">
      <c r="A428" s="140"/>
      <c r="B428" s="153"/>
      <c r="C428" s="140"/>
      <c r="D428" s="153"/>
      <c r="E428" s="153"/>
      <c r="F428" s="154"/>
      <c r="G428" s="155"/>
      <c r="H428" s="140"/>
    </row>
    <row r="429">
      <c r="A429" s="140"/>
      <c r="B429" s="153"/>
      <c r="C429" s="140"/>
      <c r="D429" s="153"/>
      <c r="E429" s="153"/>
      <c r="F429" s="154"/>
      <c r="G429" s="155"/>
      <c r="H429" s="140"/>
    </row>
    <row r="430">
      <c r="A430" s="140"/>
      <c r="B430" s="153"/>
      <c r="C430" s="140"/>
      <c r="D430" s="153"/>
      <c r="E430" s="153"/>
      <c r="F430" s="154"/>
      <c r="G430" s="155"/>
      <c r="H430" s="140"/>
    </row>
    <row r="431">
      <c r="A431" s="140"/>
      <c r="B431" s="153"/>
      <c r="C431" s="140"/>
      <c r="D431" s="153"/>
      <c r="E431" s="153"/>
      <c r="F431" s="154"/>
      <c r="G431" s="155"/>
      <c r="H431" s="140"/>
    </row>
    <row r="432">
      <c r="A432" s="140"/>
      <c r="B432" s="153"/>
      <c r="C432" s="140"/>
      <c r="D432" s="153"/>
      <c r="E432" s="153"/>
      <c r="F432" s="154"/>
      <c r="G432" s="155"/>
      <c r="H432" s="140"/>
    </row>
    <row r="433">
      <c r="A433" s="140"/>
      <c r="B433" s="153"/>
      <c r="C433" s="140"/>
      <c r="D433" s="153"/>
      <c r="E433" s="153"/>
      <c r="F433" s="154"/>
      <c r="G433" s="155"/>
      <c r="H433" s="140"/>
    </row>
    <row r="434">
      <c r="A434" s="140"/>
      <c r="B434" s="153"/>
      <c r="C434" s="140"/>
      <c r="D434" s="153"/>
      <c r="E434" s="153"/>
      <c r="F434" s="154"/>
      <c r="G434" s="155"/>
      <c r="H434" s="140"/>
    </row>
    <row r="435">
      <c r="A435" s="140"/>
      <c r="B435" s="153"/>
      <c r="C435" s="140"/>
      <c r="D435" s="153"/>
      <c r="E435" s="153"/>
      <c r="F435" s="154"/>
      <c r="G435" s="155"/>
      <c r="H435" s="140"/>
    </row>
    <row r="436">
      <c r="A436" s="140"/>
      <c r="B436" s="153"/>
      <c r="C436" s="140"/>
      <c r="D436" s="153"/>
      <c r="E436" s="153"/>
      <c r="F436" s="154"/>
      <c r="G436" s="155"/>
      <c r="H436" s="140"/>
    </row>
    <row r="437">
      <c r="A437" s="140"/>
      <c r="B437" s="153"/>
      <c r="C437" s="140"/>
      <c r="D437" s="153"/>
      <c r="E437" s="153"/>
      <c r="F437" s="154"/>
      <c r="G437" s="155"/>
      <c r="H437" s="140"/>
    </row>
    <row r="438">
      <c r="A438" s="140"/>
      <c r="B438" s="153"/>
      <c r="C438" s="140"/>
      <c r="D438" s="153"/>
      <c r="E438" s="153"/>
      <c r="F438" s="154"/>
      <c r="G438" s="155"/>
      <c r="H438" s="140"/>
    </row>
    <row r="439">
      <c r="A439" s="140"/>
      <c r="B439" s="153"/>
      <c r="C439" s="140"/>
      <c r="D439" s="153"/>
      <c r="E439" s="153"/>
      <c r="F439" s="154"/>
      <c r="G439" s="155"/>
      <c r="H439" s="140"/>
    </row>
    <row r="440">
      <c r="A440" s="140"/>
      <c r="B440" s="153"/>
      <c r="C440" s="140"/>
      <c r="D440" s="153"/>
      <c r="E440" s="153"/>
      <c r="F440" s="154"/>
      <c r="G440" s="155"/>
      <c r="H440" s="140"/>
    </row>
    <row r="441">
      <c r="A441" s="140"/>
      <c r="B441" s="153"/>
      <c r="C441" s="140"/>
      <c r="D441" s="153"/>
      <c r="E441" s="153"/>
      <c r="F441" s="154"/>
      <c r="G441" s="155"/>
      <c r="H441" s="140"/>
    </row>
    <row r="442">
      <c r="A442" s="140"/>
      <c r="B442" s="153"/>
      <c r="C442" s="140"/>
      <c r="D442" s="153"/>
      <c r="E442" s="153"/>
      <c r="F442" s="154"/>
      <c r="G442" s="155"/>
      <c r="H442" s="140"/>
    </row>
    <row r="443">
      <c r="A443" s="140"/>
      <c r="B443" s="153"/>
      <c r="C443" s="140"/>
      <c r="D443" s="153"/>
      <c r="E443" s="153"/>
      <c r="F443" s="154"/>
      <c r="G443" s="155"/>
      <c r="H443" s="140"/>
    </row>
    <row r="444">
      <c r="A444" s="140"/>
      <c r="B444" s="153"/>
      <c r="C444" s="140"/>
      <c r="D444" s="153"/>
      <c r="E444" s="153"/>
      <c r="F444" s="154"/>
      <c r="G444" s="155"/>
      <c r="H444" s="140"/>
    </row>
    <row r="445">
      <c r="A445" s="140"/>
      <c r="B445" s="153"/>
      <c r="C445" s="140"/>
      <c r="D445" s="153"/>
      <c r="E445" s="153"/>
      <c r="F445" s="154"/>
      <c r="G445" s="155"/>
      <c r="H445" s="140"/>
    </row>
    <row r="446">
      <c r="A446" s="140"/>
      <c r="B446" s="153"/>
      <c r="C446" s="140"/>
      <c r="D446" s="153"/>
      <c r="E446" s="153"/>
      <c r="F446" s="154"/>
      <c r="G446" s="155"/>
      <c r="H446" s="140"/>
    </row>
    <row r="447">
      <c r="A447" s="140"/>
      <c r="B447" s="153"/>
      <c r="C447" s="140"/>
      <c r="D447" s="153"/>
      <c r="E447" s="153"/>
      <c r="F447" s="154"/>
      <c r="G447" s="155"/>
      <c r="H447" s="140"/>
    </row>
    <row r="448">
      <c r="A448" s="140"/>
      <c r="B448" s="153"/>
      <c r="C448" s="140"/>
      <c r="D448" s="153"/>
      <c r="E448" s="153"/>
      <c r="F448" s="154"/>
      <c r="G448" s="155"/>
      <c r="H448" s="140"/>
    </row>
    <row r="449">
      <c r="A449" s="140"/>
      <c r="B449" s="153"/>
      <c r="C449" s="140"/>
      <c r="D449" s="153"/>
      <c r="E449" s="153"/>
      <c r="F449" s="154"/>
      <c r="G449" s="155"/>
      <c r="H449" s="140"/>
    </row>
    <row r="450">
      <c r="A450" s="140"/>
      <c r="B450" s="153"/>
      <c r="C450" s="140"/>
      <c r="D450" s="153"/>
      <c r="E450" s="153"/>
      <c r="F450" s="154"/>
      <c r="G450" s="155"/>
      <c r="H450" s="140"/>
    </row>
    <row r="451">
      <c r="A451" s="140"/>
      <c r="B451" s="153"/>
      <c r="C451" s="140"/>
      <c r="D451" s="153"/>
      <c r="E451" s="153"/>
      <c r="F451" s="154"/>
      <c r="G451" s="155"/>
      <c r="H451" s="140"/>
    </row>
    <row r="452">
      <c r="A452" s="140"/>
      <c r="B452" s="153"/>
      <c r="C452" s="140"/>
      <c r="D452" s="153"/>
      <c r="E452" s="153"/>
      <c r="F452" s="154"/>
      <c r="G452" s="155"/>
      <c r="H452" s="140"/>
    </row>
    <row r="453">
      <c r="A453" s="140"/>
      <c r="B453" s="153"/>
      <c r="C453" s="140"/>
      <c r="D453" s="153"/>
      <c r="E453" s="153"/>
      <c r="F453" s="154"/>
      <c r="G453" s="155"/>
      <c r="H453" s="140"/>
    </row>
    <row r="454">
      <c r="A454" s="140"/>
      <c r="B454" s="153"/>
      <c r="C454" s="140"/>
      <c r="D454" s="153"/>
      <c r="E454" s="153"/>
      <c r="F454" s="154"/>
      <c r="G454" s="155"/>
      <c r="H454" s="140"/>
    </row>
    <row r="455">
      <c r="A455" s="140"/>
      <c r="B455" s="153"/>
      <c r="C455" s="140"/>
      <c r="D455" s="153"/>
      <c r="E455" s="153"/>
      <c r="F455" s="154"/>
      <c r="G455" s="155"/>
      <c r="H455" s="140"/>
    </row>
    <row r="456">
      <c r="A456" s="140"/>
      <c r="B456" s="153"/>
      <c r="C456" s="140"/>
      <c r="D456" s="153"/>
      <c r="E456" s="153"/>
      <c r="F456" s="154"/>
      <c r="G456" s="155"/>
      <c r="H456" s="140"/>
    </row>
    <row r="457">
      <c r="A457" s="140"/>
      <c r="B457" s="153"/>
      <c r="C457" s="140"/>
      <c r="D457" s="153"/>
      <c r="E457" s="153"/>
      <c r="F457" s="154"/>
      <c r="G457" s="155"/>
      <c r="H457" s="140"/>
    </row>
    <row r="458">
      <c r="A458" s="140"/>
      <c r="B458" s="153"/>
      <c r="C458" s="140"/>
      <c r="D458" s="153"/>
      <c r="E458" s="153"/>
      <c r="F458" s="154"/>
      <c r="G458" s="155"/>
      <c r="H458" s="140"/>
    </row>
    <row r="459">
      <c r="A459" s="140"/>
      <c r="B459" s="153"/>
      <c r="C459" s="140"/>
      <c r="D459" s="153"/>
      <c r="E459" s="153"/>
      <c r="F459" s="154"/>
      <c r="G459" s="155"/>
      <c r="H459" s="140"/>
    </row>
    <row r="460">
      <c r="A460" s="140"/>
      <c r="B460" s="153"/>
      <c r="C460" s="140"/>
      <c r="D460" s="153"/>
      <c r="E460" s="153"/>
      <c r="F460" s="154"/>
      <c r="G460" s="155"/>
      <c r="H460" s="140"/>
    </row>
    <row r="461">
      <c r="A461" s="140"/>
      <c r="B461" s="153"/>
      <c r="C461" s="140"/>
      <c r="D461" s="153"/>
      <c r="E461" s="153"/>
      <c r="F461" s="154"/>
      <c r="G461" s="155"/>
      <c r="H461" s="140"/>
    </row>
    <row r="462">
      <c r="A462" s="140"/>
      <c r="B462" s="153"/>
      <c r="C462" s="140"/>
      <c r="D462" s="153"/>
      <c r="E462" s="153"/>
      <c r="F462" s="154"/>
      <c r="G462" s="155"/>
      <c r="H462" s="140"/>
    </row>
    <row r="463">
      <c r="A463" s="140"/>
      <c r="B463" s="153"/>
      <c r="C463" s="140"/>
      <c r="D463" s="153"/>
      <c r="E463" s="153"/>
      <c r="F463" s="154"/>
      <c r="G463" s="155"/>
      <c r="H463" s="140"/>
    </row>
    <row r="464">
      <c r="A464" s="140"/>
      <c r="B464" s="153"/>
      <c r="C464" s="140"/>
      <c r="D464" s="153"/>
      <c r="E464" s="153"/>
      <c r="F464" s="154"/>
      <c r="G464" s="155"/>
      <c r="H464" s="140"/>
    </row>
    <row r="465">
      <c r="A465" s="140"/>
      <c r="B465" s="153"/>
      <c r="C465" s="140"/>
      <c r="D465" s="153"/>
      <c r="E465" s="153"/>
      <c r="F465" s="154"/>
      <c r="G465" s="155"/>
      <c r="H465" s="140"/>
    </row>
    <row r="466">
      <c r="A466" s="140"/>
      <c r="B466" s="153"/>
      <c r="C466" s="140"/>
      <c r="D466" s="153"/>
      <c r="E466" s="153"/>
      <c r="F466" s="154"/>
      <c r="G466" s="155"/>
      <c r="H466" s="140"/>
    </row>
    <row r="467">
      <c r="A467" s="140"/>
      <c r="B467" s="153"/>
      <c r="C467" s="140"/>
      <c r="D467" s="153"/>
      <c r="E467" s="153"/>
      <c r="F467" s="154"/>
      <c r="G467" s="155"/>
      <c r="H467" s="140"/>
    </row>
    <row r="468">
      <c r="A468" s="140"/>
      <c r="B468" s="153"/>
      <c r="C468" s="140"/>
      <c r="D468" s="153"/>
      <c r="E468" s="153"/>
      <c r="F468" s="154"/>
      <c r="G468" s="155"/>
      <c r="H468" s="140"/>
    </row>
    <row r="469">
      <c r="A469" s="140"/>
      <c r="B469" s="153"/>
      <c r="C469" s="140"/>
      <c r="D469" s="153"/>
      <c r="E469" s="153"/>
      <c r="F469" s="154"/>
      <c r="G469" s="155"/>
      <c r="H469" s="140"/>
    </row>
    <row r="470">
      <c r="A470" s="140"/>
      <c r="B470" s="153"/>
      <c r="C470" s="140"/>
      <c r="D470" s="153"/>
      <c r="E470" s="153"/>
      <c r="F470" s="154"/>
      <c r="G470" s="155"/>
      <c r="H470" s="140"/>
    </row>
    <row r="471">
      <c r="A471" s="140"/>
      <c r="B471" s="153"/>
      <c r="C471" s="140"/>
      <c r="D471" s="153"/>
      <c r="E471" s="153"/>
      <c r="F471" s="154"/>
      <c r="G471" s="155"/>
      <c r="H471" s="140"/>
    </row>
    <row r="472">
      <c r="A472" s="140"/>
      <c r="B472" s="153"/>
      <c r="C472" s="140"/>
      <c r="D472" s="153"/>
      <c r="E472" s="153"/>
      <c r="F472" s="154"/>
      <c r="G472" s="155"/>
      <c r="H472" s="140"/>
    </row>
    <row r="473">
      <c r="A473" s="140"/>
      <c r="B473" s="153"/>
      <c r="C473" s="140"/>
      <c r="D473" s="153"/>
      <c r="E473" s="153"/>
      <c r="F473" s="154"/>
      <c r="G473" s="155"/>
      <c r="H473" s="140"/>
    </row>
    <row r="474">
      <c r="A474" s="140"/>
      <c r="B474" s="153"/>
      <c r="C474" s="140"/>
      <c r="D474" s="153"/>
      <c r="E474" s="153"/>
      <c r="F474" s="154"/>
      <c r="G474" s="155"/>
      <c r="H474" s="140"/>
    </row>
    <row r="475">
      <c r="A475" s="140"/>
      <c r="B475" s="153"/>
      <c r="C475" s="140"/>
      <c r="D475" s="153"/>
      <c r="E475" s="153"/>
      <c r="F475" s="154"/>
      <c r="G475" s="155"/>
      <c r="H475" s="140"/>
    </row>
    <row r="476">
      <c r="A476" s="140"/>
      <c r="B476" s="153"/>
      <c r="C476" s="140"/>
      <c r="D476" s="153"/>
      <c r="E476" s="153"/>
      <c r="F476" s="154"/>
      <c r="G476" s="155"/>
      <c r="H476" s="140"/>
    </row>
    <row r="477">
      <c r="A477" s="140"/>
      <c r="B477" s="153"/>
      <c r="C477" s="140"/>
      <c r="D477" s="153"/>
      <c r="E477" s="153"/>
      <c r="F477" s="154"/>
      <c r="G477" s="155"/>
      <c r="H477" s="140"/>
    </row>
    <row r="478">
      <c r="A478" s="140"/>
      <c r="B478" s="153"/>
      <c r="C478" s="140"/>
      <c r="D478" s="153"/>
      <c r="E478" s="153"/>
      <c r="F478" s="154"/>
      <c r="G478" s="155"/>
      <c r="H478" s="140"/>
    </row>
    <row r="479">
      <c r="A479" s="140"/>
      <c r="B479" s="153"/>
      <c r="C479" s="140"/>
      <c r="D479" s="153"/>
      <c r="E479" s="153"/>
      <c r="F479" s="154"/>
      <c r="G479" s="155"/>
      <c r="H479" s="140"/>
    </row>
    <row r="480">
      <c r="A480" s="140"/>
      <c r="B480" s="153"/>
      <c r="C480" s="140"/>
      <c r="D480" s="153"/>
      <c r="E480" s="153"/>
      <c r="F480" s="154"/>
      <c r="G480" s="155"/>
      <c r="H480" s="140"/>
    </row>
    <row r="481">
      <c r="A481" s="140"/>
      <c r="B481" s="153"/>
      <c r="C481" s="140"/>
      <c r="D481" s="153"/>
      <c r="E481" s="153"/>
      <c r="F481" s="154"/>
      <c r="G481" s="155"/>
      <c r="H481" s="140"/>
    </row>
    <row r="482">
      <c r="A482" s="140"/>
      <c r="B482" s="153"/>
      <c r="C482" s="140"/>
      <c r="D482" s="153"/>
      <c r="E482" s="153"/>
      <c r="F482" s="154"/>
      <c r="G482" s="155"/>
      <c r="H482" s="140"/>
    </row>
    <row r="483">
      <c r="A483" s="140"/>
      <c r="B483" s="153"/>
      <c r="C483" s="140"/>
      <c r="D483" s="153"/>
      <c r="E483" s="153"/>
      <c r="F483" s="154"/>
      <c r="G483" s="155"/>
      <c r="H483" s="140"/>
    </row>
    <row r="484">
      <c r="A484" s="140"/>
      <c r="B484" s="153"/>
      <c r="C484" s="140"/>
      <c r="D484" s="153"/>
      <c r="E484" s="153"/>
      <c r="F484" s="154"/>
      <c r="G484" s="155"/>
      <c r="H484" s="140"/>
    </row>
    <row r="485">
      <c r="A485" s="140"/>
      <c r="B485" s="153"/>
      <c r="C485" s="140"/>
      <c r="D485" s="153"/>
      <c r="E485" s="153"/>
      <c r="F485" s="154"/>
      <c r="G485" s="155"/>
      <c r="H485" s="140"/>
    </row>
    <row r="486">
      <c r="A486" s="140"/>
      <c r="B486" s="153"/>
      <c r="C486" s="140"/>
      <c r="D486" s="153"/>
      <c r="E486" s="153"/>
      <c r="F486" s="154"/>
      <c r="G486" s="155"/>
      <c r="H486" s="140"/>
    </row>
    <row r="487">
      <c r="A487" s="140"/>
      <c r="B487" s="153"/>
      <c r="C487" s="140"/>
      <c r="D487" s="153"/>
      <c r="E487" s="153"/>
      <c r="F487" s="154"/>
      <c r="G487" s="155"/>
      <c r="H487" s="140"/>
    </row>
    <row r="488">
      <c r="A488" s="140"/>
      <c r="B488" s="153"/>
      <c r="C488" s="140"/>
      <c r="D488" s="153"/>
      <c r="E488" s="153"/>
      <c r="F488" s="154"/>
      <c r="G488" s="155"/>
      <c r="H488" s="140"/>
    </row>
    <row r="489">
      <c r="A489" s="140"/>
      <c r="B489" s="153"/>
      <c r="C489" s="140"/>
      <c r="D489" s="153"/>
      <c r="E489" s="153"/>
      <c r="F489" s="154"/>
      <c r="G489" s="155"/>
      <c r="H489" s="140"/>
    </row>
    <row r="490">
      <c r="A490" s="140"/>
      <c r="B490" s="153"/>
      <c r="C490" s="140"/>
      <c r="D490" s="153"/>
      <c r="E490" s="153"/>
      <c r="F490" s="154"/>
      <c r="G490" s="155"/>
      <c r="H490" s="140"/>
    </row>
    <row r="491">
      <c r="A491" s="140"/>
      <c r="B491" s="153"/>
      <c r="C491" s="140"/>
      <c r="D491" s="153"/>
      <c r="E491" s="153"/>
      <c r="F491" s="154"/>
      <c r="G491" s="155"/>
      <c r="H491" s="140"/>
    </row>
    <row r="492">
      <c r="A492" s="140"/>
      <c r="B492" s="153"/>
      <c r="C492" s="140"/>
      <c r="D492" s="153"/>
      <c r="E492" s="153"/>
      <c r="F492" s="154"/>
      <c r="G492" s="155"/>
      <c r="H492" s="140"/>
    </row>
    <row r="493">
      <c r="A493" s="140"/>
      <c r="B493" s="153"/>
      <c r="C493" s="140"/>
      <c r="D493" s="153"/>
      <c r="E493" s="153"/>
      <c r="F493" s="154"/>
      <c r="G493" s="155"/>
      <c r="H493" s="140"/>
    </row>
    <row r="494">
      <c r="A494" s="140"/>
      <c r="B494" s="153"/>
      <c r="C494" s="140"/>
      <c r="D494" s="153"/>
      <c r="E494" s="153"/>
      <c r="F494" s="154"/>
      <c r="G494" s="155"/>
      <c r="H494" s="140"/>
    </row>
    <row r="495">
      <c r="A495" s="140"/>
      <c r="B495" s="153"/>
      <c r="C495" s="140"/>
      <c r="D495" s="153"/>
      <c r="E495" s="153"/>
      <c r="F495" s="154"/>
      <c r="G495" s="155"/>
      <c r="H495" s="140"/>
    </row>
    <row r="496">
      <c r="A496" s="140"/>
      <c r="B496" s="153"/>
      <c r="C496" s="140"/>
      <c r="D496" s="153"/>
      <c r="E496" s="153"/>
      <c r="F496" s="154"/>
      <c r="G496" s="155"/>
      <c r="H496" s="140"/>
    </row>
    <row r="497">
      <c r="A497" s="140"/>
      <c r="B497" s="153"/>
      <c r="C497" s="140"/>
      <c r="D497" s="153"/>
      <c r="E497" s="153"/>
      <c r="F497" s="154"/>
      <c r="G497" s="155"/>
      <c r="H497" s="140"/>
    </row>
    <row r="498">
      <c r="A498" s="140"/>
      <c r="B498" s="153"/>
      <c r="C498" s="140"/>
      <c r="D498" s="153"/>
      <c r="E498" s="153"/>
      <c r="F498" s="154"/>
      <c r="G498" s="155"/>
      <c r="H498" s="140"/>
    </row>
    <row r="499">
      <c r="A499" s="140"/>
      <c r="B499" s="153"/>
      <c r="C499" s="140"/>
      <c r="D499" s="153"/>
      <c r="E499" s="153"/>
      <c r="F499" s="154"/>
      <c r="G499" s="155"/>
      <c r="H499" s="140"/>
    </row>
    <row r="500">
      <c r="A500" s="140"/>
      <c r="B500" s="153"/>
      <c r="C500" s="140"/>
      <c r="D500" s="153"/>
      <c r="E500" s="153"/>
      <c r="F500" s="154"/>
      <c r="G500" s="155"/>
      <c r="H500" s="140"/>
    </row>
    <row r="501">
      <c r="A501" s="140"/>
      <c r="B501" s="153"/>
      <c r="C501" s="140"/>
      <c r="D501" s="153"/>
      <c r="E501" s="153"/>
      <c r="F501" s="154"/>
      <c r="G501" s="155"/>
      <c r="H501" s="140"/>
    </row>
    <row r="502">
      <c r="A502" s="140"/>
      <c r="B502" s="153"/>
      <c r="C502" s="140"/>
      <c r="D502" s="153"/>
      <c r="E502" s="153"/>
      <c r="F502" s="154"/>
      <c r="G502" s="155"/>
      <c r="H502" s="140"/>
    </row>
    <row r="503">
      <c r="A503" s="140"/>
      <c r="B503" s="153"/>
      <c r="C503" s="140"/>
      <c r="D503" s="153"/>
      <c r="E503" s="153"/>
      <c r="F503" s="154"/>
      <c r="G503" s="155"/>
      <c r="H503" s="140"/>
    </row>
    <row r="504">
      <c r="A504" s="140"/>
      <c r="B504" s="153"/>
      <c r="C504" s="140"/>
      <c r="D504" s="153"/>
      <c r="E504" s="153"/>
      <c r="F504" s="154"/>
      <c r="G504" s="155"/>
      <c r="H504" s="140"/>
    </row>
    <row r="505">
      <c r="A505" s="140"/>
      <c r="B505" s="153"/>
      <c r="C505" s="140"/>
      <c r="D505" s="153"/>
      <c r="E505" s="153"/>
      <c r="F505" s="154"/>
      <c r="G505" s="155"/>
      <c r="H505" s="140"/>
    </row>
    <row r="506">
      <c r="A506" s="140"/>
      <c r="B506" s="153"/>
      <c r="C506" s="140"/>
      <c r="D506" s="153"/>
      <c r="E506" s="153"/>
      <c r="F506" s="154"/>
      <c r="G506" s="155"/>
      <c r="H506" s="140"/>
    </row>
    <row r="507">
      <c r="A507" s="140"/>
      <c r="B507" s="153"/>
      <c r="C507" s="140"/>
      <c r="D507" s="153"/>
      <c r="E507" s="153"/>
      <c r="F507" s="154"/>
      <c r="G507" s="155"/>
      <c r="H507" s="140"/>
    </row>
    <row r="508">
      <c r="A508" s="140"/>
      <c r="B508" s="153"/>
      <c r="C508" s="140"/>
      <c r="D508" s="153"/>
      <c r="E508" s="153"/>
      <c r="F508" s="154"/>
      <c r="G508" s="155"/>
      <c r="H508" s="140"/>
    </row>
    <row r="509">
      <c r="A509" s="140"/>
      <c r="B509" s="153"/>
      <c r="C509" s="140"/>
      <c r="D509" s="153"/>
      <c r="E509" s="153"/>
      <c r="F509" s="154"/>
      <c r="G509" s="155"/>
      <c r="H509" s="140"/>
    </row>
    <row r="510">
      <c r="A510" s="140"/>
      <c r="B510" s="153"/>
      <c r="C510" s="140"/>
      <c r="D510" s="153"/>
      <c r="E510" s="153"/>
      <c r="F510" s="154"/>
      <c r="G510" s="155"/>
      <c r="H510" s="140"/>
    </row>
    <row r="511">
      <c r="A511" s="140"/>
      <c r="B511" s="153"/>
      <c r="C511" s="140"/>
      <c r="D511" s="153"/>
      <c r="E511" s="153"/>
      <c r="F511" s="154"/>
      <c r="G511" s="155"/>
      <c r="H511" s="140"/>
    </row>
    <row r="512">
      <c r="A512" s="140"/>
      <c r="B512" s="153"/>
      <c r="C512" s="140"/>
      <c r="D512" s="153"/>
      <c r="E512" s="153"/>
      <c r="F512" s="154"/>
      <c r="G512" s="155"/>
      <c r="H512" s="140"/>
    </row>
    <row r="513">
      <c r="A513" s="140"/>
      <c r="B513" s="153"/>
      <c r="C513" s="140"/>
      <c r="D513" s="153"/>
      <c r="E513" s="153"/>
      <c r="F513" s="154"/>
      <c r="G513" s="155"/>
      <c r="H513" s="140"/>
    </row>
    <row r="514">
      <c r="A514" s="140"/>
      <c r="B514" s="153"/>
      <c r="C514" s="140"/>
      <c r="D514" s="153"/>
      <c r="E514" s="153"/>
      <c r="F514" s="154"/>
      <c r="G514" s="155"/>
      <c r="H514" s="140"/>
    </row>
    <row r="515">
      <c r="A515" s="140"/>
      <c r="B515" s="153"/>
      <c r="C515" s="140"/>
      <c r="D515" s="153"/>
      <c r="E515" s="153"/>
      <c r="F515" s="154"/>
      <c r="G515" s="155"/>
      <c r="H515" s="140"/>
    </row>
    <row r="516">
      <c r="A516" s="140"/>
      <c r="B516" s="153"/>
      <c r="C516" s="140"/>
      <c r="D516" s="153"/>
      <c r="E516" s="153"/>
      <c r="F516" s="154"/>
      <c r="G516" s="155"/>
      <c r="H516" s="140"/>
    </row>
    <row r="517">
      <c r="A517" s="140"/>
      <c r="B517" s="153"/>
      <c r="C517" s="140"/>
      <c r="D517" s="153"/>
      <c r="E517" s="153"/>
      <c r="F517" s="154"/>
      <c r="G517" s="155"/>
      <c r="H517" s="140"/>
    </row>
    <row r="518">
      <c r="A518" s="140"/>
      <c r="B518" s="153"/>
      <c r="C518" s="140"/>
      <c r="D518" s="153"/>
      <c r="E518" s="153"/>
      <c r="F518" s="154"/>
      <c r="G518" s="155"/>
      <c r="H518" s="140"/>
    </row>
    <row r="519">
      <c r="A519" s="140"/>
      <c r="B519" s="153"/>
      <c r="C519" s="140"/>
      <c r="D519" s="153"/>
      <c r="E519" s="153"/>
      <c r="F519" s="154"/>
      <c r="G519" s="155"/>
      <c r="H519" s="140"/>
    </row>
    <row r="520">
      <c r="A520" s="140"/>
      <c r="B520" s="153"/>
      <c r="C520" s="140"/>
      <c r="D520" s="153"/>
      <c r="E520" s="153"/>
      <c r="F520" s="154"/>
      <c r="G520" s="155"/>
      <c r="H520" s="140"/>
    </row>
    <row r="521">
      <c r="A521" s="140"/>
      <c r="B521" s="153"/>
      <c r="C521" s="140"/>
      <c r="D521" s="153"/>
      <c r="E521" s="153"/>
      <c r="F521" s="154"/>
      <c r="G521" s="155"/>
      <c r="H521" s="140"/>
    </row>
    <row r="522">
      <c r="A522" s="140"/>
      <c r="B522" s="153"/>
      <c r="C522" s="140"/>
      <c r="D522" s="153"/>
      <c r="E522" s="153"/>
      <c r="F522" s="154"/>
      <c r="G522" s="155"/>
      <c r="H522" s="140"/>
    </row>
    <row r="523">
      <c r="A523" s="140"/>
      <c r="B523" s="153"/>
      <c r="C523" s="140"/>
      <c r="D523" s="153"/>
      <c r="E523" s="153"/>
      <c r="F523" s="154"/>
      <c r="G523" s="155"/>
      <c r="H523" s="140"/>
    </row>
    <row r="524">
      <c r="A524" s="140"/>
      <c r="B524" s="153"/>
      <c r="C524" s="140"/>
      <c r="D524" s="153"/>
      <c r="E524" s="153"/>
      <c r="F524" s="154"/>
      <c r="G524" s="155"/>
      <c r="H524" s="140"/>
    </row>
    <row r="525">
      <c r="A525" s="140"/>
      <c r="B525" s="153"/>
      <c r="C525" s="140"/>
      <c r="D525" s="153"/>
      <c r="E525" s="153"/>
      <c r="F525" s="154"/>
      <c r="G525" s="155"/>
      <c r="H525" s="140"/>
    </row>
    <row r="526">
      <c r="A526" s="140"/>
      <c r="B526" s="153"/>
      <c r="C526" s="140"/>
      <c r="D526" s="153"/>
      <c r="E526" s="153"/>
      <c r="F526" s="154"/>
      <c r="G526" s="155"/>
      <c r="H526" s="140"/>
    </row>
    <row r="527">
      <c r="A527" s="140"/>
      <c r="B527" s="153"/>
      <c r="C527" s="140"/>
      <c r="D527" s="153"/>
      <c r="E527" s="153"/>
      <c r="F527" s="154"/>
      <c r="G527" s="155"/>
      <c r="H527" s="140"/>
    </row>
    <row r="528">
      <c r="A528" s="140"/>
      <c r="B528" s="153"/>
      <c r="C528" s="140"/>
      <c r="D528" s="153"/>
      <c r="E528" s="153"/>
      <c r="F528" s="154"/>
      <c r="G528" s="155"/>
      <c r="H528" s="140"/>
    </row>
    <row r="529">
      <c r="A529" s="140"/>
      <c r="B529" s="153"/>
      <c r="C529" s="140"/>
      <c r="D529" s="153"/>
      <c r="E529" s="153"/>
      <c r="F529" s="154"/>
      <c r="G529" s="155"/>
      <c r="H529" s="140"/>
    </row>
    <row r="530">
      <c r="A530" s="140"/>
      <c r="B530" s="153"/>
      <c r="C530" s="140"/>
      <c r="D530" s="153"/>
      <c r="E530" s="153"/>
      <c r="F530" s="154"/>
      <c r="G530" s="155"/>
      <c r="H530" s="140"/>
    </row>
    <row r="531">
      <c r="A531" s="140"/>
      <c r="B531" s="153"/>
      <c r="C531" s="140"/>
      <c r="D531" s="153"/>
      <c r="E531" s="153"/>
      <c r="F531" s="154"/>
      <c r="G531" s="155"/>
      <c r="H531" s="140"/>
    </row>
    <row r="532">
      <c r="A532" s="140"/>
      <c r="B532" s="153"/>
      <c r="C532" s="140"/>
      <c r="D532" s="153"/>
      <c r="E532" s="153"/>
      <c r="F532" s="154"/>
      <c r="G532" s="155"/>
      <c r="H532" s="140"/>
    </row>
    <row r="533">
      <c r="A533" s="140"/>
      <c r="B533" s="153"/>
      <c r="C533" s="140"/>
      <c r="D533" s="153"/>
      <c r="E533" s="153"/>
      <c r="F533" s="154"/>
      <c r="G533" s="155"/>
      <c r="H533" s="140"/>
    </row>
    <row r="534">
      <c r="A534" s="140"/>
      <c r="B534" s="153"/>
      <c r="C534" s="140"/>
      <c r="D534" s="153"/>
      <c r="E534" s="153"/>
      <c r="F534" s="154"/>
      <c r="G534" s="155"/>
      <c r="H534" s="140"/>
    </row>
    <row r="535">
      <c r="A535" s="140"/>
      <c r="B535" s="153"/>
      <c r="C535" s="140"/>
      <c r="D535" s="153"/>
      <c r="E535" s="153"/>
      <c r="F535" s="154"/>
      <c r="G535" s="155"/>
      <c r="H535" s="140"/>
    </row>
    <row r="536">
      <c r="A536" s="140"/>
      <c r="B536" s="153"/>
      <c r="C536" s="140"/>
      <c r="D536" s="153"/>
      <c r="E536" s="153"/>
      <c r="F536" s="154"/>
      <c r="G536" s="155"/>
      <c r="H536" s="140"/>
    </row>
    <row r="537">
      <c r="A537" s="140"/>
      <c r="B537" s="153"/>
      <c r="C537" s="140"/>
      <c r="D537" s="153"/>
      <c r="E537" s="153"/>
      <c r="F537" s="154"/>
      <c r="G537" s="155"/>
      <c r="H537" s="140"/>
    </row>
    <row r="538">
      <c r="A538" s="140"/>
      <c r="B538" s="153"/>
      <c r="C538" s="140"/>
      <c r="D538" s="153"/>
      <c r="E538" s="153"/>
      <c r="F538" s="154"/>
      <c r="G538" s="155"/>
      <c r="H538" s="140"/>
    </row>
    <row r="539">
      <c r="A539" s="140"/>
      <c r="B539" s="153"/>
      <c r="C539" s="140"/>
      <c r="D539" s="153"/>
      <c r="E539" s="153"/>
      <c r="F539" s="154"/>
      <c r="G539" s="155"/>
      <c r="H539" s="140"/>
    </row>
    <row r="540">
      <c r="A540" s="140"/>
      <c r="B540" s="153"/>
      <c r="C540" s="140"/>
      <c r="D540" s="153"/>
      <c r="E540" s="153"/>
      <c r="F540" s="154"/>
      <c r="G540" s="155"/>
      <c r="H540" s="140"/>
    </row>
    <row r="541">
      <c r="A541" s="140"/>
      <c r="B541" s="153"/>
      <c r="C541" s="140"/>
      <c r="D541" s="153"/>
      <c r="E541" s="153"/>
      <c r="F541" s="154"/>
      <c r="G541" s="155"/>
      <c r="H541" s="140"/>
    </row>
    <row r="542">
      <c r="A542" s="140"/>
      <c r="B542" s="153"/>
      <c r="C542" s="140"/>
      <c r="D542" s="153"/>
      <c r="E542" s="153"/>
      <c r="F542" s="154"/>
      <c r="G542" s="155"/>
      <c r="H542" s="140"/>
    </row>
    <row r="543">
      <c r="A543" s="140"/>
      <c r="B543" s="153"/>
      <c r="C543" s="140"/>
      <c r="D543" s="153"/>
      <c r="E543" s="153"/>
      <c r="F543" s="154"/>
      <c r="G543" s="155"/>
      <c r="H543" s="140"/>
    </row>
    <row r="544">
      <c r="A544" s="140"/>
      <c r="B544" s="153"/>
      <c r="C544" s="140"/>
      <c r="D544" s="153"/>
      <c r="E544" s="153"/>
      <c r="F544" s="154"/>
      <c r="G544" s="155"/>
      <c r="H544" s="140"/>
    </row>
    <row r="545">
      <c r="A545" s="140"/>
      <c r="B545" s="153"/>
      <c r="C545" s="140"/>
      <c r="D545" s="153"/>
      <c r="E545" s="153"/>
      <c r="F545" s="154"/>
      <c r="G545" s="155"/>
      <c r="H545" s="140"/>
    </row>
    <row r="546">
      <c r="A546" s="140"/>
      <c r="B546" s="153"/>
      <c r="C546" s="140"/>
      <c r="D546" s="153"/>
      <c r="E546" s="153"/>
      <c r="F546" s="154"/>
      <c r="G546" s="155"/>
      <c r="H546" s="140"/>
    </row>
    <row r="547">
      <c r="A547" s="140"/>
      <c r="B547" s="153"/>
      <c r="C547" s="140"/>
      <c r="D547" s="153"/>
      <c r="E547" s="153"/>
      <c r="F547" s="154"/>
      <c r="G547" s="155"/>
      <c r="H547" s="140"/>
    </row>
    <row r="548">
      <c r="A548" s="140"/>
      <c r="B548" s="153"/>
      <c r="C548" s="140"/>
      <c r="D548" s="153"/>
      <c r="E548" s="153"/>
      <c r="F548" s="154"/>
      <c r="G548" s="155"/>
      <c r="H548" s="140"/>
    </row>
    <row r="549">
      <c r="A549" s="140"/>
      <c r="B549" s="153"/>
      <c r="C549" s="140"/>
      <c r="D549" s="153"/>
      <c r="E549" s="153"/>
      <c r="F549" s="154"/>
      <c r="G549" s="155"/>
      <c r="H549" s="140"/>
    </row>
    <row r="550">
      <c r="A550" s="140"/>
      <c r="B550" s="153"/>
      <c r="C550" s="140"/>
      <c r="D550" s="153"/>
      <c r="E550" s="153"/>
      <c r="F550" s="154"/>
      <c r="G550" s="155"/>
      <c r="H550" s="140"/>
    </row>
    <row r="551">
      <c r="A551" s="140"/>
      <c r="B551" s="153"/>
      <c r="C551" s="140"/>
      <c r="D551" s="153"/>
      <c r="E551" s="153"/>
      <c r="F551" s="154"/>
      <c r="G551" s="155"/>
      <c r="H551" s="140"/>
    </row>
    <row r="552">
      <c r="A552" s="140"/>
      <c r="B552" s="153"/>
      <c r="C552" s="140"/>
      <c r="D552" s="153"/>
      <c r="E552" s="153"/>
      <c r="F552" s="154"/>
      <c r="G552" s="155"/>
      <c r="H552" s="140"/>
    </row>
    <row r="553">
      <c r="A553" s="140"/>
      <c r="B553" s="153"/>
      <c r="C553" s="140"/>
      <c r="D553" s="153"/>
      <c r="E553" s="153"/>
      <c r="F553" s="154"/>
      <c r="G553" s="155"/>
      <c r="H553" s="140"/>
    </row>
    <row r="554">
      <c r="A554" s="140"/>
      <c r="B554" s="153"/>
      <c r="C554" s="140"/>
      <c r="D554" s="153"/>
      <c r="E554" s="153"/>
      <c r="F554" s="154"/>
      <c r="G554" s="155"/>
      <c r="H554" s="140"/>
    </row>
    <row r="555">
      <c r="A555" s="140"/>
      <c r="B555" s="153"/>
      <c r="C555" s="140"/>
      <c r="D555" s="153"/>
      <c r="E555" s="153"/>
      <c r="F555" s="154"/>
      <c r="G555" s="155"/>
      <c r="H555" s="140"/>
    </row>
    <row r="556">
      <c r="A556" s="140"/>
      <c r="B556" s="153"/>
      <c r="C556" s="140"/>
      <c r="D556" s="153"/>
      <c r="E556" s="153"/>
      <c r="F556" s="154"/>
      <c r="G556" s="155"/>
      <c r="H556" s="140"/>
    </row>
    <row r="557">
      <c r="A557" s="140"/>
      <c r="B557" s="153"/>
      <c r="C557" s="140"/>
      <c r="D557" s="153"/>
      <c r="E557" s="153"/>
      <c r="F557" s="154"/>
      <c r="G557" s="155"/>
      <c r="H557" s="140"/>
    </row>
    <row r="558">
      <c r="A558" s="140"/>
      <c r="B558" s="153"/>
      <c r="C558" s="140"/>
      <c r="D558" s="153"/>
      <c r="E558" s="153"/>
      <c r="F558" s="154"/>
      <c r="G558" s="155"/>
      <c r="H558" s="140"/>
    </row>
    <row r="559">
      <c r="A559" s="140"/>
      <c r="B559" s="153"/>
      <c r="C559" s="140"/>
      <c r="D559" s="153"/>
      <c r="E559" s="153"/>
      <c r="F559" s="154"/>
      <c r="G559" s="155"/>
      <c r="H559" s="140"/>
    </row>
    <row r="560">
      <c r="A560" s="140"/>
      <c r="B560" s="153"/>
      <c r="C560" s="140"/>
      <c r="D560" s="153"/>
      <c r="E560" s="153"/>
      <c r="F560" s="154"/>
      <c r="G560" s="155"/>
      <c r="H560" s="140"/>
    </row>
    <row r="561">
      <c r="A561" s="140"/>
      <c r="B561" s="153"/>
      <c r="C561" s="140"/>
      <c r="D561" s="153"/>
      <c r="E561" s="153"/>
      <c r="F561" s="154"/>
      <c r="G561" s="155"/>
      <c r="H561" s="140"/>
    </row>
    <row r="562">
      <c r="A562" s="140"/>
      <c r="B562" s="153"/>
      <c r="C562" s="140"/>
      <c r="D562" s="153"/>
      <c r="E562" s="153"/>
      <c r="F562" s="154"/>
      <c r="G562" s="155"/>
      <c r="H562" s="140"/>
    </row>
    <row r="563">
      <c r="A563" s="140"/>
      <c r="B563" s="153"/>
      <c r="C563" s="140"/>
      <c r="D563" s="153"/>
      <c r="E563" s="153"/>
      <c r="F563" s="154"/>
      <c r="G563" s="155"/>
      <c r="H563" s="140"/>
    </row>
    <row r="564">
      <c r="A564" s="140"/>
      <c r="B564" s="153"/>
      <c r="C564" s="140"/>
      <c r="D564" s="153"/>
      <c r="E564" s="153"/>
      <c r="F564" s="154"/>
      <c r="G564" s="155"/>
      <c r="H564" s="140"/>
    </row>
    <row r="565">
      <c r="A565" s="140"/>
      <c r="B565" s="153"/>
      <c r="C565" s="140"/>
      <c r="D565" s="153"/>
      <c r="E565" s="153"/>
      <c r="F565" s="154"/>
      <c r="G565" s="155"/>
      <c r="H565" s="140"/>
    </row>
    <row r="566">
      <c r="A566" s="140"/>
      <c r="B566" s="153"/>
      <c r="C566" s="140"/>
      <c r="D566" s="153"/>
      <c r="E566" s="153"/>
      <c r="F566" s="154"/>
      <c r="G566" s="155"/>
      <c r="H566" s="140"/>
    </row>
    <row r="567">
      <c r="A567" s="140"/>
      <c r="B567" s="153"/>
      <c r="C567" s="140"/>
      <c r="D567" s="153"/>
      <c r="E567" s="153"/>
      <c r="F567" s="154"/>
      <c r="G567" s="155"/>
      <c r="H567" s="140"/>
    </row>
    <row r="568">
      <c r="A568" s="140"/>
      <c r="B568" s="153"/>
      <c r="C568" s="140"/>
      <c r="D568" s="153"/>
      <c r="E568" s="153"/>
      <c r="F568" s="154"/>
      <c r="G568" s="155"/>
      <c r="H568" s="140"/>
    </row>
    <row r="569">
      <c r="A569" s="140"/>
      <c r="B569" s="153"/>
      <c r="C569" s="140"/>
      <c r="D569" s="153"/>
      <c r="E569" s="153"/>
      <c r="F569" s="154"/>
      <c r="G569" s="155"/>
      <c r="H569" s="140"/>
    </row>
    <row r="570">
      <c r="A570" s="140"/>
      <c r="B570" s="153"/>
      <c r="C570" s="140"/>
      <c r="D570" s="153"/>
      <c r="E570" s="153"/>
      <c r="F570" s="154"/>
      <c r="G570" s="155"/>
      <c r="H570" s="140"/>
    </row>
    <row r="571">
      <c r="A571" s="140"/>
      <c r="B571" s="153"/>
      <c r="C571" s="140"/>
      <c r="D571" s="153"/>
      <c r="E571" s="153"/>
      <c r="F571" s="154"/>
      <c r="G571" s="155"/>
      <c r="H571" s="140"/>
    </row>
    <row r="572">
      <c r="A572" s="140"/>
      <c r="B572" s="153"/>
      <c r="C572" s="140"/>
      <c r="D572" s="153"/>
      <c r="E572" s="153"/>
      <c r="F572" s="154"/>
      <c r="G572" s="155"/>
      <c r="H572" s="140"/>
    </row>
    <row r="573">
      <c r="A573" s="140"/>
      <c r="B573" s="153"/>
      <c r="C573" s="140"/>
      <c r="D573" s="153"/>
      <c r="E573" s="153"/>
      <c r="F573" s="154"/>
      <c r="G573" s="155"/>
      <c r="H573" s="140"/>
    </row>
    <row r="574">
      <c r="A574" s="140"/>
      <c r="B574" s="153"/>
      <c r="C574" s="140"/>
      <c r="D574" s="153"/>
      <c r="E574" s="153"/>
      <c r="F574" s="154"/>
      <c r="G574" s="155"/>
      <c r="H574" s="140"/>
    </row>
    <row r="575">
      <c r="A575" s="140"/>
      <c r="B575" s="153"/>
      <c r="C575" s="140"/>
      <c r="D575" s="153"/>
      <c r="E575" s="153"/>
      <c r="F575" s="154"/>
      <c r="G575" s="155"/>
      <c r="H575" s="140"/>
    </row>
    <row r="576">
      <c r="A576" s="140"/>
      <c r="B576" s="153"/>
      <c r="C576" s="140"/>
      <c r="D576" s="153"/>
      <c r="E576" s="153"/>
      <c r="F576" s="154"/>
      <c r="G576" s="155"/>
      <c r="H576" s="140"/>
    </row>
    <row r="577">
      <c r="A577" s="140"/>
      <c r="B577" s="153"/>
      <c r="C577" s="140"/>
      <c r="D577" s="153"/>
      <c r="E577" s="153"/>
      <c r="F577" s="154"/>
      <c r="G577" s="155"/>
      <c r="H577" s="140"/>
    </row>
    <row r="578">
      <c r="A578" s="140"/>
      <c r="B578" s="153"/>
      <c r="C578" s="140"/>
      <c r="D578" s="153"/>
      <c r="E578" s="153"/>
      <c r="F578" s="154"/>
      <c r="G578" s="155"/>
      <c r="H578" s="140"/>
    </row>
    <row r="579">
      <c r="A579" s="140"/>
      <c r="B579" s="153"/>
      <c r="C579" s="140"/>
      <c r="D579" s="153"/>
      <c r="E579" s="153"/>
      <c r="F579" s="154"/>
      <c r="G579" s="155"/>
      <c r="H579" s="140"/>
    </row>
    <row r="580">
      <c r="A580" s="140"/>
      <c r="B580" s="153"/>
      <c r="C580" s="140"/>
      <c r="D580" s="153"/>
      <c r="E580" s="153"/>
      <c r="F580" s="154"/>
      <c r="G580" s="155"/>
      <c r="H580" s="140"/>
    </row>
    <row r="581">
      <c r="A581" s="140"/>
      <c r="B581" s="153"/>
      <c r="C581" s="140"/>
      <c r="D581" s="153"/>
      <c r="E581" s="153"/>
      <c r="F581" s="154"/>
      <c r="G581" s="155"/>
      <c r="H581" s="140"/>
    </row>
    <row r="582">
      <c r="A582" s="140"/>
      <c r="B582" s="153"/>
      <c r="C582" s="140"/>
      <c r="D582" s="153"/>
      <c r="E582" s="153"/>
      <c r="F582" s="154"/>
      <c r="G582" s="155"/>
      <c r="H582" s="140"/>
    </row>
    <row r="583">
      <c r="A583" s="140"/>
      <c r="B583" s="153"/>
      <c r="C583" s="140"/>
      <c r="D583" s="153"/>
      <c r="E583" s="153"/>
      <c r="F583" s="154"/>
      <c r="G583" s="155"/>
      <c r="H583" s="140"/>
    </row>
    <row r="584">
      <c r="A584" s="140"/>
      <c r="B584" s="153"/>
      <c r="C584" s="140"/>
      <c r="D584" s="153"/>
      <c r="E584" s="153"/>
      <c r="F584" s="154"/>
      <c r="G584" s="155"/>
      <c r="H584" s="140"/>
    </row>
    <row r="585">
      <c r="A585" s="140"/>
      <c r="B585" s="153"/>
      <c r="C585" s="140"/>
      <c r="D585" s="153"/>
      <c r="E585" s="153"/>
      <c r="F585" s="154"/>
      <c r="G585" s="155"/>
      <c r="H585" s="140"/>
    </row>
    <row r="586">
      <c r="A586" s="140"/>
      <c r="B586" s="153"/>
      <c r="C586" s="140"/>
      <c r="D586" s="153"/>
      <c r="E586" s="153"/>
      <c r="F586" s="154"/>
      <c r="G586" s="155"/>
      <c r="H586" s="140"/>
    </row>
    <row r="587">
      <c r="A587" s="140"/>
      <c r="B587" s="153"/>
      <c r="C587" s="140"/>
      <c r="D587" s="153"/>
      <c r="E587" s="153"/>
      <c r="F587" s="154"/>
      <c r="G587" s="155"/>
      <c r="H587" s="140"/>
    </row>
    <row r="588">
      <c r="A588" s="140"/>
      <c r="B588" s="153"/>
      <c r="C588" s="140"/>
      <c r="D588" s="153"/>
      <c r="E588" s="153"/>
      <c r="F588" s="154"/>
      <c r="G588" s="155"/>
      <c r="H588" s="140"/>
    </row>
    <row r="589">
      <c r="A589" s="140"/>
      <c r="B589" s="153"/>
      <c r="C589" s="140"/>
      <c r="D589" s="153"/>
      <c r="E589" s="153"/>
      <c r="F589" s="154"/>
      <c r="G589" s="155"/>
      <c r="H589" s="140"/>
    </row>
    <row r="590">
      <c r="A590" s="140"/>
      <c r="B590" s="153"/>
      <c r="C590" s="140"/>
      <c r="D590" s="153"/>
      <c r="E590" s="153"/>
      <c r="F590" s="154"/>
      <c r="G590" s="155"/>
      <c r="H590" s="140"/>
    </row>
    <row r="591">
      <c r="A591" s="140"/>
      <c r="B591" s="153"/>
      <c r="C591" s="140"/>
      <c r="D591" s="153"/>
      <c r="E591" s="153"/>
      <c r="F591" s="154"/>
      <c r="G591" s="155"/>
      <c r="H591" s="140"/>
    </row>
    <row r="592">
      <c r="A592" s="140"/>
      <c r="B592" s="153"/>
      <c r="C592" s="140"/>
      <c r="D592" s="153"/>
      <c r="E592" s="153"/>
      <c r="F592" s="154"/>
      <c r="G592" s="155"/>
      <c r="H592" s="140"/>
    </row>
    <row r="593">
      <c r="A593" s="140"/>
      <c r="B593" s="153"/>
      <c r="C593" s="140"/>
      <c r="D593" s="153"/>
      <c r="E593" s="153"/>
      <c r="F593" s="154"/>
      <c r="G593" s="155"/>
      <c r="H593" s="140"/>
    </row>
    <row r="594">
      <c r="A594" s="140"/>
      <c r="B594" s="153"/>
      <c r="C594" s="140"/>
      <c r="D594" s="153"/>
      <c r="E594" s="153"/>
      <c r="F594" s="154"/>
      <c r="G594" s="155"/>
      <c r="H594" s="140"/>
    </row>
    <row r="595">
      <c r="A595" s="140"/>
      <c r="B595" s="153"/>
      <c r="C595" s="140"/>
      <c r="D595" s="153"/>
      <c r="E595" s="153"/>
      <c r="F595" s="154"/>
      <c r="G595" s="155"/>
      <c r="H595" s="140"/>
    </row>
    <row r="596">
      <c r="A596" s="140"/>
      <c r="B596" s="153"/>
      <c r="C596" s="140"/>
      <c r="D596" s="153"/>
      <c r="E596" s="153"/>
      <c r="F596" s="154"/>
      <c r="G596" s="155"/>
      <c r="H596" s="140"/>
    </row>
    <row r="597">
      <c r="A597" s="140"/>
      <c r="B597" s="153"/>
      <c r="C597" s="140"/>
      <c r="D597" s="153"/>
      <c r="E597" s="153"/>
      <c r="F597" s="154"/>
      <c r="G597" s="155"/>
      <c r="H597" s="140"/>
    </row>
    <row r="598">
      <c r="A598" s="140"/>
      <c r="B598" s="153"/>
      <c r="C598" s="140"/>
      <c r="D598" s="153"/>
      <c r="E598" s="153"/>
      <c r="F598" s="154"/>
      <c r="G598" s="155"/>
      <c r="H598" s="140"/>
    </row>
    <row r="599">
      <c r="A599" s="140"/>
      <c r="B599" s="153"/>
      <c r="C599" s="140"/>
      <c r="D599" s="153"/>
      <c r="E599" s="153"/>
      <c r="F599" s="154"/>
      <c r="G599" s="155"/>
      <c r="H599" s="140"/>
    </row>
    <row r="600">
      <c r="A600" s="140"/>
      <c r="B600" s="153"/>
      <c r="C600" s="140"/>
      <c r="D600" s="153"/>
      <c r="E600" s="153"/>
      <c r="F600" s="154"/>
      <c r="G600" s="155"/>
      <c r="H600" s="140"/>
    </row>
    <row r="601">
      <c r="A601" s="140"/>
      <c r="B601" s="153"/>
      <c r="C601" s="140"/>
      <c r="D601" s="153"/>
      <c r="E601" s="153"/>
      <c r="F601" s="154"/>
      <c r="G601" s="155"/>
      <c r="H601" s="140"/>
    </row>
    <row r="602">
      <c r="A602" s="140"/>
      <c r="B602" s="153"/>
      <c r="C602" s="140"/>
      <c r="D602" s="153"/>
      <c r="E602" s="153"/>
      <c r="F602" s="154"/>
      <c r="G602" s="155"/>
      <c r="H602" s="140"/>
    </row>
    <row r="603">
      <c r="A603" s="140"/>
      <c r="B603" s="153"/>
      <c r="C603" s="140"/>
      <c r="D603" s="153"/>
      <c r="E603" s="153"/>
      <c r="F603" s="154"/>
      <c r="G603" s="155"/>
      <c r="H603" s="140"/>
    </row>
    <row r="604">
      <c r="A604" s="140"/>
      <c r="B604" s="153"/>
      <c r="C604" s="140"/>
      <c r="D604" s="153"/>
      <c r="E604" s="153"/>
      <c r="F604" s="154"/>
      <c r="G604" s="155"/>
      <c r="H604" s="140"/>
    </row>
    <row r="605">
      <c r="A605" s="140"/>
      <c r="B605" s="153"/>
      <c r="C605" s="140"/>
      <c r="D605" s="153"/>
      <c r="E605" s="153"/>
      <c r="F605" s="154"/>
      <c r="G605" s="155"/>
      <c r="H605" s="140"/>
    </row>
    <row r="606">
      <c r="A606" s="140"/>
      <c r="B606" s="153"/>
      <c r="C606" s="140"/>
      <c r="D606" s="153"/>
      <c r="E606" s="153"/>
      <c r="F606" s="154"/>
      <c r="G606" s="155"/>
      <c r="H606" s="140"/>
    </row>
    <row r="607">
      <c r="A607" s="140"/>
      <c r="B607" s="153"/>
      <c r="C607" s="140"/>
      <c r="D607" s="153"/>
      <c r="E607" s="153"/>
      <c r="F607" s="154"/>
      <c r="G607" s="155"/>
      <c r="H607" s="140"/>
    </row>
    <row r="608">
      <c r="A608" s="140"/>
      <c r="B608" s="153"/>
      <c r="C608" s="140"/>
      <c r="D608" s="153"/>
      <c r="E608" s="153"/>
      <c r="F608" s="154"/>
      <c r="G608" s="155"/>
      <c r="H608" s="140"/>
    </row>
    <row r="609">
      <c r="A609" s="140"/>
      <c r="B609" s="153"/>
      <c r="C609" s="140"/>
      <c r="D609" s="153"/>
      <c r="E609" s="153"/>
      <c r="F609" s="154"/>
      <c r="G609" s="155"/>
      <c r="H609" s="140"/>
    </row>
    <row r="610">
      <c r="A610" s="140"/>
      <c r="B610" s="153"/>
      <c r="C610" s="140"/>
      <c r="D610" s="153"/>
      <c r="E610" s="153"/>
      <c r="F610" s="154"/>
      <c r="G610" s="155"/>
      <c r="H610" s="140"/>
    </row>
    <row r="611">
      <c r="A611" s="140"/>
      <c r="B611" s="153"/>
      <c r="C611" s="140"/>
      <c r="D611" s="153"/>
      <c r="E611" s="153"/>
      <c r="F611" s="154"/>
      <c r="G611" s="155"/>
      <c r="H611" s="140"/>
    </row>
    <row r="612">
      <c r="A612" s="140"/>
      <c r="B612" s="153"/>
      <c r="C612" s="140"/>
      <c r="D612" s="153"/>
      <c r="E612" s="153"/>
      <c r="F612" s="154"/>
      <c r="G612" s="155"/>
      <c r="H612" s="140"/>
    </row>
    <row r="613">
      <c r="A613" s="140"/>
      <c r="B613" s="153"/>
      <c r="C613" s="140"/>
      <c r="D613" s="153"/>
      <c r="E613" s="153"/>
      <c r="F613" s="154"/>
      <c r="G613" s="155"/>
      <c r="H613" s="140"/>
    </row>
    <row r="614">
      <c r="A614" s="140"/>
      <c r="B614" s="153"/>
      <c r="C614" s="140"/>
      <c r="D614" s="153"/>
      <c r="E614" s="153"/>
      <c r="F614" s="154"/>
      <c r="G614" s="155"/>
      <c r="H614" s="140"/>
    </row>
    <row r="615">
      <c r="A615" s="140"/>
      <c r="B615" s="153"/>
      <c r="C615" s="140"/>
      <c r="D615" s="153"/>
      <c r="E615" s="153"/>
      <c r="F615" s="154"/>
      <c r="G615" s="155"/>
      <c r="H615" s="140"/>
    </row>
    <row r="616">
      <c r="A616" s="140"/>
      <c r="B616" s="153"/>
      <c r="C616" s="140"/>
      <c r="D616" s="153"/>
      <c r="E616" s="153"/>
      <c r="F616" s="154"/>
      <c r="G616" s="155"/>
      <c r="H616" s="140"/>
    </row>
    <row r="617">
      <c r="A617" s="140"/>
      <c r="B617" s="153"/>
      <c r="C617" s="140"/>
      <c r="D617" s="153"/>
      <c r="E617" s="153"/>
      <c r="F617" s="154"/>
      <c r="G617" s="155"/>
      <c r="H617" s="140"/>
    </row>
    <row r="618">
      <c r="A618" s="140"/>
      <c r="B618" s="153"/>
      <c r="C618" s="140"/>
      <c r="D618" s="153"/>
      <c r="E618" s="153"/>
      <c r="F618" s="154"/>
      <c r="G618" s="155"/>
      <c r="H618" s="140"/>
    </row>
    <row r="619">
      <c r="A619" s="140"/>
      <c r="B619" s="153"/>
      <c r="C619" s="140"/>
      <c r="D619" s="153"/>
      <c r="E619" s="153"/>
      <c r="F619" s="154"/>
      <c r="G619" s="155"/>
      <c r="H619" s="140"/>
    </row>
    <row r="620">
      <c r="A620" s="140"/>
      <c r="B620" s="153"/>
      <c r="C620" s="140"/>
      <c r="D620" s="153"/>
      <c r="E620" s="153"/>
      <c r="F620" s="154"/>
      <c r="G620" s="155"/>
      <c r="H620" s="140"/>
    </row>
    <row r="621">
      <c r="A621" s="140"/>
      <c r="B621" s="153"/>
      <c r="C621" s="140"/>
      <c r="D621" s="153"/>
      <c r="E621" s="153"/>
      <c r="F621" s="154"/>
      <c r="G621" s="155"/>
      <c r="H621" s="140"/>
    </row>
    <row r="622">
      <c r="A622" s="140"/>
      <c r="B622" s="153"/>
      <c r="C622" s="140"/>
      <c r="D622" s="153"/>
      <c r="E622" s="153"/>
      <c r="F622" s="154"/>
      <c r="G622" s="155"/>
      <c r="H622" s="140"/>
    </row>
    <row r="623">
      <c r="A623" s="140"/>
      <c r="B623" s="153"/>
      <c r="C623" s="140"/>
      <c r="D623" s="153"/>
      <c r="E623" s="153"/>
      <c r="F623" s="154"/>
      <c r="G623" s="155"/>
      <c r="H623" s="140"/>
    </row>
    <row r="624">
      <c r="A624" s="140"/>
      <c r="B624" s="153"/>
      <c r="C624" s="140"/>
      <c r="D624" s="153"/>
      <c r="E624" s="153"/>
      <c r="F624" s="154"/>
      <c r="G624" s="155"/>
      <c r="H624" s="140"/>
    </row>
    <row r="625">
      <c r="A625" s="140"/>
      <c r="B625" s="153"/>
      <c r="C625" s="140"/>
      <c r="D625" s="153"/>
      <c r="E625" s="153"/>
      <c r="F625" s="154"/>
      <c r="G625" s="155"/>
      <c r="H625" s="140"/>
    </row>
    <row r="626">
      <c r="A626" s="140"/>
      <c r="B626" s="153"/>
      <c r="C626" s="140"/>
      <c r="D626" s="153"/>
      <c r="E626" s="153"/>
      <c r="F626" s="154"/>
      <c r="G626" s="155"/>
      <c r="H626" s="140"/>
    </row>
    <row r="627">
      <c r="A627" s="140"/>
      <c r="B627" s="153"/>
      <c r="C627" s="140"/>
      <c r="D627" s="153"/>
      <c r="E627" s="153"/>
      <c r="F627" s="154"/>
      <c r="G627" s="155"/>
      <c r="H627" s="140"/>
    </row>
    <row r="628">
      <c r="A628" s="140"/>
      <c r="B628" s="153"/>
      <c r="C628" s="140"/>
      <c r="D628" s="153"/>
      <c r="E628" s="153"/>
      <c r="F628" s="154"/>
      <c r="G628" s="155"/>
      <c r="H628" s="140"/>
    </row>
    <row r="629">
      <c r="A629" s="140"/>
      <c r="B629" s="153"/>
      <c r="C629" s="140"/>
      <c r="D629" s="153"/>
      <c r="E629" s="153"/>
      <c r="F629" s="154"/>
      <c r="G629" s="155"/>
      <c r="H629" s="140"/>
    </row>
    <row r="630">
      <c r="A630" s="140"/>
      <c r="B630" s="153"/>
      <c r="C630" s="140"/>
      <c r="D630" s="153"/>
      <c r="E630" s="153"/>
      <c r="F630" s="154"/>
      <c r="G630" s="155"/>
      <c r="H630" s="140"/>
    </row>
    <row r="631">
      <c r="A631" s="140"/>
      <c r="B631" s="153"/>
      <c r="C631" s="140"/>
      <c r="D631" s="153"/>
      <c r="E631" s="153"/>
      <c r="F631" s="154"/>
      <c r="G631" s="155"/>
      <c r="H631" s="140"/>
    </row>
    <row r="632">
      <c r="A632" s="140"/>
      <c r="B632" s="153"/>
      <c r="C632" s="140"/>
      <c r="D632" s="153"/>
      <c r="E632" s="153"/>
      <c r="F632" s="154"/>
      <c r="G632" s="155"/>
      <c r="H632" s="140"/>
    </row>
    <row r="633">
      <c r="A633" s="140"/>
      <c r="B633" s="153"/>
      <c r="C633" s="140"/>
      <c r="D633" s="153"/>
      <c r="E633" s="153"/>
      <c r="F633" s="154"/>
      <c r="G633" s="155"/>
      <c r="H633" s="140"/>
    </row>
    <row r="634">
      <c r="A634" s="140"/>
      <c r="B634" s="153"/>
      <c r="C634" s="140"/>
      <c r="D634" s="153"/>
      <c r="E634" s="153"/>
      <c r="F634" s="154"/>
      <c r="G634" s="155"/>
      <c r="H634" s="140"/>
    </row>
    <row r="635">
      <c r="A635" s="140"/>
      <c r="B635" s="153"/>
      <c r="C635" s="140"/>
      <c r="D635" s="153"/>
      <c r="E635" s="153"/>
      <c r="F635" s="154"/>
      <c r="G635" s="155"/>
      <c r="H635" s="140"/>
    </row>
    <row r="636">
      <c r="A636" s="140"/>
      <c r="B636" s="153"/>
      <c r="C636" s="140"/>
      <c r="D636" s="153"/>
      <c r="E636" s="153"/>
      <c r="F636" s="154"/>
      <c r="G636" s="155"/>
      <c r="H636" s="140"/>
    </row>
    <row r="637">
      <c r="A637" s="140"/>
      <c r="B637" s="153"/>
      <c r="C637" s="140"/>
      <c r="D637" s="153"/>
      <c r="E637" s="153"/>
      <c r="F637" s="154"/>
      <c r="G637" s="155"/>
      <c r="H637" s="140"/>
    </row>
    <row r="638">
      <c r="A638" s="140"/>
      <c r="B638" s="153"/>
      <c r="C638" s="140"/>
      <c r="D638" s="153"/>
      <c r="E638" s="153"/>
      <c r="F638" s="154"/>
      <c r="G638" s="155"/>
      <c r="H638" s="140"/>
    </row>
    <row r="639">
      <c r="A639" s="140"/>
      <c r="B639" s="153"/>
      <c r="C639" s="140"/>
      <c r="D639" s="153"/>
      <c r="E639" s="153"/>
      <c r="F639" s="154"/>
      <c r="G639" s="155"/>
      <c r="H639" s="140"/>
    </row>
    <row r="640">
      <c r="A640" s="140"/>
      <c r="B640" s="153"/>
      <c r="C640" s="140"/>
      <c r="D640" s="153"/>
      <c r="E640" s="153"/>
      <c r="F640" s="154"/>
      <c r="G640" s="155"/>
      <c r="H640" s="140"/>
    </row>
    <row r="641">
      <c r="A641" s="140"/>
      <c r="B641" s="153"/>
      <c r="C641" s="140"/>
      <c r="D641" s="153"/>
      <c r="E641" s="153"/>
      <c r="F641" s="154"/>
      <c r="G641" s="155"/>
      <c r="H641" s="140"/>
    </row>
    <row r="642">
      <c r="A642" s="140"/>
      <c r="B642" s="153"/>
      <c r="C642" s="140"/>
      <c r="D642" s="153"/>
      <c r="E642" s="153"/>
      <c r="F642" s="154"/>
      <c r="G642" s="155"/>
      <c r="H642" s="140"/>
    </row>
    <row r="643">
      <c r="A643" s="140"/>
      <c r="B643" s="153"/>
      <c r="C643" s="140"/>
      <c r="D643" s="153"/>
      <c r="E643" s="153"/>
      <c r="F643" s="154"/>
      <c r="G643" s="155"/>
      <c r="H643" s="140"/>
    </row>
    <row r="644">
      <c r="A644" s="140"/>
      <c r="B644" s="153"/>
      <c r="C644" s="140"/>
      <c r="D644" s="153"/>
      <c r="E644" s="153"/>
      <c r="F644" s="154"/>
      <c r="G644" s="155"/>
      <c r="H644" s="140"/>
    </row>
    <row r="645">
      <c r="A645" s="140"/>
      <c r="B645" s="153"/>
      <c r="C645" s="140"/>
      <c r="D645" s="153"/>
      <c r="E645" s="153"/>
      <c r="F645" s="154"/>
      <c r="G645" s="155"/>
      <c r="H645" s="140"/>
    </row>
    <row r="646">
      <c r="A646" s="140"/>
      <c r="B646" s="153"/>
      <c r="C646" s="140"/>
      <c r="D646" s="153"/>
      <c r="E646" s="153"/>
      <c r="F646" s="154"/>
      <c r="G646" s="155"/>
      <c r="H646" s="140"/>
    </row>
    <row r="647">
      <c r="A647" s="140"/>
      <c r="B647" s="153"/>
      <c r="C647" s="140"/>
      <c r="D647" s="153"/>
      <c r="E647" s="153"/>
      <c r="F647" s="154"/>
      <c r="G647" s="155"/>
      <c r="H647" s="140"/>
    </row>
    <row r="648">
      <c r="A648" s="140"/>
      <c r="B648" s="153"/>
      <c r="C648" s="140"/>
      <c r="D648" s="153"/>
      <c r="E648" s="153"/>
      <c r="F648" s="154"/>
      <c r="G648" s="155"/>
      <c r="H648" s="140"/>
    </row>
    <row r="649">
      <c r="A649" s="140"/>
      <c r="B649" s="153"/>
      <c r="C649" s="140"/>
      <c r="D649" s="153"/>
      <c r="E649" s="153"/>
      <c r="F649" s="154"/>
      <c r="G649" s="155"/>
      <c r="H649" s="140"/>
    </row>
    <row r="650">
      <c r="A650" s="140"/>
      <c r="B650" s="153"/>
      <c r="C650" s="140"/>
      <c r="D650" s="153"/>
      <c r="E650" s="153"/>
      <c r="F650" s="154"/>
      <c r="G650" s="155"/>
      <c r="H650" s="140"/>
    </row>
    <row r="651">
      <c r="A651" s="140"/>
      <c r="B651" s="153"/>
      <c r="C651" s="140"/>
      <c r="D651" s="153"/>
      <c r="E651" s="153"/>
      <c r="F651" s="154"/>
      <c r="G651" s="155"/>
      <c r="H651" s="140"/>
    </row>
    <row r="652">
      <c r="A652" s="140"/>
      <c r="B652" s="153"/>
      <c r="C652" s="140"/>
      <c r="D652" s="153"/>
      <c r="E652" s="153"/>
      <c r="F652" s="154"/>
      <c r="G652" s="155"/>
      <c r="H652" s="140"/>
    </row>
    <row r="653">
      <c r="A653" s="140"/>
      <c r="B653" s="153"/>
      <c r="C653" s="140"/>
      <c r="D653" s="153"/>
      <c r="E653" s="153"/>
      <c r="F653" s="154"/>
      <c r="G653" s="155"/>
      <c r="H653" s="140"/>
    </row>
    <row r="654">
      <c r="A654" s="140"/>
      <c r="B654" s="153"/>
      <c r="C654" s="140"/>
      <c r="D654" s="153"/>
      <c r="E654" s="153"/>
      <c r="F654" s="154"/>
      <c r="G654" s="155"/>
      <c r="H654" s="140"/>
    </row>
    <row r="655">
      <c r="A655" s="140"/>
      <c r="B655" s="153"/>
      <c r="C655" s="140"/>
      <c r="D655" s="153"/>
      <c r="E655" s="153"/>
      <c r="F655" s="154"/>
      <c r="G655" s="155"/>
      <c r="H655" s="140"/>
    </row>
    <row r="656">
      <c r="A656" s="140"/>
      <c r="B656" s="153"/>
      <c r="C656" s="140"/>
      <c r="D656" s="153"/>
      <c r="E656" s="153"/>
      <c r="F656" s="154"/>
      <c r="G656" s="155"/>
      <c r="H656" s="140"/>
    </row>
    <row r="657">
      <c r="A657" s="140"/>
      <c r="B657" s="153"/>
      <c r="C657" s="140"/>
      <c r="D657" s="153"/>
      <c r="E657" s="153"/>
      <c r="F657" s="154"/>
      <c r="G657" s="155"/>
      <c r="H657" s="140"/>
    </row>
    <row r="658">
      <c r="A658" s="140"/>
      <c r="B658" s="153"/>
      <c r="C658" s="140"/>
      <c r="D658" s="153"/>
      <c r="E658" s="153"/>
      <c r="F658" s="154"/>
      <c r="G658" s="155"/>
      <c r="H658" s="140"/>
    </row>
    <row r="659">
      <c r="A659" s="140"/>
      <c r="B659" s="153"/>
      <c r="C659" s="140"/>
      <c r="D659" s="153"/>
      <c r="E659" s="153"/>
      <c r="F659" s="154"/>
      <c r="G659" s="155"/>
      <c r="H659" s="140"/>
    </row>
    <row r="660">
      <c r="A660" s="140"/>
      <c r="B660" s="153"/>
      <c r="C660" s="140"/>
      <c r="D660" s="153"/>
      <c r="E660" s="153"/>
      <c r="F660" s="154"/>
      <c r="G660" s="155"/>
      <c r="H660" s="140"/>
    </row>
    <row r="661">
      <c r="A661" s="140"/>
      <c r="B661" s="153"/>
      <c r="C661" s="140"/>
      <c r="D661" s="153"/>
      <c r="E661" s="153"/>
      <c r="F661" s="154"/>
      <c r="G661" s="155"/>
      <c r="H661" s="140"/>
    </row>
    <row r="662">
      <c r="A662" s="140"/>
      <c r="B662" s="153"/>
      <c r="C662" s="140"/>
      <c r="D662" s="153"/>
      <c r="E662" s="153"/>
      <c r="F662" s="154"/>
      <c r="G662" s="155"/>
      <c r="H662" s="140"/>
    </row>
    <row r="663">
      <c r="A663" s="140"/>
      <c r="B663" s="153"/>
      <c r="C663" s="140"/>
      <c r="D663" s="153"/>
      <c r="E663" s="153"/>
      <c r="F663" s="154"/>
      <c r="G663" s="155"/>
      <c r="H663" s="140"/>
    </row>
    <row r="664">
      <c r="A664" s="140"/>
      <c r="B664" s="153"/>
      <c r="C664" s="140"/>
      <c r="D664" s="153"/>
      <c r="E664" s="153"/>
      <c r="F664" s="154"/>
      <c r="G664" s="155"/>
      <c r="H664" s="140"/>
    </row>
    <row r="665">
      <c r="A665" s="140"/>
      <c r="B665" s="153"/>
      <c r="C665" s="140"/>
      <c r="D665" s="153"/>
      <c r="E665" s="153"/>
      <c r="F665" s="154"/>
      <c r="G665" s="155"/>
      <c r="H665" s="140"/>
    </row>
    <row r="666">
      <c r="A666" s="140"/>
      <c r="B666" s="153"/>
      <c r="C666" s="140"/>
      <c r="D666" s="153"/>
      <c r="E666" s="153"/>
      <c r="F666" s="154"/>
      <c r="G666" s="155"/>
      <c r="H666" s="140"/>
    </row>
    <row r="667">
      <c r="A667" s="140"/>
      <c r="B667" s="153"/>
      <c r="C667" s="140"/>
      <c r="D667" s="153"/>
      <c r="E667" s="153"/>
      <c r="F667" s="154"/>
      <c r="G667" s="155"/>
      <c r="H667" s="140"/>
    </row>
    <row r="668">
      <c r="A668" s="140"/>
      <c r="B668" s="153"/>
      <c r="C668" s="140"/>
      <c r="D668" s="153"/>
      <c r="E668" s="153"/>
      <c r="F668" s="154"/>
      <c r="G668" s="155"/>
      <c r="H668" s="140"/>
    </row>
    <row r="669">
      <c r="A669" s="140"/>
      <c r="B669" s="153"/>
      <c r="C669" s="140"/>
      <c r="D669" s="153"/>
      <c r="E669" s="153"/>
      <c r="F669" s="154"/>
      <c r="G669" s="155"/>
      <c r="H669" s="140"/>
    </row>
    <row r="670">
      <c r="A670" s="140"/>
      <c r="B670" s="153"/>
      <c r="C670" s="140"/>
      <c r="D670" s="153"/>
      <c r="E670" s="153"/>
      <c r="F670" s="154"/>
      <c r="G670" s="155"/>
      <c r="H670" s="140"/>
    </row>
    <row r="671">
      <c r="A671" s="140"/>
      <c r="B671" s="153"/>
      <c r="C671" s="140"/>
      <c r="D671" s="153"/>
      <c r="E671" s="153"/>
      <c r="F671" s="154"/>
      <c r="G671" s="155"/>
      <c r="H671" s="140"/>
    </row>
    <row r="672">
      <c r="A672" s="140"/>
      <c r="B672" s="153"/>
      <c r="C672" s="140"/>
      <c r="D672" s="153"/>
      <c r="E672" s="153"/>
      <c r="F672" s="154"/>
      <c r="G672" s="155"/>
      <c r="H672" s="140"/>
    </row>
    <row r="673">
      <c r="A673" s="140"/>
      <c r="B673" s="153"/>
      <c r="C673" s="140"/>
      <c r="D673" s="153"/>
      <c r="E673" s="153"/>
      <c r="F673" s="154"/>
      <c r="G673" s="155"/>
      <c r="H673" s="140"/>
    </row>
    <row r="674">
      <c r="A674" s="140"/>
      <c r="B674" s="153"/>
      <c r="C674" s="140"/>
      <c r="D674" s="153"/>
      <c r="E674" s="153"/>
      <c r="F674" s="154"/>
      <c r="G674" s="155"/>
      <c r="H674" s="140"/>
    </row>
    <row r="675">
      <c r="A675" s="140"/>
      <c r="B675" s="153"/>
      <c r="C675" s="140"/>
      <c r="D675" s="153"/>
      <c r="E675" s="153"/>
      <c r="F675" s="154"/>
      <c r="G675" s="155"/>
      <c r="H675" s="140"/>
    </row>
    <row r="676">
      <c r="A676" s="140"/>
      <c r="B676" s="153"/>
      <c r="C676" s="140"/>
      <c r="D676" s="153"/>
      <c r="E676" s="153"/>
      <c r="F676" s="154"/>
      <c r="G676" s="155"/>
      <c r="H676" s="140"/>
    </row>
    <row r="677">
      <c r="A677" s="140"/>
      <c r="B677" s="153"/>
      <c r="C677" s="140"/>
      <c r="D677" s="153"/>
      <c r="E677" s="153"/>
      <c r="F677" s="154"/>
      <c r="G677" s="155"/>
      <c r="H677" s="140"/>
    </row>
    <row r="678">
      <c r="A678" s="140"/>
      <c r="B678" s="153"/>
      <c r="C678" s="140"/>
      <c r="D678" s="153"/>
      <c r="E678" s="153"/>
      <c r="F678" s="154"/>
      <c r="G678" s="155"/>
      <c r="H678" s="140"/>
    </row>
    <row r="679">
      <c r="A679" s="140"/>
      <c r="B679" s="153"/>
      <c r="C679" s="140"/>
      <c r="D679" s="153"/>
      <c r="E679" s="153"/>
      <c r="F679" s="154"/>
      <c r="G679" s="155"/>
      <c r="H679" s="140"/>
    </row>
    <row r="680">
      <c r="A680" s="140"/>
      <c r="B680" s="153"/>
      <c r="C680" s="140"/>
      <c r="D680" s="153"/>
      <c r="E680" s="153"/>
      <c r="F680" s="154"/>
      <c r="G680" s="155"/>
      <c r="H680" s="140"/>
    </row>
    <row r="681">
      <c r="A681" s="140"/>
      <c r="B681" s="153"/>
      <c r="C681" s="140"/>
      <c r="D681" s="153"/>
      <c r="E681" s="153"/>
      <c r="F681" s="154"/>
      <c r="G681" s="155"/>
      <c r="H681" s="140"/>
    </row>
    <row r="682">
      <c r="A682" s="140"/>
      <c r="B682" s="153"/>
      <c r="C682" s="140"/>
      <c r="D682" s="153"/>
      <c r="E682" s="153"/>
      <c r="F682" s="154"/>
      <c r="G682" s="155"/>
      <c r="H682" s="140"/>
    </row>
    <row r="683">
      <c r="A683" s="140"/>
      <c r="B683" s="153"/>
      <c r="C683" s="140"/>
      <c r="D683" s="153"/>
      <c r="E683" s="153"/>
      <c r="F683" s="154"/>
      <c r="G683" s="155"/>
      <c r="H683" s="140"/>
    </row>
    <row r="684">
      <c r="A684" s="140"/>
      <c r="B684" s="153"/>
      <c r="C684" s="140"/>
      <c r="D684" s="153"/>
      <c r="E684" s="153"/>
      <c r="F684" s="154"/>
      <c r="G684" s="155"/>
      <c r="H684" s="140"/>
    </row>
    <row r="685">
      <c r="A685" s="140"/>
      <c r="B685" s="153"/>
      <c r="C685" s="140"/>
      <c r="D685" s="153"/>
      <c r="E685" s="153"/>
      <c r="F685" s="154"/>
      <c r="G685" s="155"/>
      <c r="H685" s="140"/>
    </row>
    <row r="686">
      <c r="A686" s="140"/>
      <c r="B686" s="153"/>
      <c r="C686" s="140"/>
      <c r="D686" s="153"/>
      <c r="E686" s="153"/>
      <c r="F686" s="154"/>
      <c r="G686" s="155"/>
      <c r="H686" s="140"/>
    </row>
    <row r="687">
      <c r="A687" s="140"/>
      <c r="B687" s="153"/>
      <c r="C687" s="140"/>
      <c r="D687" s="153"/>
      <c r="E687" s="153"/>
      <c r="F687" s="154"/>
      <c r="G687" s="155"/>
      <c r="H687" s="140"/>
    </row>
    <row r="688">
      <c r="A688" s="140"/>
      <c r="B688" s="153"/>
      <c r="C688" s="140"/>
      <c r="D688" s="153"/>
      <c r="E688" s="153"/>
      <c r="F688" s="154"/>
      <c r="G688" s="155"/>
      <c r="H688" s="140"/>
    </row>
    <row r="689">
      <c r="A689" s="140"/>
      <c r="B689" s="153"/>
      <c r="C689" s="140"/>
      <c r="D689" s="153"/>
      <c r="E689" s="153"/>
      <c r="F689" s="154"/>
      <c r="G689" s="155"/>
      <c r="H689" s="140"/>
    </row>
    <row r="690">
      <c r="A690" s="140"/>
      <c r="B690" s="153"/>
      <c r="C690" s="140"/>
      <c r="D690" s="153"/>
      <c r="E690" s="153"/>
      <c r="F690" s="154"/>
      <c r="G690" s="155"/>
      <c r="H690" s="140"/>
    </row>
    <row r="691">
      <c r="A691" s="140"/>
      <c r="B691" s="153"/>
      <c r="C691" s="140"/>
      <c r="D691" s="153"/>
      <c r="E691" s="153"/>
      <c r="F691" s="154"/>
      <c r="G691" s="155"/>
      <c r="H691" s="140"/>
    </row>
    <row r="692">
      <c r="A692" s="140"/>
      <c r="B692" s="153"/>
      <c r="C692" s="140"/>
      <c r="D692" s="153"/>
      <c r="E692" s="153"/>
      <c r="F692" s="154"/>
      <c r="G692" s="155"/>
      <c r="H692" s="140"/>
    </row>
    <row r="693">
      <c r="A693" s="140"/>
      <c r="B693" s="153"/>
      <c r="C693" s="140"/>
      <c r="D693" s="153"/>
      <c r="E693" s="153"/>
      <c r="F693" s="154"/>
      <c r="G693" s="155"/>
      <c r="H693" s="140"/>
    </row>
    <row r="694">
      <c r="A694" s="140"/>
      <c r="B694" s="153"/>
      <c r="C694" s="140"/>
      <c r="D694" s="153"/>
      <c r="E694" s="153"/>
      <c r="F694" s="154"/>
      <c r="G694" s="155"/>
      <c r="H694" s="140"/>
    </row>
    <row r="695">
      <c r="A695" s="140"/>
      <c r="B695" s="153"/>
      <c r="C695" s="140"/>
      <c r="D695" s="153"/>
      <c r="E695" s="153"/>
      <c r="F695" s="154"/>
      <c r="G695" s="155"/>
      <c r="H695" s="140"/>
    </row>
    <row r="696">
      <c r="A696" s="140"/>
      <c r="B696" s="153"/>
      <c r="C696" s="140"/>
      <c r="D696" s="153"/>
      <c r="E696" s="153"/>
      <c r="F696" s="154"/>
      <c r="G696" s="155"/>
      <c r="H696" s="140"/>
    </row>
    <row r="697">
      <c r="A697" s="140"/>
      <c r="B697" s="153"/>
      <c r="C697" s="140"/>
      <c r="D697" s="153"/>
      <c r="E697" s="153"/>
      <c r="F697" s="154"/>
      <c r="G697" s="155"/>
      <c r="H697" s="140"/>
    </row>
    <row r="698">
      <c r="A698" s="140"/>
      <c r="B698" s="153"/>
      <c r="C698" s="140"/>
      <c r="D698" s="153"/>
      <c r="E698" s="153"/>
      <c r="F698" s="154"/>
      <c r="G698" s="155"/>
      <c r="H698" s="140"/>
    </row>
    <row r="699">
      <c r="A699" s="140"/>
      <c r="B699" s="153"/>
      <c r="C699" s="140"/>
      <c r="D699" s="153"/>
      <c r="E699" s="153"/>
      <c r="F699" s="154"/>
      <c r="G699" s="155"/>
      <c r="H699" s="140"/>
    </row>
    <row r="700">
      <c r="A700" s="140"/>
      <c r="B700" s="153"/>
      <c r="C700" s="140"/>
      <c r="D700" s="153"/>
      <c r="E700" s="153"/>
      <c r="F700" s="154"/>
      <c r="G700" s="155"/>
      <c r="H700" s="140"/>
    </row>
    <row r="701">
      <c r="A701" s="140"/>
      <c r="B701" s="153"/>
      <c r="C701" s="140"/>
      <c r="D701" s="153"/>
      <c r="E701" s="153"/>
      <c r="F701" s="154"/>
      <c r="G701" s="155"/>
      <c r="H701" s="140"/>
    </row>
    <row r="702">
      <c r="A702" s="140"/>
      <c r="B702" s="153"/>
      <c r="C702" s="140"/>
      <c r="D702" s="153"/>
      <c r="E702" s="153"/>
      <c r="F702" s="154"/>
      <c r="G702" s="155"/>
      <c r="H702" s="140"/>
    </row>
    <row r="703">
      <c r="A703" s="140"/>
      <c r="B703" s="153"/>
      <c r="C703" s="140"/>
      <c r="D703" s="153"/>
      <c r="E703" s="153"/>
      <c r="F703" s="154"/>
      <c r="G703" s="155"/>
      <c r="H703" s="140"/>
    </row>
    <row r="704">
      <c r="A704" s="140"/>
      <c r="B704" s="153"/>
      <c r="C704" s="140"/>
      <c r="D704" s="153"/>
      <c r="E704" s="153"/>
      <c r="F704" s="154"/>
      <c r="G704" s="155"/>
      <c r="H704" s="140"/>
    </row>
    <row r="705">
      <c r="A705" s="140"/>
      <c r="B705" s="153"/>
      <c r="C705" s="140"/>
      <c r="D705" s="153"/>
      <c r="E705" s="153"/>
      <c r="F705" s="154"/>
      <c r="G705" s="155"/>
      <c r="H705" s="140"/>
    </row>
    <row r="706">
      <c r="A706" s="140"/>
      <c r="B706" s="153"/>
      <c r="C706" s="140"/>
      <c r="D706" s="153"/>
      <c r="E706" s="153"/>
      <c r="F706" s="154"/>
      <c r="G706" s="155"/>
      <c r="H706" s="140"/>
    </row>
    <row r="707">
      <c r="A707" s="140"/>
      <c r="B707" s="153"/>
      <c r="C707" s="140"/>
      <c r="D707" s="153"/>
      <c r="E707" s="153"/>
      <c r="F707" s="154"/>
      <c r="G707" s="155"/>
      <c r="H707" s="140"/>
    </row>
    <row r="708">
      <c r="A708" s="140"/>
      <c r="B708" s="153"/>
      <c r="C708" s="140"/>
      <c r="D708" s="153"/>
      <c r="E708" s="153"/>
      <c r="F708" s="154"/>
      <c r="G708" s="155"/>
      <c r="H708" s="140"/>
    </row>
    <row r="709">
      <c r="A709" s="140"/>
      <c r="B709" s="153"/>
      <c r="C709" s="140"/>
      <c r="D709" s="153"/>
      <c r="E709" s="153"/>
      <c r="F709" s="154"/>
      <c r="G709" s="155"/>
      <c r="H709" s="140"/>
    </row>
    <row r="710">
      <c r="A710" s="140"/>
      <c r="B710" s="153"/>
      <c r="C710" s="140"/>
      <c r="D710" s="153"/>
      <c r="E710" s="153"/>
      <c r="F710" s="154"/>
      <c r="G710" s="155"/>
      <c r="H710" s="140"/>
    </row>
    <row r="711">
      <c r="A711" s="140"/>
      <c r="B711" s="153"/>
      <c r="C711" s="140"/>
      <c r="D711" s="153"/>
      <c r="E711" s="153"/>
      <c r="F711" s="154"/>
      <c r="G711" s="155"/>
      <c r="H711" s="140"/>
    </row>
    <row r="712">
      <c r="A712" s="140"/>
      <c r="B712" s="153"/>
      <c r="C712" s="140"/>
      <c r="D712" s="153"/>
      <c r="E712" s="153"/>
      <c r="F712" s="154"/>
      <c r="G712" s="155"/>
      <c r="H712" s="140"/>
    </row>
    <row r="713">
      <c r="A713" s="140"/>
      <c r="B713" s="153"/>
      <c r="C713" s="140"/>
      <c r="D713" s="153"/>
      <c r="E713" s="153"/>
      <c r="F713" s="154"/>
      <c r="G713" s="155"/>
      <c r="H713" s="140"/>
    </row>
    <row r="714">
      <c r="A714" s="140"/>
      <c r="B714" s="153"/>
      <c r="C714" s="140"/>
      <c r="D714" s="153"/>
      <c r="E714" s="153"/>
      <c r="F714" s="154"/>
      <c r="G714" s="155"/>
      <c r="H714" s="140"/>
    </row>
    <row r="715">
      <c r="A715" s="140"/>
      <c r="B715" s="153"/>
      <c r="C715" s="140"/>
      <c r="D715" s="153"/>
      <c r="E715" s="153"/>
      <c r="F715" s="154"/>
      <c r="G715" s="155"/>
      <c r="H715" s="140"/>
    </row>
    <row r="716">
      <c r="A716" s="140"/>
      <c r="B716" s="153"/>
      <c r="C716" s="140"/>
      <c r="D716" s="153"/>
      <c r="E716" s="153"/>
      <c r="F716" s="154"/>
      <c r="G716" s="155"/>
      <c r="H716" s="140"/>
    </row>
    <row r="717">
      <c r="A717" s="140"/>
      <c r="B717" s="153"/>
      <c r="C717" s="140"/>
      <c r="D717" s="153"/>
      <c r="E717" s="153"/>
      <c r="F717" s="154"/>
      <c r="G717" s="155"/>
      <c r="H717" s="140"/>
    </row>
    <row r="718">
      <c r="A718" s="140"/>
      <c r="B718" s="153"/>
      <c r="C718" s="140"/>
      <c r="D718" s="153"/>
      <c r="E718" s="153"/>
      <c r="F718" s="154"/>
      <c r="G718" s="155"/>
      <c r="H718" s="140"/>
    </row>
    <row r="719">
      <c r="A719" s="140"/>
      <c r="B719" s="153"/>
      <c r="C719" s="140"/>
      <c r="D719" s="153"/>
      <c r="E719" s="153"/>
      <c r="F719" s="154"/>
      <c r="G719" s="155"/>
      <c r="H719" s="140"/>
    </row>
    <row r="720">
      <c r="A720" s="140"/>
      <c r="B720" s="153"/>
      <c r="C720" s="140"/>
      <c r="D720" s="153"/>
      <c r="E720" s="153"/>
      <c r="F720" s="154"/>
      <c r="G720" s="155"/>
      <c r="H720" s="140"/>
    </row>
    <row r="721">
      <c r="A721" s="140"/>
      <c r="B721" s="153"/>
      <c r="C721" s="140"/>
      <c r="D721" s="153"/>
      <c r="E721" s="153"/>
      <c r="F721" s="154"/>
      <c r="G721" s="155"/>
      <c r="H721" s="140"/>
    </row>
    <row r="722">
      <c r="A722" s="140"/>
      <c r="B722" s="153"/>
      <c r="C722" s="140"/>
      <c r="D722" s="153"/>
      <c r="E722" s="153"/>
      <c r="F722" s="154"/>
      <c r="G722" s="155"/>
      <c r="H722" s="140"/>
    </row>
    <row r="723">
      <c r="A723" s="140"/>
      <c r="B723" s="153"/>
      <c r="C723" s="140"/>
      <c r="D723" s="153"/>
      <c r="E723" s="153"/>
      <c r="F723" s="154"/>
      <c r="G723" s="155"/>
      <c r="H723" s="140"/>
    </row>
    <row r="724">
      <c r="A724" s="140"/>
      <c r="B724" s="153"/>
      <c r="C724" s="140"/>
      <c r="D724" s="153"/>
      <c r="E724" s="153"/>
      <c r="F724" s="154"/>
      <c r="G724" s="155"/>
      <c r="H724" s="140"/>
    </row>
    <row r="725">
      <c r="A725" s="140"/>
      <c r="B725" s="153"/>
      <c r="C725" s="140"/>
      <c r="D725" s="153"/>
      <c r="E725" s="153"/>
      <c r="F725" s="154"/>
      <c r="G725" s="155"/>
      <c r="H725" s="140"/>
    </row>
    <row r="726">
      <c r="A726" s="140"/>
      <c r="B726" s="153"/>
      <c r="C726" s="140"/>
      <c r="D726" s="153"/>
      <c r="E726" s="153"/>
      <c r="F726" s="154"/>
      <c r="G726" s="155"/>
      <c r="H726" s="140"/>
    </row>
    <row r="727">
      <c r="A727" s="140"/>
      <c r="B727" s="153"/>
      <c r="C727" s="140"/>
      <c r="D727" s="153"/>
      <c r="E727" s="153"/>
      <c r="F727" s="154"/>
      <c r="G727" s="155"/>
      <c r="H727" s="140"/>
    </row>
    <row r="728">
      <c r="A728" s="140"/>
      <c r="B728" s="153"/>
      <c r="C728" s="140"/>
      <c r="D728" s="153"/>
      <c r="E728" s="153"/>
      <c r="F728" s="154"/>
      <c r="G728" s="155"/>
      <c r="H728" s="140"/>
    </row>
    <row r="729">
      <c r="A729" s="140"/>
      <c r="B729" s="153"/>
      <c r="C729" s="140"/>
      <c r="D729" s="153"/>
      <c r="E729" s="153"/>
      <c r="F729" s="154"/>
      <c r="G729" s="155"/>
      <c r="H729" s="140"/>
    </row>
    <row r="730">
      <c r="A730" s="140"/>
      <c r="B730" s="153"/>
      <c r="C730" s="140"/>
      <c r="D730" s="153"/>
      <c r="E730" s="153"/>
      <c r="F730" s="154"/>
      <c r="G730" s="155"/>
      <c r="H730" s="140"/>
    </row>
    <row r="731">
      <c r="A731" s="140"/>
      <c r="B731" s="153"/>
      <c r="C731" s="140"/>
      <c r="D731" s="153"/>
      <c r="E731" s="153"/>
      <c r="F731" s="154"/>
      <c r="G731" s="155"/>
      <c r="H731" s="140"/>
    </row>
    <row r="732">
      <c r="A732" s="140"/>
      <c r="B732" s="153"/>
      <c r="C732" s="140"/>
      <c r="D732" s="153"/>
      <c r="E732" s="153"/>
      <c r="F732" s="154"/>
      <c r="G732" s="155"/>
      <c r="H732" s="140"/>
    </row>
    <row r="733">
      <c r="A733" s="140"/>
      <c r="B733" s="153"/>
      <c r="C733" s="140"/>
      <c r="D733" s="153"/>
      <c r="E733" s="153"/>
      <c r="F733" s="154"/>
      <c r="G733" s="155"/>
      <c r="H733" s="140"/>
    </row>
    <row r="734">
      <c r="A734" s="140"/>
      <c r="B734" s="153"/>
      <c r="C734" s="140"/>
      <c r="D734" s="153"/>
      <c r="E734" s="153"/>
      <c r="F734" s="154"/>
      <c r="G734" s="155"/>
      <c r="H734" s="140"/>
    </row>
    <row r="735">
      <c r="A735" s="140"/>
      <c r="B735" s="153"/>
      <c r="C735" s="140"/>
      <c r="D735" s="153"/>
      <c r="E735" s="153"/>
      <c r="F735" s="154"/>
      <c r="G735" s="155"/>
      <c r="H735" s="140"/>
    </row>
    <row r="736">
      <c r="A736" s="140"/>
      <c r="B736" s="153"/>
      <c r="C736" s="140"/>
      <c r="D736" s="153"/>
      <c r="E736" s="153"/>
      <c r="F736" s="154"/>
      <c r="G736" s="155"/>
      <c r="H736" s="140"/>
    </row>
    <row r="737">
      <c r="A737" s="140"/>
      <c r="B737" s="153"/>
      <c r="C737" s="140"/>
      <c r="D737" s="153"/>
      <c r="E737" s="153"/>
      <c r="F737" s="154"/>
      <c r="G737" s="155"/>
      <c r="H737" s="140"/>
    </row>
    <row r="738">
      <c r="A738" s="140"/>
      <c r="B738" s="153"/>
      <c r="C738" s="140"/>
      <c r="D738" s="153"/>
      <c r="E738" s="153"/>
      <c r="F738" s="154"/>
      <c r="G738" s="155"/>
      <c r="H738" s="140"/>
    </row>
    <row r="739">
      <c r="A739" s="140"/>
      <c r="B739" s="153"/>
      <c r="C739" s="140"/>
      <c r="D739" s="153"/>
      <c r="E739" s="153"/>
      <c r="F739" s="154"/>
      <c r="G739" s="155"/>
      <c r="H739" s="140"/>
    </row>
    <row r="740">
      <c r="A740" s="140"/>
      <c r="B740" s="153"/>
      <c r="C740" s="140"/>
      <c r="D740" s="153"/>
      <c r="E740" s="153"/>
      <c r="F740" s="154"/>
      <c r="G740" s="155"/>
      <c r="H740" s="140"/>
    </row>
    <row r="741">
      <c r="A741" s="140"/>
      <c r="B741" s="153"/>
      <c r="C741" s="140"/>
      <c r="D741" s="153"/>
      <c r="E741" s="153"/>
      <c r="F741" s="154"/>
      <c r="G741" s="155"/>
      <c r="H741" s="140"/>
    </row>
    <row r="742">
      <c r="A742" s="140"/>
      <c r="B742" s="153"/>
      <c r="C742" s="140"/>
      <c r="D742" s="153"/>
      <c r="E742" s="153"/>
      <c r="F742" s="154"/>
      <c r="G742" s="155"/>
      <c r="H742" s="140"/>
    </row>
    <row r="743">
      <c r="A743" s="140"/>
      <c r="B743" s="153"/>
      <c r="C743" s="140"/>
      <c r="D743" s="153"/>
      <c r="E743" s="153"/>
      <c r="F743" s="154"/>
      <c r="G743" s="155"/>
      <c r="H743" s="140"/>
    </row>
    <row r="744">
      <c r="A744" s="140"/>
      <c r="B744" s="153"/>
      <c r="C744" s="140"/>
      <c r="D744" s="153"/>
      <c r="E744" s="153"/>
      <c r="F744" s="154"/>
      <c r="G744" s="155"/>
      <c r="H744" s="140"/>
    </row>
    <row r="745">
      <c r="A745" s="140"/>
      <c r="B745" s="153"/>
      <c r="C745" s="140"/>
      <c r="D745" s="153"/>
      <c r="E745" s="153"/>
      <c r="F745" s="154"/>
      <c r="G745" s="155"/>
      <c r="H745" s="140"/>
    </row>
    <row r="746">
      <c r="A746" s="140"/>
      <c r="B746" s="153"/>
      <c r="C746" s="140"/>
      <c r="D746" s="153"/>
      <c r="E746" s="153"/>
      <c r="F746" s="154"/>
      <c r="G746" s="155"/>
      <c r="H746" s="140"/>
    </row>
    <row r="747">
      <c r="A747" s="140"/>
      <c r="B747" s="153"/>
      <c r="C747" s="140"/>
      <c r="D747" s="153"/>
      <c r="E747" s="153"/>
      <c r="F747" s="154"/>
      <c r="G747" s="155"/>
      <c r="H747" s="140"/>
    </row>
    <row r="748">
      <c r="A748" s="140"/>
      <c r="B748" s="153"/>
      <c r="C748" s="140"/>
      <c r="D748" s="153"/>
      <c r="E748" s="153"/>
      <c r="F748" s="154"/>
      <c r="G748" s="155"/>
      <c r="H748" s="140"/>
    </row>
    <row r="749">
      <c r="A749" s="140"/>
      <c r="B749" s="153"/>
      <c r="C749" s="140"/>
      <c r="D749" s="153"/>
      <c r="E749" s="153"/>
      <c r="F749" s="154"/>
      <c r="G749" s="155"/>
      <c r="H749" s="140"/>
    </row>
    <row r="750">
      <c r="A750" s="140"/>
      <c r="B750" s="153"/>
      <c r="C750" s="140"/>
      <c r="D750" s="153"/>
      <c r="E750" s="153"/>
      <c r="F750" s="154"/>
      <c r="G750" s="155"/>
      <c r="H750" s="140"/>
    </row>
    <row r="751">
      <c r="A751" s="140"/>
      <c r="B751" s="153"/>
      <c r="C751" s="140"/>
      <c r="D751" s="153"/>
      <c r="E751" s="153"/>
      <c r="F751" s="154"/>
      <c r="G751" s="155"/>
      <c r="H751" s="140"/>
    </row>
    <row r="752">
      <c r="A752" s="140"/>
      <c r="B752" s="153"/>
      <c r="C752" s="140"/>
      <c r="D752" s="153"/>
      <c r="E752" s="153"/>
      <c r="F752" s="154"/>
      <c r="G752" s="155"/>
      <c r="H752" s="140"/>
    </row>
    <row r="753">
      <c r="A753" s="140"/>
      <c r="B753" s="153"/>
      <c r="C753" s="140"/>
      <c r="D753" s="153"/>
      <c r="E753" s="153"/>
      <c r="F753" s="154"/>
      <c r="G753" s="155"/>
      <c r="H753" s="140"/>
    </row>
    <row r="754">
      <c r="A754" s="140"/>
      <c r="B754" s="153"/>
      <c r="C754" s="140"/>
      <c r="D754" s="153"/>
      <c r="E754" s="153"/>
      <c r="F754" s="154"/>
      <c r="G754" s="155"/>
      <c r="H754" s="140"/>
    </row>
    <row r="755">
      <c r="A755" s="140"/>
      <c r="B755" s="153"/>
      <c r="C755" s="140"/>
      <c r="D755" s="153"/>
      <c r="E755" s="153"/>
      <c r="F755" s="154"/>
      <c r="G755" s="155"/>
      <c r="H755" s="140"/>
    </row>
    <row r="756">
      <c r="A756" s="140"/>
      <c r="B756" s="153"/>
      <c r="C756" s="140"/>
      <c r="D756" s="153"/>
      <c r="E756" s="153"/>
      <c r="F756" s="154"/>
      <c r="G756" s="155"/>
      <c r="H756" s="140"/>
    </row>
    <row r="757">
      <c r="A757" s="140"/>
      <c r="B757" s="153"/>
      <c r="C757" s="140"/>
      <c r="D757" s="153"/>
      <c r="E757" s="153"/>
      <c r="F757" s="154"/>
      <c r="G757" s="155"/>
      <c r="H757" s="140"/>
    </row>
    <row r="758">
      <c r="A758" s="140"/>
      <c r="B758" s="153"/>
      <c r="C758" s="140"/>
      <c r="D758" s="153"/>
      <c r="E758" s="153"/>
      <c r="F758" s="154"/>
      <c r="G758" s="155"/>
      <c r="H758" s="140"/>
    </row>
    <row r="759">
      <c r="A759" s="140"/>
      <c r="B759" s="153"/>
      <c r="C759" s="140"/>
      <c r="D759" s="153"/>
      <c r="E759" s="153"/>
      <c r="F759" s="154"/>
      <c r="G759" s="155"/>
      <c r="H759" s="140"/>
    </row>
    <row r="760">
      <c r="A760" s="140"/>
      <c r="B760" s="153"/>
      <c r="C760" s="140"/>
      <c r="D760" s="153"/>
      <c r="E760" s="153"/>
      <c r="F760" s="154"/>
      <c r="G760" s="155"/>
      <c r="H760" s="140"/>
    </row>
    <row r="761">
      <c r="A761" s="140"/>
      <c r="B761" s="153"/>
      <c r="C761" s="140"/>
      <c r="D761" s="153"/>
      <c r="E761" s="153"/>
      <c r="F761" s="154"/>
      <c r="G761" s="155"/>
      <c r="H761" s="140"/>
    </row>
    <row r="762">
      <c r="A762" s="140"/>
      <c r="B762" s="153"/>
      <c r="C762" s="140"/>
      <c r="D762" s="153"/>
      <c r="E762" s="153"/>
      <c r="F762" s="154"/>
      <c r="G762" s="155"/>
      <c r="H762" s="140"/>
    </row>
    <row r="763">
      <c r="A763" s="140"/>
      <c r="B763" s="153"/>
      <c r="C763" s="140"/>
      <c r="D763" s="153"/>
      <c r="E763" s="153"/>
      <c r="F763" s="154"/>
      <c r="G763" s="155"/>
      <c r="H763" s="140"/>
    </row>
    <row r="764">
      <c r="A764" s="140"/>
      <c r="B764" s="153"/>
      <c r="C764" s="140"/>
      <c r="D764" s="153"/>
      <c r="E764" s="153"/>
      <c r="F764" s="154"/>
      <c r="G764" s="155"/>
      <c r="H764" s="140"/>
    </row>
    <row r="765">
      <c r="A765" s="140"/>
      <c r="B765" s="153"/>
      <c r="C765" s="140"/>
      <c r="D765" s="153"/>
      <c r="E765" s="153"/>
      <c r="F765" s="154"/>
      <c r="G765" s="155"/>
      <c r="H765" s="140"/>
    </row>
    <row r="766">
      <c r="A766" s="140"/>
      <c r="B766" s="153"/>
      <c r="C766" s="140"/>
      <c r="D766" s="153"/>
      <c r="E766" s="153"/>
      <c r="F766" s="154"/>
      <c r="G766" s="155"/>
      <c r="H766" s="140"/>
    </row>
    <row r="767">
      <c r="A767" s="140"/>
      <c r="B767" s="153"/>
      <c r="C767" s="140"/>
      <c r="D767" s="153"/>
      <c r="E767" s="153"/>
      <c r="F767" s="154"/>
      <c r="G767" s="155"/>
      <c r="H767" s="140"/>
    </row>
    <row r="768">
      <c r="A768" s="140"/>
      <c r="B768" s="153"/>
      <c r="C768" s="140"/>
      <c r="D768" s="153"/>
      <c r="E768" s="153"/>
      <c r="F768" s="154"/>
      <c r="G768" s="155"/>
      <c r="H768" s="140"/>
    </row>
    <row r="769">
      <c r="A769" s="140"/>
      <c r="B769" s="153"/>
      <c r="C769" s="140"/>
      <c r="D769" s="153"/>
      <c r="E769" s="153"/>
      <c r="F769" s="154"/>
      <c r="G769" s="155"/>
      <c r="H769" s="140"/>
    </row>
    <row r="770">
      <c r="A770" s="140"/>
      <c r="B770" s="153"/>
      <c r="C770" s="140"/>
      <c r="D770" s="153"/>
      <c r="E770" s="153"/>
      <c r="F770" s="154"/>
      <c r="G770" s="155"/>
      <c r="H770" s="140"/>
    </row>
    <row r="771">
      <c r="A771" s="140"/>
      <c r="B771" s="153"/>
      <c r="C771" s="140"/>
      <c r="D771" s="153"/>
      <c r="E771" s="153"/>
      <c r="F771" s="154"/>
      <c r="G771" s="155"/>
      <c r="H771" s="140"/>
    </row>
    <row r="772">
      <c r="A772" s="140"/>
      <c r="B772" s="153"/>
      <c r="C772" s="140"/>
      <c r="D772" s="153"/>
      <c r="E772" s="153"/>
      <c r="F772" s="154"/>
      <c r="G772" s="155"/>
      <c r="H772" s="140"/>
    </row>
    <row r="773">
      <c r="A773" s="140"/>
      <c r="B773" s="153"/>
      <c r="C773" s="140"/>
      <c r="D773" s="153"/>
      <c r="E773" s="153"/>
      <c r="F773" s="154"/>
      <c r="G773" s="155"/>
      <c r="H773" s="140"/>
    </row>
    <row r="774">
      <c r="A774" s="140"/>
      <c r="B774" s="153"/>
      <c r="C774" s="140"/>
      <c r="D774" s="153"/>
      <c r="E774" s="153"/>
      <c r="F774" s="154"/>
      <c r="G774" s="155"/>
      <c r="H774" s="140"/>
    </row>
    <row r="775">
      <c r="A775" s="140"/>
      <c r="B775" s="153"/>
      <c r="C775" s="140"/>
      <c r="D775" s="153"/>
      <c r="E775" s="153"/>
      <c r="F775" s="154"/>
      <c r="G775" s="155"/>
      <c r="H775" s="140"/>
    </row>
    <row r="776">
      <c r="A776" s="140"/>
      <c r="B776" s="153"/>
      <c r="C776" s="140"/>
      <c r="D776" s="153"/>
      <c r="E776" s="153"/>
      <c r="F776" s="154"/>
      <c r="G776" s="155"/>
      <c r="H776" s="140"/>
    </row>
    <row r="777">
      <c r="A777" s="140"/>
      <c r="B777" s="153"/>
      <c r="C777" s="140"/>
      <c r="D777" s="153"/>
      <c r="E777" s="153"/>
      <c r="F777" s="154"/>
      <c r="G777" s="155"/>
      <c r="H777" s="140"/>
    </row>
    <row r="778">
      <c r="A778" s="140"/>
      <c r="B778" s="153"/>
      <c r="C778" s="140"/>
      <c r="D778" s="153"/>
      <c r="E778" s="153"/>
      <c r="F778" s="154"/>
      <c r="G778" s="155"/>
      <c r="H778" s="140"/>
    </row>
    <row r="779">
      <c r="A779" s="140"/>
      <c r="B779" s="153"/>
      <c r="C779" s="140"/>
      <c r="D779" s="153"/>
      <c r="E779" s="153"/>
      <c r="F779" s="154"/>
      <c r="G779" s="155"/>
      <c r="H779" s="140"/>
    </row>
    <row r="780">
      <c r="A780" s="140"/>
      <c r="B780" s="153"/>
      <c r="C780" s="140"/>
      <c r="D780" s="153"/>
      <c r="E780" s="153"/>
      <c r="F780" s="154"/>
      <c r="G780" s="155"/>
      <c r="H780" s="140"/>
    </row>
    <row r="781">
      <c r="A781" s="140"/>
      <c r="B781" s="153"/>
      <c r="C781" s="140"/>
      <c r="D781" s="153"/>
      <c r="E781" s="153"/>
      <c r="F781" s="154"/>
      <c r="G781" s="155"/>
      <c r="H781" s="140"/>
    </row>
    <row r="782">
      <c r="A782" s="140"/>
      <c r="B782" s="153"/>
      <c r="C782" s="140"/>
      <c r="D782" s="153"/>
      <c r="E782" s="153"/>
      <c r="F782" s="154"/>
      <c r="G782" s="155"/>
      <c r="H782" s="140"/>
    </row>
    <row r="783">
      <c r="A783" s="140"/>
      <c r="B783" s="153"/>
      <c r="C783" s="140"/>
      <c r="D783" s="153"/>
      <c r="E783" s="153"/>
      <c r="F783" s="154"/>
      <c r="G783" s="155"/>
      <c r="H783" s="140"/>
    </row>
    <row r="784">
      <c r="A784" s="140"/>
      <c r="B784" s="153"/>
      <c r="C784" s="140"/>
      <c r="D784" s="153"/>
      <c r="E784" s="153"/>
      <c r="F784" s="154"/>
      <c r="G784" s="155"/>
      <c r="H784" s="140"/>
    </row>
    <row r="785">
      <c r="A785" s="140"/>
      <c r="B785" s="153"/>
      <c r="C785" s="140"/>
      <c r="D785" s="153"/>
      <c r="E785" s="153"/>
      <c r="F785" s="154"/>
      <c r="G785" s="155"/>
      <c r="H785" s="140"/>
    </row>
    <row r="786">
      <c r="A786" s="140"/>
      <c r="B786" s="153"/>
      <c r="C786" s="140"/>
      <c r="D786" s="153"/>
      <c r="E786" s="153"/>
      <c r="F786" s="154"/>
      <c r="G786" s="155"/>
      <c r="H786" s="140"/>
    </row>
    <row r="787">
      <c r="A787" s="140"/>
      <c r="B787" s="153"/>
      <c r="C787" s="140"/>
      <c r="D787" s="153"/>
      <c r="E787" s="153"/>
      <c r="F787" s="154"/>
      <c r="G787" s="155"/>
      <c r="H787" s="140"/>
    </row>
    <row r="788">
      <c r="A788" s="140"/>
      <c r="B788" s="153"/>
      <c r="C788" s="140"/>
      <c r="D788" s="153"/>
      <c r="E788" s="153"/>
      <c r="F788" s="154"/>
      <c r="G788" s="155"/>
      <c r="H788" s="140"/>
    </row>
    <row r="789">
      <c r="A789" s="140"/>
      <c r="B789" s="153"/>
      <c r="C789" s="140"/>
      <c r="D789" s="153"/>
      <c r="E789" s="153"/>
      <c r="F789" s="154"/>
      <c r="G789" s="155"/>
      <c r="H789" s="140"/>
    </row>
    <row r="790">
      <c r="A790" s="140"/>
      <c r="B790" s="153"/>
      <c r="C790" s="140"/>
      <c r="D790" s="153"/>
      <c r="E790" s="153"/>
      <c r="F790" s="154"/>
      <c r="G790" s="155"/>
      <c r="H790" s="140"/>
    </row>
    <row r="791">
      <c r="A791" s="140"/>
      <c r="B791" s="153"/>
      <c r="C791" s="140"/>
      <c r="D791" s="153"/>
      <c r="E791" s="153"/>
      <c r="F791" s="154"/>
      <c r="G791" s="155"/>
      <c r="H791" s="140"/>
    </row>
    <row r="792">
      <c r="A792" s="140"/>
      <c r="B792" s="153"/>
      <c r="C792" s="140"/>
      <c r="D792" s="153"/>
      <c r="E792" s="153"/>
      <c r="F792" s="154"/>
      <c r="G792" s="155"/>
      <c r="H792" s="140"/>
    </row>
    <row r="793">
      <c r="A793" s="140"/>
      <c r="B793" s="153"/>
      <c r="C793" s="140"/>
      <c r="D793" s="153"/>
      <c r="E793" s="153"/>
      <c r="F793" s="154"/>
      <c r="G793" s="155"/>
      <c r="H793" s="140"/>
    </row>
    <row r="794">
      <c r="A794" s="140"/>
      <c r="B794" s="153"/>
      <c r="C794" s="140"/>
      <c r="D794" s="153"/>
      <c r="E794" s="153"/>
      <c r="F794" s="154"/>
      <c r="G794" s="155"/>
      <c r="H794" s="140"/>
    </row>
    <row r="795">
      <c r="A795" s="140"/>
      <c r="B795" s="153"/>
      <c r="C795" s="140"/>
      <c r="D795" s="153"/>
      <c r="E795" s="153"/>
      <c r="F795" s="154"/>
      <c r="G795" s="155"/>
      <c r="H795" s="140"/>
    </row>
    <row r="796">
      <c r="A796" s="140"/>
      <c r="B796" s="153"/>
      <c r="C796" s="140"/>
      <c r="D796" s="153"/>
      <c r="E796" s="153"/>
      <c r="F796" s="154"/>
      <c r="G796" s="155"/>
      <c r="H796" s="140"/>
    </row>
    <row r="797">
      <c r="A797" s="140"/>
      <c r="B797" s="153"/>
      <c r="C797" s="140"/>
      <c r="D797" s="153"/>
      <c r="E797" s="153"/>
      <c r="F797" s="154"/>
      <c r="G797" s="155"/>
      <c r="H797" s="140"/>
    </row>
    <row r="798">
      <c r="A798" s="140"/>
      <c r="B798" s="153"/>
      <c r="C798" s="140"/>
      <c r="D798" s="153"/>
      <c r="E798" s="153"/>
      <c r="F798" s="154"/>
      <c r="G798" s="155"/>
      <c r="H798" s="140"/>
    </row>
    <row r="799">
      <c r="A799" s="140"/>
      <c r="B799" s="153"/>
      <c r="C799" s="140"/>
      <c r="D799" s="153"/>
      <c r="E799" s="153"/>
      <c r="F799" s="154"/>
      <c r="G799" s="155"/>
      <c r="H799" s="140"/>
    </row>
    <row r="800">
      <c r="A800" s="140"/>
      <c r="B800" s="153"/>
      <c r="C800" s="140"/>
      <c r="D800" s="153"/>
      <c r="E800" s="153"/>
      <c r="F800" s="154"/>
      <c r="G800" s="155"/>
      <c r="H800" s="140"/>
    </row>
    <row r="801">
      <c r="A801" s="140"/>
      <c r="B801" s="153"/>
      <c r="C801" s="140"/>
      <c r="D801" s="153"/>
      <c r="E801" s="153"/>
      <c r="F801" s="154"/>
      <c r="G801" s="155"/>
      <c r="H801" s="140"/>
    </row>
    <row r="802">
      <c r="A802" s="140"/>
      <c r="B802" s="153"/>
      <c r="C802" s="140"/>
      <c r="D802" s="153"/>
      <c r="E802" s="153"/>
      <c r="F802" s="154"/>
      <c r="G802" s="155"/>
      <c r="H802" s="140"/>
    </row>
    <row r="803">
      <c r="A803" s="140"/>
      <c r="B803" s="153"/>
      <c r="C803" s="140"/>
      <c r="D803" s="153"/>
      <c r="E803" s="153"/>
      <c r="F803" s="154"/>
      <c r="G803" s="155"/>
      <c r="H803" s="140"/>
    </row>
    <row r="804">
      <c r="A804" s="140"/>
      <c r="B804" s="153"/>
      <c r="C804" s="140"/>
      <c r="D804" s="153"/>
      <c r="E804" s="153"/>
      <c r="F804" s="154"/>
      <c r="G804" s="155"/>
      <c r="H804" s="140"/>
    </row>
    <row r="805">
      <c r="A805" s="140"/>
      <c r="B805" s="153"/>
      <c r="C805" s="140"/>
      <c r="D805" s="153"/>
      <c r="E805" s="153"/>
      <c r="F805" s="154"/>
      <c r="G805" s="155"/>
      <c r="H805" s="140"/>
    </row>
    <row r="806">
      <c r="A806" s="140"/>
      <c r="B806" s="153"/>
      <c r="C806" s="140"/>
      <c r="D806" s="153"/>
      <c r="E806" s="153"/>
      <c r="F806" s="154"/>
      <c r="G806" s="155"/>
      <c r="H806" s="140"/>
    </row>
    <row r="807">
      <c r="A807" s="140"/>
      <c r="B807" s="153"/>
      <c r="C807" s="140"/>
      <c r="D807" s="153"/>
      <c r="E807" s="153"/>
      <c r="F807" s="154"/>
      <c r="G807" s="155"/>
      <c r="H807" s="140"/>
    </row>
    <row r="808">
      <c r="A808" s="140"/>
      <c r="B808" s="153"/>
      <c r="C808" s="140"/>
      <c r="D808" s="153"/>
      <c r="E808" s="153"/>
      <c r="F808" s="154"/>
      <c r="G808" s="155"/>
      <c r="H808" s="140"/>
    </row>
    <row r="809">
      <c r="A809" s="140"/>
      <c r="B809" s="153"/>
      <c r="C809" s="140"/>
      <c r="D809" s="153"/>
      <c r="E809" s="153"/>
      <c r="F809" s="154"/>
      <c r="G809" s="155"/>
      <c r="H809" s="140"/>
    </row>
    <row r="810">
      <c r="A810" s="140"/>
      <c r="B810" s="153"/>
      <c r="C810" s="140"/>
      <c r="D810" s="153"/>
      <c r="E810" s="153"/>
      <c r="F810" s="154"/>
      <c r="G810" s="155"/>
      <c r="H810" s="140"/>
    </row>
    <row r="811">
      <c r="A811" s="140"/>
      <c r="B811" s="153"/>
      <c r="C811" s="140"/>
      <c r="D811" s="153"/>
      <c r="E811" s="153"/>
      <c r="F811" s="154"/>
      <c r="G811" s="155"/>
      <c r="H811" s="140"/>
    </row>
    <row r="812">
      <c r="A812" s="140"/>
      <c r="B812" s="153"/>
      <c r="C812" s="140"/>
      <c r="D812" s="153"/>
      <c r="E812" s="153"/>
      <c r="F812" s="154"/>
      <c r="G812" s="155"/>
      <c r="H812" s="140"/>
    </row>
    <row r="813">
      <c r="A813" s="140"/>
      <c r="B813" s="153"/>
      <c r="C813" s="140"/>
      <c r="D813" s="153"/>
      <c r="E813" s="153"/>
      <c r="F813" s="154"/>
      <c r="G813" s="155"/>
      <c r="H813" s="140"/>
    </row>
    <row r="814">
      <c r="A814" s="140"/>
      <c r="B814" s="153"/>
      <c r="C814" s="140"/>
      <c r="D814" s="153"/>
      <c r="E814" s="153"/>
      <c r="F814" s="154"/>
      <c r="G814" s="155"/>
      <c r="H814" s="140"/>
    </row>
    <row r="815">
      <c r="A815" s="140"/>
      <c r="B815" s="153"/>
      <c r="C815" s="140"/>
      <c r="D815" s="153"/>
      <c r="E815" s="153"/>
      <c r="F815" s="154"/>
      <c r="G815" s="155"/>
      <c r="H815" s="140"/>
    </row>
    <row r="816">
      <c r="A816" s="140"/>
      <c r="B816" s="153"/>
      <c r="C816" s="140"/>
      <c r="D816" s="153"/>
      <c r="E816" s="153"/>
      <c r="F816" s="154"/>
      <c r="G816" s="155"/>
      <c r="H816" s="140"/>
    </row>
    <row r="817">
      <c r="A817" s="140"/>
      <c r="B817" s="153"/>
      <c r="C817" s="140"/>
      <c r="D817" s="153"/>
      <c r="E817" s="153"/>
      <c r="F817" s="154"/>
      <c r="G817" s="155"/>
      <c r="H817" s="140"/>
    </row>
    <row r="818">
      <c r="A818" s="140"/>
      <c r="B818" s="153"/>
      <c r="C818" s="140"/>
      <c r="D818" s="153"/>
      <c r="E818" s="153"/>
      <c r="F818" s="154"/>
      <c r="G818" s="155"/>
      <c r="H818" s="140"/>
    </row>
    <row r="819">
      <c r="A819" s="140"/>
      <c r="B819" s="153"/>
      <c r="C819" s="140"/>
      <c r="D819" s="153"/>
      <c r="E819" s="153"/>
      <c r="F819" s="154"/>
      <c r="G819" s="155"/>
      <c r="H819" s="140"/>
    </row>
    <row r="820">
      <c r="A820" s="140"/>
      <c r="B820" s="153"/>
      <c r="C820" s="140"/>
      <c r="D820" s="153"/>
      <c r="E820" s="153"/>
      <c r="F820" s="154"/>
      <c r="G820" s="155"/>
      <c r="H820" s="140"/>
    </row>
    <row r="821">
      <c r="A821" s="140"/>
      <c r="B821" s="153"/>
      <c r="C821" s="140"/>
      <c r="D821" s="153"/>
      <c r="E821" s="153"/>
      <c r="F821" s="154"/>
      <c r="G821" s="155"/>
      <c r="H821" s="140"/>
    </row>
    <row r="822">
      <c r="A822" s="140"/>
      <c r="B822" s="153"/>
      <c r="C822" s="140"/>
      <c r="D822" s="153"/>
      <c r="E822" s="153"/>
      <c r="F822" s="154"/>
      <c r="G822" s="155"/>
      <c r="H822" s="140"/>
    </row>
    <row r="823">
      <c r="A823" s="140"/>
      <c r="B823" s="153"/>
      <c r="C823" s="140"/>
      <c r="D823" s="153"/>
      <c r="E823" s="153"/>
      <c r="F823" s="154"/>
      <c r="G823" s="155"/>
      <c r="H823" s="140"/>
    </row>
    <row r="824">
      <c r="A824" s="140"/>
      <c r="B824" s="153"/>
      <c r="C824" s="140"/>
      <c r="D824" s="153"/>
      <c r="E824" s="153"/>
      <c r="F824" s="154"/>
      <c r="G824" s="155"/>
      <c r="H824" s="140"/>
    </row>
    <row r="825">
      <c r="A825" s="140"/>
      <c r="B825" s="153"/>
      <c r="C825" s="140"/>
      <c r="D825" s="153"/>
      <c r="E825" s="153"/>
      <c r="F825" s="154"/>
      <c r="G825" s="155"/>
      <c r="H825" s="140"/>
    </row>
    <row r="826">
      <c r="A826" s="140"/>
      <c r="B826" s="153"/>
      <c r="C826" s="140"/>
      <c r="D826" s="153"/>
      <c r="E826" s="153"/>
      <c r="F826" s="154"/>
      <c r="G826" s="155"/>
      <c r="H826" s="140"/>
    </row>
    <row r="827">
      <c r="A827" s="140"/>
      <c r="B827" s="153"/>
      <c r="C827" s="140"/>
      <c r="D827" s="153"/>
      <c r="E827" s="153"/>
      <c r="F827" s="154"/>
      <c r="G827" s="155"/>
      <c r="H827" s="140"/>
    </row>
    <row r="828">
      <c r="A828" s="140"/>
      <c r="B828" s="153"/>
      <c r="C828" s="140"/>
      <c r="D828" s="153"/>
      <c r="E828" s="153"/>
      <c r="F828" s="154"/>
      <c r="G828" s="155"/>
      <c r="H828" s="140"/>
    </row>
    <row r="829">
      <c r="A829" s="140"/>
      <c r="B829" s="153"/>
      <c r="C829" s="140"/>
      <c r="D829" s="153"/>
      <c r="E829" s="153"/>
      <c r="F829" s="154"/>
      <c r="G829" s="155"/>
      <c r="H829" s="140"/>
    </row>
    <row r="830">
      <c r="A830" s="140"/>
      <c r="B830" s="153"/>
      <c r="C830" s="140"/>
      <c r="D830" s="153"/>
      <c r="E830" s="153"/>
      <c r="F830" s="154"/>
      <c r="G830" s="155"/>
      <c r="H830" s="140"/>
    </row>
    <row r="831">
      <c r="A831" s="140"/>
      <c r="B831" s="153"/>
      <c r="C831" s="140"/>
      <c r="D831" s="153"/>
      <c r="E831" s="153"/>
      <c r="F831" s="154"/>
      <c r="G831" s="155"/>
      <c r="H831" s="140"/>
    </row>
    <row r="832">
      <c r="A832" s="140"/>
      <c r="B832" s="153"/>
      <c r="C832" s="140"/>
      <c r="D832" s="153"/>
      <c r="E832" s="153"/>
      <c r="F832" s="154"/>
      <c r="G832" s="155"/>
      <c r="H832" s="140"/>
    </row>
    <row r="833">
      <c r="A833" s="140"/>
      <c r="B833" s="153"/>
      <c r="C833" s="140"/>
      <c r="D833" s="153"/>
      <c r="E833" s="153"/>
      <c r="F833" s="154"/>
      <c r="G833" s="155"/>
      <c r="H833" s="140"/>
    </row>
    <row r="834">
      <c r="A834" s="140"/>
      <c r="B834" s="153"/>
      <c r="C834" s="140"/>
      <c r="D834" s="153"/>
      <c r="E834" s="153"/>
      <c r="F834" s="154"/>
      <c r="G834" s="155"/>
      <c r="H834" s="140"/>
    </row>
    <row r="835">
      <c r="A835" s="140"/>
      <c r="B835" s="153"/>
      <c r="C835" s="140"/>
      <c r="D835" s="153"/>
      <c r="E835" s="153"/>
      <c r="F835" s="154"/>
      <c r="G835" s="155"/>
      <c r="H835" s="140"/>
    </row>
    <row r="836">
      <c r="A836" s="140"/>
      <c r="B836" s="153"/>
      <c r="C836" s="140"/>
      <c r="D836" s="153"/>
      <c r="E836" s="153"/>
      <c r="F836" s="154"/>
      <c r="G836" s="155"/>
      <c r="H836" s="140"/>
    </row>
    <row r="837">
      <c r="A837" s="140"/>
      <c r="B837" s="153"/>
      <c r="C837" s="140"/>
      <c r="D837" s="153"/>
      <c r="E837" s="153"/>
      <c r="F837" s="154"/>
      <c r="G837" s="155"/>
      <c r="H837" s="140"/>
    </row>
    <row r="838">
      <c r="A838" s="140"/>
      <c r="B838" s="153"/>
      <c r="C838" s="140"/>
      <c r="D838" s="153"/>
      <c r="E838" s="153"/>
      <c r="F838" s="154"/>
      <c r="G838" s="155"/>
      <c r="H838" s="140"/>
    </row>
    <row r="839">
      <c r="A839" s="140"/>
      <c r="B839" s="153"/>
      <c r="C839" s="140"/>
      <c r="D839" s="153"/>
      <c r="E839" s="153"/>
      <c r="F839" s="154"/>
      <c r="G839" s="155"/>
      <c r="H839" s="140"/>
    </row>
    <row r="840">
      <c r="A840" s="140"/>
      <c r="B840" s="153"/>
      <c r="C840" s="140"/>
      <c r="D840" s="153"/>
      <c r="E840" s="153"/>
      <c r="F840" s="154"/>
      <c r="G840" s="155"/>
      <c r="H840" s="140"/>
    </row>
    <row r="841">
      <c r="A841" s="140"/>
      <c r="B841" s="153"/>
      <c r="C841" s="140"/>
      <c r="D841" s="153"/>
      <c r="E841" s="153"/>
      <c r="F841" s="154"/>
      <c r="G841" s="155"/>
      <c r="H841" s="140"/>
    </row>
    <row r="842">
      <c r="A842" s="140"/>
      <c r="B842" s="153"/>
      <c r="C842" s="140"/>
      <c r="D842" s="153"/>
      <c r="E842" s="153"/>
      <c r="F842" s="154"/>
      <c r="G842" s="155"/>
      <c r="H842" s="140"/>
    </row>
    <row r="843">
      <c r="A843" s="140"/>
      <c r="B843" s="153"/>
      <c r="C843" s="140"/>
      <c r="D843" s="153"/>
      <c r="E843" s="153"/>
      <c r="F843" s="154"/>
      <c r="G843" s="155"/>
      <c r="H843" s="140"/>
    </row>
    <row r="844">
      <c r="A844" s="140"/>
      <c r="B844" s="153"/>
      <c r="C844" s="140"/>
      <c r="D844" s="153"/>
      <c r="E844" s="153"/>
      <c r="F844" s="154"/>
      <c r="G844" s="155"/>
      <c r="H844" s="140"/>
    </row>
    <row r="845">
      <c r="A845" s="140"/>
      <c r="B845" s="153"/>
      <c r="C845" s="140"/>
      <c r="D845" s="153"/>
      <c r="E845" s="153"/>
      <c r="F845" s="154"/>
      <c r="G845" s="155"/>
      <c r="H845" s="140"/>
    </row>
    <row r="846">
      <c r="A846" s="140"/>
      <c r="B846" s="153"/>
      <c r="C846" s="140"/>
      <c r="D846" s="153"/>
      <c r="E846" s="153"/>
      <c r="F846" s="154"/>
      <c r="G846" s="155"/>
      <c r="H846" s="140"/>
    </row>
    <row r="847">
      <c r="A847" s="140"/>
      <c r="B847" s="153"/>
      <c r="C847" s="140"/>
      <c r="D847" s="153"/>
      <c r="E847" s="153"/>
      <c r="F847" s="154"/>
      <c r="G847" s="155"/>
      <c r="H847" s="140"/>
    </row>
    <row r="848">
      <c r="A848" s="140"/>
      <c r="B848" s="153"/>
      <c r="C848" s="140"/>
      <c r="D848" s="153"/>
      <c r="E848" s="153"/>
      <c r="F848" s="154"/>
      <c r="G848" s="155"/>
      <c r="H848" s="140"/>
    </row>
    <row r="849">
      <c r="A849" s="140"/>
      <c r="B849" s="153"/>
      <c r="C849" s="140"/>
      <c r="D849" s="153"/>
      <c r="E849" s="153"/>
      <c r="F849" s="154"/>
      <c r="G849" s="155"/>
      <c r="H849" s="140"/>
    </row>
    <row r="850">
      <c r="A850" s="140"/>
      <c r="B850" s="153"/>
      <c r="C850" s="140"/>
      <c r="D850" s="153"/>
      <c r="E850" s="153"/>
      <c r="F850" s="154"/>
      <c r="G850" s="155"/>
      <c r="H850" s="140"/>
    </row>
    <row r="851">
      <c r="A851" s="140"/>
      <c r="B851" s="153"/>
      <c r="C851" s="140"/>
      <c r="D851" s="153"/>
      <c r="E851" s="153"/>
      <c r="F851" s="154"/>
      <c r="G851" s="155"/>
      <c r="H851" s="140"/>
    </row>
    <row r="852">
      <c r="A852" s="140"/>
      <c r="B852" s="153"/>
      <c r="C852" s="140"/>
      <c r="D852" s="153"/>
      <c r="E852" s="153"/>
      <c r="F852" s="154"/>
      <c r="G852" s="155"/>
      <c r="H852" s="140"/>
    </row>
    <row r="853">
      <c r="A853" s="140"/>
      <c r="B853" s="153"/>
      <c r="C853" s="140"/>
      <c r="D853" s="153"/>
      <c r="E853" s="153"/>
      <c r="F853" s="154"/>
      <c r="G853" s="155"/>
      <c r="H853" s="140"/>
    </row>
    <row r="854">
      <c r="A854" s="140"/>
      <c r="B854" s="153"/>
      <c r="C854" s="140"/>
      <c r="D854" s="153"/>
      <c r="E854" s="153"/>
      <c r="F854" s="154"/>
      <c r="G854" s="155"/>
      <c r="H854" s="140"/>
    </row>
    <row r="855">
      <c r="A855" s="140"/>
      <c r="B855" s="153"/>
      <c r="C855" s="140"/>
      <c r="D855" s="153"/>
      <c r="E855" s="153"/>
      <c r="F855" s="154"/>
      <c r="G855" s="155"/>
      <c r="H855" s="140"/>
    </row>
    <row r="856">
      <c r="A856" s="140"/>
      <c r="B856" s="153"/>
      <c r="C856" s="140"/>
      <c r="D856" s="153"/>
      <c r="E856" s="153"/>
      <c r="F856" s="154"/>
      <c r="G856" s="155"/>
      <c r="H856" s="140"/>
    </row>
    <row r="857">
      <c r="A857" s="140"/>
      <c r="B857" s="153"/>
      <c r="C857" s="140"/>
      <c r="D857" s="153"/>
      <c r="E857" s="153"/>
      <c r="F857" s="154"/>
      <c r="G857" s="155"/>
      <c r="H857" s="140"/>
    </row>
    <row r="858">
      <c r="A858" s="140"/>
      <c r="B858" s="153"/>
      <c r="C858" s="140"/>
      <c r="D858" s="153"/>
      <c r="E858" s="153"/>
      <c r="F858" s="154"/>
      <c r="G858" s="155"/>
      <c r="H858" s="140"/>
    </row>
    <row r="859">
      <c r="A859" s="140"/>
      <c r="B859" s="153"/>
      <c r="C859" s="140"/>
      <c r="D859" s="153"/>
      <c r="E859" s="153"/>
      <c r="F859" s="154"/>
      <c r="G859" s="155"/>
      <c r="H859" s="140"/>
    </row>
    <row r="860">
      <c r="A860" s="140"/>
      <c r="B860" s="153"/>
      <c r="C860" s="140"/>
      <c r="D860" s="153"/>
      <c r="E860" s="153"/>
      <c r="F860" s="154"/>
      <c r="G860" s="155"/>
      <c r="H860" s="140"/>
    </row>
    <row r="861">
      <c r="A861" s="140"/>
      <c r="B861" s="153"/>
      <c r="C861" s="140"/>
      <c r="D861" s="153"/>
      <c r="E861" s="153"/>
      <c r="F861" s="154"/>
      <c r="G861" s="155"/>
      <c r="H861" s="140"/>
    </row>
    <row r="862">
      <c r="A862" s="140"/>
      <c r="B862" s="153"/>
      <c r="C862" s="140"/>
      <c r="D862" s="153"/>
      <c r="E862" s="153"/>
      <c r="F862" s="154"/>
      <c r="G862" s="155"/>
      <c r="H862" s="140"/>
    </row>
    <row r="863">
      <c r="A863" s="140"/>
      <c r="B863" s="153"/>
      <c r="C863" s="140"/>
      <c r="D863" s="153"/>
      <c r="E863" s="153"/>
      <c r="F863" s="154"/>
      <c r="G863" s="155"/>
      <c r="H863" s="140"/>
    </row>
    <row r="864">
      <c r="A864" s="140"/>
      <c r="B864" s="153"/>
      <c r="C864" s="140"/>
      <c r="D864" s="153"/>
      <c r="E864" s="153"/>
      <c r="F864" s="154"/>
      <c r="G864" s="155"/>
      <c r="H864" s="140"/>
    </row>
    <row r="865">
      <c r="A865" s="140"/>
      <c r="B865" s="153"/>
      <c r="C865" s="140"/>
      <c r="D865" s="153"/>
      <c r="E865" s="153"/>
      <c r="F865" s="154"/>
      <c r="G865" s="155"/>
      <c r="H865" s="140"/>
    </row>
    <row r="866">
      <c r="A866" s="140"/>
      <c r="B866" s="153"/>
      <c r="C866" s="140"/>
      <c r="D866" s="153"/>
      <c r="E866" s="153"/>
      <c r="F866" s="154"/>
      <c r="G866" s="155"/>
      <c r="H866" s="140"/>
    </row>
    <row r="867">
      <c r="A867" s="140"/>
      <c r="B867" s="153"/>
      <c r="C867" s="140"/>
      <c r="D867" s="153"/>
      <c r="E867" s="153"/>
      <c r="F867" s="154"/>
      <c r="G867" s="155"/>
      <c r="H867" s="140"/>
    </row>
    <row r="868">
      <c r="A868" s="140"/>
      <c r="B868" s="153"/>
      <c r="C868" s="140"/>
      <c r="D868" s="153"/>
      <c r="E868" s="153"/>
      <c r="F868" s="154"/>
      <c r="G868" s="155"/>
      <c r="H868" s="140"/>
    </row>
    <row r="869">
      <c r="A869" s="140"/>
      <c r="B869" s="153"/>
      <c r="C869" s="140"/>
      <c r="D869" s="153"/>
      <c r="E869" s="153"/>
      <c r="F869" s="154"/>
      <c r="G869" s="155"/>
      <c r="H869" s="140"/>
    </row>
    <row r="870">
      <c r="A870" s="140"/>
      <c r="B870" s="153"/>
      <c r="C870" s="140"/>
      <c r="D870" s="153"/>
      <c r="E870" s="153"/>
      <c r="F870" s="154"/>
      <c r="G870" s="155"/>
      <c r="H870" s="140"/>
    </row>
    <row r="871">
      <c r="A871" s="140"/>
      <c r="B871" s="153"/>
      <c r="C871" s="140"/>
      <c r="D871" s="153"/>
      <c r="E871" s="153"/>
      <c r="F871" s="154"/>
      <c r="G871" s="155"/>
      <c r="H871" s="140"/>
    </row>
    <row r="872">
      <c r="A872" s="140"/>
      <c r="B872" s="153"/>
      <c r="C872" s="140"/>
      <c r="D872" s="153"/>
      <c r="E872" s="153"/>
      <c r="F872" s="154"/>
      <c r="G872" s="155"/>
      <c r="H872" s="140"/>
    </row>
    <row r="873">
      <c r="A873" s="140"/>
      <c r="B873" s="153"/>
      <c r="C873" s="140"/>
      <c r="D873" s="153"/>
      <c r="E873" s="153"/>
      <c r="F873" s="154"/>
      <c r="G873" s="155"/>
      <c r="H873" s="140"/>
    </row>
    <row r="874">
      <c r="A874" s="140"/>
      <c r="B874" s="153"/>
      <c r="C874" s="140"/>
      <c r="D874" s="153"/>
      <c r="E874" s="153"/>
      <c r="F874" s="154"/>
      <c r="G874" s="155"/>
      <c r="H874" s="140"/>
    </row>
    <row r="875">
      <c r="A875" s="140"/>
      <c r="B875" s="153"/>
      <c r="C875" s="140"/>
      <c r="D875" s="153"/>
      <c r="E875" s="153"/>
      <c r="F875" s="154"/>
      <c r="G875" s="155"/>
      <c r="H875" s="140"/>
    </row>
    <row r="876">
      <c r="A876" s="140"/>
      <c r="B876" s="153"/>
      <c r="C876" s="140"/>
      <c r="D876" s="153"/>
      <c r="E876" s="153"/>
      <c r="F876" s="154"/>
      <c r="G876" s="155"/>
      <c r="H876" s="140"/>
    </row>
    <row r="877">
      <c r="A877" s="140"/>
      <c r="B877" s="153"/>
      <c r="C877" s="140"/>
      <c r="D877" s="153"/>
      <c r="E877" s="153"/>
      <c r="F877" s="154"/>
      <c r="G877" s="155"/>
      <c r="H877" s="140"/>
    </row>
    <row r="878">
      <c r="A878" s="140"/>
      <c r="B878" s="153"/>
      <c r="C878" s="140"/>
      <c r="D878" s="153"/>
      <c r="E878" s="153"/>
      <c r="F878" s="154"/>
      <c r="G878" s="155"/>
      <c r="H878" s="140"/>
    </row>
    <row r="879">
      <c r="A879" s="140"/>
      <c r="B879" s="153"/>
      <c r="C879" s="140"/>
      <c r="D879" s="153"/>
      <c r="E879" s="153"/>
      <c r="F879" s="154"/>
      <c r="G879" s="155"/>
      <c r="H879" s="140"/>
    </row>
    <row r="880">
      <c r="A880" s="140"/>
      <c r="B880" s="153"/>
      <c r="C880" s="140"/>
      <c r="D880" s="153"/>
      <c r="E880" s="153"/>
      <c r="F880" s="154"/>
      <c r="G880" s="155"/>
      <c r="H880" s="140"/>
    </row>
    <row r="881">
      <c r="A881" s="140"/>
      <c r="B881" s="153"/>
      <c r="C881" s="140"/>
      <c r="D881" s="153"/>
      <c r="E881" s="153"/>
      <c r="F881" s="154"/>
      <c r="G881" s="155"/>
      <c r="H881" s="140"/>
    </row>
    <row r="882">
      <c r="A882" s="140"/>
      <c r="B882" s="153"/>
      <c r="C882" s="140"/>
      <c r="D882" s="153"/>
      <c r="E882" s="153"/>
      <c r="F882" s="154"/>
      <c r="G882" s="155"/>
      <c r="H882" s="140"/>
    </row>
    <row r="883">
      <c r="A883" s="140"/>
      <c r="B883" s="153"/>
      <c r="C883" s="140"/>
      <c r="D883" s="153"/>
      <c r="E883" s="153"/>
      <c r="F883" s="154"/>
      <c r="G883" s="155"/>
      <c r="H883" s="140"/>
    </row>
    <row r="884">
      <c r="A884" s="140"/>
      <c r="B884" s="153"/>
      <c r="C884" s="140"/>
      <c r="D884" s="153"/>
      <c r="E884" s="153"/>
      <c r="F884" s="154"/>
      <c r="G884" s="155"/>
      <c r="H884" s="140"/>
    </row>
    <row r="885">
      <c r="A885" s="140"/>
      <c r="B885" s="153"/>
      <c r="C885" s="140"/>
      <c r="D885" s="153"/>
      <c r="E885" s="153"/>
      <c r="F885" s="154"/>
      <c r="G885" s="155"/>
      <c r="H885" s="140"/>
    </row>
    <row r="886">
      <c r="A886" s="140"/>
      <c r="B886" s="153"/>
      <c r="C886" s="140"/>
      <c r="D886" s="153"/>
      <c r="E886" s="153"/>
      <c r="F886" s="154"/>
      <c r="G886" s="155"/>
      <c r="H886" s="140"/>
    </row>
    <row r="887">
      <c r="A887" s="140"/>
      <c r="B887" s="153"/>
      <c r="C887" s="140"/>
      <c r="D887" s="153"/>
      <c r="E887" s="153"/>
      <c r="F887" s="154"/>
      <c r="G887" s="155"/>
      <c r="H887" s="140"/>
    </row>
    <row r="888">
      <c r="A888" s="140"/>
      <c r="B888" s="153"/>
      <c r="C888" s="140"/>
      <c r="D888" s="153"/>
      <c r="E888" s="153"/>
      <c r="F888" s="154"/>
      <c r="G888" s="155"/>
      <c r="H888" s="140"/>
    </row>
    <row r="889">
      <c r="A889" s="140"/>
      <c r="B889" s="153"/>
      <c r="C889" s="140"/>
      <c r="D889" s="153"/>
      <c r="E889" s="153"/>
      <c r="F889" s="154"/>
      <c r="G889" s="155"/>
      <c r="H889" s="140"/>
    </row>
    <row r="890">
      <c r="A890" s="140"/>
      <c r="B890" s="153"/>
      <c r="C890" s="140"/>
      <c r="D890" s="153"/>
      <c r="E890" s="153"/>
      <c r="F890" s="154"/>
      <c r="G890" s="155"/>
      <c r="H890" s="140"/>
    </row>
    <row r="891">
      <c r="A891" s="140"/>
      <c r="B891" s="153"/>
      <c r="C891" s="140"/>
      <c r="D891" s="153"/>
      <c r="E891" s="153"/>
      <c r="F891" s="154"/>
      <c r="G891" s="155"/>
      <c r="H891" s="140"/>
    </row>
    <row r="892">
      <c r="A892" s="140"/>
      <c r="B892" s="153"/>
      <c r="C892" s="140"/>
      <c r="D892" s="153"/>
      <c r="E892" s="153"/>
      <c r="F892" s="154"/>
      <c r="G892" s="155"/>
      <c r="H892" s="140"/>
    </row>
    <row r="893">
      <c r="A893" s="140"/>
      <c r="B893" s="153"/>
      <c r="C893" s="140"/>
      <c r="D893" s="153"/>
      <c r="E893" s="153"/>
      <c r="F893" s="154"/>
      <c r="G893" s="155"/>
      <c r="H893" s="140"/>
    </row>
    <row r="894">
      <c r="A894" s="140"/>
      <c r="B894" s="153"/>
      <c r="C894" s="140"/>
      <c r="D894" s="153"/>
      <c r="E894" s="153"/>
      <c r="F894" s="154"/>
      <c r="G894" s="155"/>
      <c r="H894" s="140"/>
    </row>
    <row r="895">
      <c r="A895" s="140"/>
      <c r="B895" s="153"/>
      <c r="C895" s="140"/>
      <c r="D895" s="153"/>
      <c r="E895" s="153"/>
      <c r="F895" s="154"/>
      <c r="G895" s="155"/>
      <c r="H895" s="140"/>
    </row>
    <row r="896">
      <c r="A896" s="140"/>
      <c r="B896" s="153"/>
      <c r="C896" s="140"/>
      <c r="D896" s="153"/>
      <c r="E896" s="153"/>
      <c r="F896" s="154"/>
      <c r="G896" s="155"/>
      <c r="H896" s="140"/>
    </row>
    <row r="897">
      <c r="A897" s="140"/>
      <c r="B897" s="153"/>
      <c r="C897" s="140"/>
      <c r="D897" s="153"/>
      <c r="E897" s="153"/>
      <c r="F897" s="154"/>
      <c r="G897" s="155"/>
      <c r="H897" s="140"/>
    </row>
    <row r="898">
      <c r="A898" s="140"/>
      <c r="B898" s="153"/>
      <c r="C898" s="140"/>
      <c r="D898" s="153"/>
      <c r="E898" s="153"/>
      <c r="F898" s="154"/>
      <c r="G898" s="155"/>
      <c r="H898" s="140"/>
    </row>
    <row r="899">
      <c r="A899" s="140"/>
      <c r="B899" s="153"/>
      <c r="C899" s="140"/>
      <c r="D899" s="153"/>
      <c r="E899" s="153"/>
      <c r="F899" s="154"/>
      <c r="G899" s="155"/>
      <c r="H899" s="140"/>
    </row>
    <row r="900">
      <c r="A900" s="140"/>
      <c r="B900" s="153"/>
      <c r="C900" s="140"/>
      <c r="D900" s="153"/>
      <c r="E900" s="153"/>
      <c r="F900" s="154"/>
      <c r="G900" s="155"/>
      <c r="H900" s="140"/>
    </row>
    <row r="901">
      <c r="A901" s="140"/>
      <c r="B901" s="153"/>
      <c r="C901" s="140"/>
      <c r="D901" s="153"/>
      <c r="E901" s="153"/>
      <c r="F901" s="154"/>
      <c r="G901" s="155"/>
      <c r="H901" s="140"/>
    </row>
    <row r="902">
      <c r="A902" s="140"/>
      <c r="B902" s="153"/>
      <c r="C902" s="140"/>
      <c r="D902" s="153"/>
      <c r="E902" s="153"/>
      <c r="F902" s="154"/>
      <c r="G902" s="155"/>
      <c r="H902" s="140"/>
    </row>
    <row r="903">
      <c r="A903" s="140"/>
      <c r="B903" s="153"/>
      <c r="C903" s="140"/>
      <c r="D903" s="153"/>
      <c r="E903" s="153"/>
      <c r="F903" s="154"/>
      <c r="G903" s="155"/>
      <c r="H903" s="140"/>
    </row>
    <row r="904">
      <c r="A904" s="140"/>
      <c r="B904" s="153"/>
      <c r="C904" s="140"/>
      <c r="D904" s="153"/>
      <c r="E904" s="153"/>
      <c r="F904" s="154"/>
      <c r="G904" s="155"/>
      <c r="H904" s="140"/>
    </row>
    <row r="905">
      <c r="A905" s="140"/>
      <c r="B905" s="153"/>
      <c r="C905" s="140"/>
      <c r="D905" s="153"/>
      <c r="E905" s="153"/>
      <c r="F905" s="154"/>
      <c r="G905" s="155"/>
      <c r="H905" s="140"/>
    </row>
    <row r="906">
      <c r="A906" s="140"/>
      <c r="B906" s="153"/>
      <c r="C906" s="140"/>
      <c r="D906" s="153"/>
      <c r="E906" s="153"/>
      <c r="F906" s="154"/>
      <c r="G906" s="155"/>
      <c r="H906" s="140"/>
    </row>
    <row r="907">
      <c r="A907" s="140"/>
      <c r="B907" s="153"/>
      <c r="C907" s="140"/>
      <c r="D907" s="153"/>
      <c r="E907" s="153"/>
      <c r="F907" s="154"/>
      <c r="G907" s="155"/>
      <c r="H907" s="140"/>
    </row>
    <row r="908">
      <c r="A908" s="140"/>
      <c r="B908" s="153"/>
      <c r="C908" s="140"/>
      <c r="D908" s="153"/>
      <c r="E908" s="153"/>
      <c r="F908" s="154"/>
      <c r="G908" s="155"/>
      <c r="H908" s="140"/>
    </row>
    <row r="909">
      <c r="A909" s="140"/>
      <c r="B909" s="153"/>
      <c r="C909" s="140"/>
      <c r="D909" s="153"/>
      <c r="E909" s="153"/>
      <c r="F909" s="154"/>
      <c r="G909" s="155"/>
      <c r="H909" s="140"/>
    </row>
    <row r="910">
      <c r="A910" s="140"/>
      <c r="B910" s="153"/>
      <c r="C910" s="140"/>
      <c r="D910" s="153"/>
      <c r="E910" s="153"/>
      <c r="F910" s="154"/>
      <c r="G910" s="155"/>
      <c r="H910" s="140"/>
    </row>
    <row r="911">
      <c r="A911" s="140"/>
      <c r="B911" s="153"/>
      <c r="C911" s="140"/>
      <c r="D911" s="153"/>
      <c r="E911" s="153"/>
      <c r="F911" s="154"/>
      <c r="G911" s="155"/>
      <c r="H911" s="140"/>
    </row>
    <row r="912">
      <c r="A912" s="140"/>
      <c r="B912" s="153"/>
      <c r="C912" s="140"/>
      <c r="D912" s="153"/>
      <c r="E912" s="153"/>
      <c r="F912" s="154"/>
      <c r="G912" s="155"/>
      <c r="H912" s="140"/>
    </row>
    <row r="913">
      <c r="A913" s="140"/>
      <c r="B913" s="153"/>
      <c r="C913" s="140"/>
      <c r="D913" s="153"/>
      <c r="E913" s="153"/>
      <c r="F913" s="154"/>
      <c r="G913" s="155"/>
      <c r="H913" s="140"/>
    </row>
    <row r="914">
      <c r="A914" s="140"/>
      <c r="B914" s="153"/>
      <c r="C914" s="140"/>
      <c r="D914" s="153"/>
      <c r="E914" s="153"/>
      <c r="F914" s="154"/>
      <c r="G914" s="155"/>
      <c r="H914" s="140"/>
    </row>
    <row r="915">
      <c r="A915" s="140"/>
      <c r="B915" s="153"/>
      <c r="C915" s="140"/>
      <c r="D915" s="153"/>
      <c r="E915" s="153"/>
      <c r="F915" s="154"/>
      <c r="G915" s="155"/>
      <c r="H915" s="140"/>
    </row>
    <row r="916">
      <c r="A916" s="140"/>
      <c r="B916" s="153"/>
      <c r="C916" s="140"/>
      <c r="D916" s="153"/>
      <c r="E916" s="153"/>
      <c r="F916" s="154"/>
      <c r="G916" s="155"/>
      <c r="H916" s="140"/>
    </row>
    <row r="917">
      <c r="A917" s="140"/>
      <c r="B917" s="153"/>
      <c r="C917" s="140"/>
      <c r="D917" s="153"/>
      <c r="E917" s="153"/>
      <c r="F917" s="154"/>
      <c r="G917" s="155"/>
      <c r="H917" s="140"/>
    </row>
    <row r="918">
      <c r="A918" s="140"/>
      <c r="B918" s="153"/>
      <c r="C918" s="140"/>
      <c r="D918" s="153"/>
      <c r="E918" s="153"/>
      <c r="F918" s="154"/>
      <c r="G918" s="155"/>
      <c r="H918" s="140"/>
    </row>
    <row r="919">
      <c r="A919" s="140"/>
      <c r="B919" s="153"/>
      <c r="C919" s="140"/>
      <c r="D919" s="153"/>
      <c r="E919" s="153"/>
      <c r="F919" s="154"/>
      <c r="G919" s="155"/>
      <c r="H919" s="140"/>
    </row>
    <row r="920">
      <c r="A920" s="140"/>
      <c r="B920" s="153"/>
      <c r="C920" s="140"/>
      <c r="D920" s="153"/>
      <c r="E920" s="153"/>
      <c r="F920" s="154"/>
      <c r="G920" s="155"/>
      <c r="H920" s="140"/>
    </row>
    <row r="921">
      <c r="A921" s="140"/>
      <c r="B921" s="153"/>
      <c r="C921" s="140"/>
      <c r="D921" s="153"/>
      <c r="E921" s="153"/>
      <c r="F921" s="154"/>
      <c r="G921" s="155"/>
      <c r="H921" s="140"/>
    </row>
    <row r="922">
      <c r="A922" s="140"/>
      <c r="B922" s="153"/>
      <c r="C922" s="140"/>
      <c r="D922" s="153"/>
      <c r="E922" s="153"/>
      <c r="F922" s="154"/>
      <c r="G922" s="155"/>
      <c r="H922" s="140"/>
    </row>
    <row r="923">
      <c r="A923" s="140"/>
      <c r="B923" s="153"/>
      <c r="C923" s="140"/>
      <c r="D923" s="153"/>
      <c r="E923" s="153"/>
      <c r="F923" s="154"/>
      <c r="G923" s="155"/>
      <c r="H923" s="140"/>
    </row>
    <row r="924">
      <c r="A924" s="140"/>
      <c r="B924" s="153"/>
      <c r="C924" s="140"/>
      <c r="D924" s="153"/>
      <c r="E924" s="153"/>
      <c r="F924" s="154"/>
      <c r="G924" s="155"/>
      <c r="H924" s="140"/>
    </row>
    <row r="925">
      <c r="A925" s="140"/>
      <c r="B925" s="153"/>
      <c r="C925" s="140"/>
      <c r="D925" s="153"/>
      <c r="E925" s="153"/>
      <c r="F925" s="154"/>
      <c r="G925" s="155"/>
      <c r="H925" s="140"/>
    </row>
    <row r="926">
      <c r="A926" s="140"/>
      <c r="B926" s="153"/>
      <c r="C926" s="140"/>
      <c r="D926" s="153"/>
      <c r="E926" s="153"/>
      <c r="F926" s="154"/>
      <c r="G926" s="155"/>
      <c r="H926" s="140"/>
    </row>
    <row r="927">
      <c r="A927" s="140"/>
      <c r="B927" s="153"/>
      <c r="C927" s="140"/>
      <c r="D927" s="153"/>
      <c r="E927" s="153"/>
      <c r="F927" s="154"/>
      <c r="G927" s="155"/>
      <c r="H927" s="140"/>
    </row>
    <row r="928">
      <c r="A928" s="140"/>
      <c r="B928" s="153"/>
      <c r="C928" s="140"/>
      <c r="D928" s="153"/>
      <c r="E928" s="153"/>
      <c r="F928" s="154"/>
      <c r="G928" s="155"/>
      <c r="H928" s="140"/>
    </row>
    <row r="929">
      <c r="A929" s="140"/>
      <c r="B929" s="153"/>
      <c r="C929" s="140"/>
      <c r="D929" s="153"/>
      <c r="E929" s="153"/>
      <c r="F929" s="154"/>
      <c r="G929" s="155"/>
      <c r="H929" s="140"/>
    </row>
    <row r="930">
      <c r="A930" s="140"/>
      <c r="B930" s="153"/>
      <c r="C930" s="140"/>
      <c r="D930" s="153"/>
      <c r="E930" s="153"/>
      <c r="F930" s="154"/>
      <c r="G930" s="155"/>
      <c r="H930" s="140"/>
    </row>
    <row r="931">
      <c r="A931" s="140"/>
      <c r="B931" s="153"/>
      <c r="C931" s="140"/>
      <c r="D931" s="153"/>
      <c r="E931" s="153"/>
      <c r="F931" s="154"/>
      <c r="G931" s="155"/>
      <c r="H931" s="140"/>
    </row>
    <row r="932">
      <c r="A932" s="140"/>
      <c r="B932" s="153"/>
      <c r="C932" s="140"/>
      <c r="D932" s="153"/>
      <c r="E932" s="153"/>
      <c r="F932" s="154"/>
      <c r="G932" s="155"/>
      <c r="H932" s="140"/>
    </row>
    <row r="933">
      <c r="A933" s="140"/>
      <c r="B933" s="153"/>
      <c r="C933" s="140"/>
      <c r="D933" s="153"/>
      <c r="E933" s="153"/>
      <c r="F933" s="154"/>
      <c r="G933" s="155"/>
      <c r="H933" s="140"/>
    </row>
    <row r="934">
      <c r="A934" s="140"/>
      <c r="B934" s="153"/>
      <c r="C934" s="140"/>
      <c r="D934" s="153"/>
      <c r="E934" s="153"/>
      <c r="F934" s="154"/>
      <c r="G934" s="155"/>
      <c r="H934" s="140"/>
    </row>
    <row r="935">
      <c r="A935" s="140"/>
      <c r="B935" s="153"/>
      <c r="C935" s="140"/>
      <c r="D935" s="153"/>
      <c r="E935" s="153"/>
      <c r="F935" s="154"/>
      <c r="G935" s="155"/>
      <c r="H935" s="140"/>
    </row>
    <row r="936">
      <c r="A936" s="140"/>
      <c r="B936" s="153"/>
      <c r="C936" s="140"/>
      <c r="D936" s="153"/>
      <c r="E936" s="153"/>
      <c r="F936" s="154"/>
      <c r="G936" s="155"/>
      <c r="H936" s="140"/>
    </row>
    <row r="937">
      <c r="A937" s="140"/>
      <c r="B937" s="153"/>
      <c r="C937" s="140"/>
      <c r="D937" s="153"/>
      <c r="E937" s="153"/>
      <c r="F937" s="154"/>
      <c r="G937" s="155"/>
      <c r="H937" s="140"/>
    </row>
    <row r="938">
      <c r="A938" s="140"/>
      <c r="B938" s="153"/>
      <c r="C938" s="140"/>
      <c r="D938" s="153"/>
      <c r="E938" s="153"/>
      <c r="F938" s="154"/>
      <c r="G938" s="155"/>
      <c r="H938" s="140"/>
    </row>
    <row r="939">
      <c r="A939" s="140"/>
      <c r="B939" s="153"/>
      <c r="C939" s="140"/>
      <c r="D939" s="153"/>
      <c r="E939" s="153"/>
      <c r="F939" s="154"/>
      <c r="G939" s="155"/>
      <c r="H939" s="140"/>
    </row>
    <row r="940">
      <c r="A940" s="140"/>
      <c r="B940" s="153"/>
      <c r="C940" s="140"/>
      <c r="D940" s="153"/>
      <c r="E940" s="153"/>
      <c r="F940" s="154"/>
      <c r="G940" s="155"/>
      <c r="H940" s="140"/>
    </row>
    <row r="941">
      <c r="A941" s="140"/>
      <c r="B941" s="153"/>
      <c r="C941" s="140"/>
      <c r="D941" s="153"/>
      <c r="E941" s="153"/>
      <c r="F941" s="154"/>
      <c r="G941" s="155"/>
      <c r="H941" s="140"/>
    </row>
    <row r="942">
      <c r="A942" s="140"/>
      <c r="B942" s="153"/>
      <c r="C942" s="140"/>
      <c r="D942" s="153"/>
      <c r="E942" s="153"/>
      <c r="F942" s="154"/>
      <c r="G942" s="155"/>
      <c r="H942" s="140"/>
    </row>
    <row r="943">
      <c r="A943" s="140"/>
      <c r="B943" s="153"/>
      <c r="C943" s="140"/>
      <c r="D943" s="153"/>
      <c r="E943" s="153"/>
      <c r="F943" s="154"/>
      <c r="G943" s="155"/>
      <c r="H943" s="140"/>
    </row>
    <row r="944">
      <c r="A944" s="140"/>
      <c r="B944" s="153"/>
      <c r="C944" s="140"/>
      <c r="D944" s="153"/>
      <c r="E944" s="153"/>
      <c r="F944" s="154"/>
      <c r="G944" s="155"/>
      <c r="H944" s="140"/>
    </row>
    <row r="945">
      <c r="A945" s="140"/>
      <c r="B945" s="153"/>
      <c r="C945" s="140"/>
      <c r="D945" s="153"/>
      <c r="E945" s="153"/>
      <c r="F945" s="154"/>
      <c r="G945" s="155"/>
      <c r="H945" s="140"/>
    </row>
    <row r="946">
      <c r="A946" s="140"/>
      <c r="B946" s="153"/>
      <c r="C946" s="140"/>
      <c r="D946" s="153"/>
      <c r="E946" s="153"/>
      <c r="F946" s="154"/>
      <c r="G946" s="155"/>
      <c r="H946" s="140"/>
    </row>
    <row r="947">
      <c r="A947" s="140"/>
      <c r="B947" s="153"/>
      <c r="C947" s="140"/>
      <c r="D947" s="153"/>
      <c r="E947" s="153"/>
      <c r="F947" s="154"/>
      <c r="G947" s="155"/>
      <c r="H947" s="140"/>
    </row>
    <row r="948">
      <c r="A948" s="140"/>
      <c r="B948" s="153"/>
      <c r="C948" s="140"/>
      <c r="D948" s="153"/>
      <c r="E948" s="153"/>
      <c r="F948" s="154"/>
      <c r="G948" s="155"/>
      <c r="H948" s="140"/>
    </row>
    <row r="949">
      <c r="A949" s="140"/>
      <c r="B949" s="153"/>
      <c r="C949" s="140"/>
      <c r="D949" s="153"/>
      <c r="E949" s="153"/>
      <c r="F949" s="154"/>
      <c r="G949" s="155"/>
      <c r="H949" s="140"/>
    </row>
    <row r="950">
      <c r="A950" s="140"/>
      <c r="B950" s="153"/>
      <c r="C950" s="140"/>
      <c r="D950" s="153"/>
      <c r="E950" s="153"/>
      <c r="F950" s="154"/>
      <c r="G950" s="155"/>
      <c r="H950" s="140"/>
    </row>
    <row r="951">
      <c r="A951" s="140"/>
      <c r="B951" s="153"/>
      <c r="C951" s="140"/>
      <c r="D951" s="153"/>
      <c r="E951" s="153"/>
      <c r="F951" s="154"/>
      <c r="G951" s="155"/>
      <c r="H951" s="140"/>
    </row>
    <row r="952">
      <c r="A952" s="140"/>
      <c r="B952" s="153"/>
      <c r="C952" s="140"/>
      <c r="D952" s="153"/>
      <c r="E952" s="153"/>
      <c r="F952" s="154"/>
      <c r="G952" s="155"/>
      <c r="H952" s="140"/>
    </row>
    <row r="953">
      <c r="A953" s="140"/>
      <c r="B953" s="153"/>
      <c r="C953" s="140"/>
      <c r="D953" s="153"/>
      <c r="E953" s="153"/>
      <c r="F953" s="154"/>
      <c r="G953" s="155"/>
      <c r="H953" s="140"/>
    </row>
    <row r="954">
      <c r="A954" s="140"/>
      <c r="B954" s="153"/>
      <c r="C954" s="140"/>
      <c r="D954" s="153"/>
      <c r="E954" s="153"/>
      <c r="F954" s="154"/>
      <c r="G954" s="155"/>
      <c r="H954" s="140"/>
    </row>
    <row r="955">
      <c r="A955" s="140"/>
      <c r="B955" s="153"/>
      <c r="C955" s="140"/>
      <c r="D955" s="153"/>
      <c r="E955" s="153"/>
      <c r="F955" s="154"/>
      <c r="G955" s="155"/>
      <c r="H955" s="140"/>
    </row>
    <row r="956">
      <c r="A956" s="140"/>
      <c r="B956" s="153"/>
      <c r="C956" s="140"/>
      <c r="D956" s="153"/>
      <c r="E956" s="153"/>
      <c r="F956" s="154"/>
      <c r="G956" s="155"/>
      <c r="H956" s="140"/>
    </row>
    <row r="957">
      <c r="A957" s="140"/>
      <c r="B957" s="153"/>
      <c r="C957" s="140"/>
      <c r="D957" s="153"/>
      <c r="E957" s="153"/>
      <c r="F957" s="154"/>
      <c r="G957" s="155"/>
      <c r="H957" s="140"/>
    </row>
    <row r="958">
      <c r="A958" s="140"/>
      <c r="B958" s="153"/>
      <c r="C958" s="140"/>
      <c r="D958" s="153"/>
      <c r="E958" s="153"/>
      <c r="F958" s="154"/>
      <c r="G958" s="155"/>
      <c r="H958" s="140"/>
    </row>
    <row r="959">
      <c r="A959" s="140"/>
      <c r="B959" s="153"/>
      <c r="C959" s="140"/>
      <c r="D959" s="153"/>
      <c r="E959" s="153"/>
      <c r="F959" s="154"/>
      <c r="G959" s="155"/>
      <c r="H959" s="140"/>
    </row>
    <row r="960">
      <c r="A960" s="140"/>
      <c r="B960" s="153"/>
      <c r="C960" s="140"/>
      <c r="D960" s="153"/>
      <c r="E960" s="153"/>
      <c r="F960" s="154"/>
      <c r="G960" s="155"/>
      <c r="H960" s="140"/>
    </row>
    <row r="961">
      <c r="A961" s="140"/>
      <c r="B961" s="153"/>
      <c r="C961" s="140"/>
      <c r="D961" s="153"/>
      <c r="E961" s="153"/>
      <c r="F961" s="154"/>
      <c r="G961" s="155"/>
      <c r="H961" s="140"/>
    </row>
    <row r="962">
      <c r="A962" s="140"/>
      <c r="B962" s="153"/>
      <c r="C962" s="140"/>
      <c r="D962" s="153"/>
      <c r="E962" s="153"/>
      <c r="F962" s="154"/>
      <c r="G962" s="155"/>
      <c r="H962" s="140"/>
    </row>
    <row r="963">
      <c r="A963" s="140"/>
      <c r="B963" s="153"/>
      <c r="C963" s="140"/>
      <c r="D963" s="153"/>
      <c r="E963" s="153"/>
      <c r="F963" s="154"/>
      <c r="G963" s="155"/>
      <c r="H963" s="140"/>
    </row>
    <row r="964">
      <c r="A964" s="140"/>
      <c r="B964" s="153"/>
      <c r="C964" s="140"/>
      <c r="D964" s="153"/>
      <c r="E964" s="153"/>
      <c r="F964" s="154"/>
      <c r="G964" s="155"/>
      <c r="H964" s="140"/>
    </row>
    <row r="965">
      <c r="A965" s="140"/>
      <c r="B965" s="153"/>
      <c r="C965" s="140"/>
      <c r="D965" s="153"/>
      <c r="E965" s="153"/>
      <c r="F965" s="154"/>
      <c r="G965" s="155"/>
      <c r="H965" s="140"/>
    </row>
    <row r="966">
      <c r="A966" s="140"/>
      <c r="B966" s="153"/>
      <c r="C966" s="140"/>
      <c r="D966" s="153"/>
      <c r="E966" s="153"/>
      <c r="F966" s="154"/>
      <c r="G966" s="155"/>
      <c r="H966" s="140"/>
    </row>
    <row r="967">
      <c r="A967" s="140"/>
      <c r="B967" s="153"/>
      <c r="C967" s="140"/>
      <c r="D967" s="153"/>
      <c r="E967" s="153"/>
      <c r="F967" s="154"/>
      <c r="G967" s="155"/>
      <c r="H967" s="140"/>
    </row>
    <row r="968">
      <c r="A968" s="140"/>
      <c r="B968" s="153"/>
      <c r="C968" s="140"/>
      <c r="D968" s="153"/>
      <c r="E968" s="153"/>
      <c r="F968" s="154"/>
      <c r="G968" s="155"/>
      <c r="H968" s="140"/>
    </row>
    <row r="969">
      <c r="A969" s="140"/>
      <c r="B969" s="153"/>
      <c r="C969" s="140"/>
      <c r="D969" s="153"/>
      <c r="E969" s="153"/>
      <c r="F969" s="154"/>
      <c r="G969" s="155"/>
      <c r="H969" s="140"/>
    </row>
    <row r="970">
      <c r="A970" s="140"/>
      <c r="B970" s="153"/>
      <c r="C970" s="140"/>
      <c r="D970" s="153"/>
      <c r="E970" s="153"/>
      <c r="F970" s="154"/>
      <c r="G970" s="155"/>
      <c r="H970" s="140"/>
    </row>
    <row r="971">
      <c r="A971" s="140"/>
      <c r="B971" s="153"/>
      <c r="C971" s="140"/>
      <c r="D971" s="153"/>
      <c r="E971" s="153"/>
      <c r="F971" s="154"/>
      <c r="G971" s="155"/>
      <c r="H971" s="140"/>
    </row>
    <row r="972">
      <c r="A972" s="140"/>
      <c r="B972" s="153"/>
      <c r="C972" s="140"/>
      <c r="D972" s="153"/>
      <c r="E972" s="153"/>
      <c r="F972" s="154"/>
      <c r="G972" s="155"/>
      <c r="H972" s="140"/>
    </row>
    <row r="973">
      <c r="A973" s="140"/>
      <c r="B973" s="153"/>
      <c r="C973" s="140"/>
      <c r="D973" s="153"/>
      <c r="E973" s="153"/>
      <c r="F973" s="154"/>
      <c r="G973" s="155"/>
      <c r="H973" s="140"/>
    </row>
    <row r="974">
      <c r="A974" s="140"/>
      <c r="B974" s="153"/>
      <c r="C974" s="140"/>
      <c r="D974" s="153"/>
      <c r="E974" s="153"/>
      <c r="F974" s="154"/>
      <c r="G974" s="155"/>
      <c r="H974" s="140"/>
    </row>
    <row r="975">
      <c r="A975" s="140"/>
      <c r="B975" s="153"/>
      <c r="C975" s="140"/>
      <c r="D975" s="153"/>
      <c r="E975" s="153"/>
      <c r="F975" s="154"/>
      <c r="G975" s="155"/>
      <c r="H975" s="140"/>
    </row>
    <row r="976">
      <c r="A976" s="140"/>
      <c r="B976" s="153"/>
      <c r="C976" s="140"/>
      <c r="D976" s="153"/>
      <c r="E976" s="153"/>
      <c r="F976" s="154"/>
      <c r="G976" s="155"/>
      <c r="H976" s="140"/>
    </row>
    <row r="977">
      <c r="A977" s="140"/>
      <c r="B977" s="153"/>
      <c r="C977" s="140"/>
      <c r="D977" s="153"/>
      <c r="E977" s="153"/>
      <c r="F977" s="154"/>
      <c r="G977" s="155"/>
      <c r="H977" s="140"/>
    </row>
    <row r="978">
      <c r="A978" s="140"/>
      <c r="B978" s="153"/>
      <c r="C978" s="140"/>
      <c r="D978" s="153"/>
      <c r="E978" s="153"/>
      <c r="F978" s="154"/>
      <c r="G978" s="155"/>
      <c r="H978" s="140"/>
    </row>
    <row r="979">
      <c r="A979" s="140"/>
      <c r="B979" s="153"/>
      <c r="C979" s="140"/>
      <c r="D979" s="153"/>
      <c r="E979" s="153"/>
      <c r="F979" s="154"/>
      <c r="G979" s="155"/>
      <c r="H979" s="140"/>
    </row>
    <row r="980">
      <c r="A980" s="140"/>
      <c r="B980" s="153"/>
      <c r="C980" s="140"/>
      <c r="D980" s="153"/>
      <c r="E980" s="153"/>
      <c r="F980" s="154"/>
      <c r="G980" s="155"/>
      <c r="H980" s="140"/>
    </row>
    <row r="981">
      <c r="A981" s="140"/>
      <c r="B981" s="153"/>
      <c r="C981" s="140"/>
      <c r="D981" s="153"/>
      <c r="E981" s="153"/>
      <c r="F981" s="154"/>
      <c r="G981" s="155"/>
      <c r="H981" s="140"/>
    </row>
    <row r="982">
      <c r="A982" s="140"/>
      <c r="B982" s="153"/>
      <c r="C982" s="140"/>
      <c r="D982" s="153"/>
      <c r="E982" s="153"/>
      <c r="F982" s="154"/>
      <c r="G982" s="155"/>
      <c r="H982" s="140"/>
    </row>
    <row r="983">
      <c r="A983" s="140"/>
      <c r="B983" s="153"/>
      <c r="C983" s="140"/>
      <c r="D983" s="153"/>
      <c r="E983" s="153"/>
      <c r="F983" s="154"/>
      <c r="G983" s="155"/>
      <c r="H983" s="140"/>
    </row>
    <row r="984">
      <c r="A984" s="140"/>
      <c r="B984" s="153"/>
      <c r="C984" s="140"/>
      <c r="D984" s="153"/>
      <c r="E984" s="153"/>
      <c r="F984" s="154"/>
      <c r="G984" s="155"/>
      <c r="H984" s="140"/>
    </row>
    <row r="985">
      <c r="A985" s="140"/>
      <c r="B985" s="153"/>
      <c r="C985" s="140"/>
      <c r="D985" s="153"/>
      <c r="E985" s="153"/>
      <c r="F985" s="154"/>
      <c r="G985" s="155"/>
      <c r="H985" s="140"/>
    </row>
    <row r="986">
      <c r="A986" s="140"/>
      <c r="B986" s="153"/>
      <c r="C986" s="140"/>
      <c r="D986" s="153"/>
      <c r="E986" s="153"/>
      <c r="F986" s="154"/>
      <c r="G986" s="155"/>
      <c r="H986" s="140"/>
    </row>
    <row r="987">
      <c r="A987" s="140"/>
      <c r="B987" s="153"/>
      <c r="C987" s="140"/>
      <c r="D987" s="153"/>
      <c r="E987" s="153"/>
      <c r="F987" s="154"/>
      <c r="G987" s="155"/>
      <c r="H987" s="140"/>
    </row>
    <row r="988">
      <c r="A988" s="140"/>
      <c r="B988" s="153"/>
      <c r="C988" s="140"/>
      <c r="D988" s="153"/>
      <c r="E988" s="153"/>
      <c r="F988" s="154"/>
      <c r="G988" s="155"/>
      <c r="H988" s="140"/>
    </row>
    <row r="989">
      <c r="A989" s="140"/>
      <c r="B989" s="153"/>
      <c r="C989" s="140"/>
      <c r="D989" s="153"/>
      <c r="E989" s="153"/>
      <c r="F989" s="154"/>
      <c r="G989" s="155"/>
      <c r="H989" s="140"/>
    </row>
    <row r="990">
      <c r="A990" s="140"/>
      <c r="B990" s="153"/>
      <c r="C990" s="140"/>
      <c r="D990" s="153"/>
      <c r="E990" s="153"/>
      <c r="F990" s="154"/>
      <c r="G990" s="155"/>
      <c r="H990" s="140"/>
    </row>
    <row r="991">
      <c r="A991" s="140"/>
      <c r="B991" s="153"/>
      <c r="C991" s="140"/>
      <c r="D991" s="153"/>
      <c r="E991" s="153"/>
      <c r="F991" s="154"/>
      <c r="G991" s="155"/>
      <c r="H991" s="140"/>
    </row>
    <row r="992">
      <c r="A992" s="140"/>
      <c r="B992" s="153"/>
      <c r="C992" s="140"/>
      <c r="D992" s="153"/>
      <c r="E992" s="153"/>
      <c r="F992" s="154"/>
      <c r="G992" s="155"/>
      <c r="H992" s="140"/>
    </row>
    <row r="993">
      <c r="A993" s="140"/>
      <c r="B993" s="153"/>
      <c r="C993" s="140"/>
      <c r="D993" s="153"/>
      <c r="E993" s="153"/>
      <c r="F993" s="154"/>
      <c r="G993" s="155"/>
      <c r="H993" s="140"/>
    </row>
    <row r="994">
      <c r="A994" s="140"/>
      <c r="B994" s="153"/>
      <c r="C994" s="140"/>
      <c r="D994" s="153"/>
      <c r="E994" s="153"/>
      <c r="F994" s="154"/>
      <c r="G994" s="155"/>
      <c r="H994" s="140"/>
    </row>
    <row r="995">
      <c r="A995" s="140"/>
      <c r="B995" s="153"/>
      <c r="C995" s="140"/>
      <c r="D995" s="153"/>
      <c r="E995" s="153"/>
      <c r="F995" s="154"/>
      <c r="G995" s="155"/>
      <c r="H995" s="140"/>
    </row>
    <row r="996">
      <c r="A996" s="140"/>
      <c r="B996" s="153"/>
      <c r="C996" s="140"/>
      <c r="D996" s="153"/>
      <c r="E996" s="153"/>
      <c r="F996" s="154"/>
      <c r="G996" s="155"/>
      <c r="H996" s="140"/>
    </row>
    <row r="997">
      <c r="A997" s="140"/>
      <c r="B997" s="153"/>
      <c r="C997" s="140"/>
      <c r="D997" s="153"/>
      <c r="E997" s="153"/>
      <c r="F997" s="154"/>
      <c r="G997" s="155"/>
      <c r="H997" s="140"/>
    </row>
    <row r="998">
      <c r="A998" s="140"/>
      <c r="B998" s="153"/>
      <c r="C998" s="140"/>
      <c r="D998" s="153"/>
      <c r="E998" s="153"/>
      <c r="F998" s="154"/>
      <c r="G998" s="155"/>
      <c r="H998" s="140"/>
    </row>
    <row r="999">
      <c r="A999" s="140"/>
      <c r="B999" s="153"/>
      <c r="C999" s="140"/>
      <c r="D999" s="153"/>
      <c r="E999" s="153"/>
      <c r="F999" s="154"/>
      <c r="G999" s="155"/>
      <c r="H999" s="140"/>
    </row>
    <row r="1000">
      <c r="A1000" s="140"/>
      <c r="B1000" s="153"/>
      <c r="C1000" s="140"/>
      <c r="D1000" s="153"/>
      <c r="E1000" s="153"/>
      <c r="F1000" s="154"/>
      <c r="G1000" s="155"/>
      <c r="H1000" s="140"/>
    </row>
    <row r="1001">
      <c r="B1001" s="76"/>
      <c r="D1001" s="76"/>
      <c r="E1001" s="76"/>
      <c r="F1001" s="172"/>
      <c r="G1001" s="173"/>
    </row>
    <row r="1002">
      <c r="B1002" s="76"/>
      <c r="D1002" s="76"/>
      <c r="E1002" s="76"/>
      <c r="F1002" s="172"/>
      <c r="G1002" s="173"/>
    </row>
  </sheetData>
  <autoFilter ref="$A$3:$G$1002"/>
  <mergeCells count="1">
    <mergeCell ref="A1:H1"/>
  </mergeCells>
  <conditionalFormatting sqref="E4:E150">
    <cfRule type="cellIs" dxfId="12" priority="1" operator="greaterThan">
      <formula>60</formula>
    </cfRule>
  </conditionalFormatting>
  <conditionalFormatting sqref="F89">
    <cfRule type="notContainsBlanks" dxfId="5" priority="2">
      <formula>LEN(TRIM(F89))&gt;0</formula>
    </cfRule>
  </conditionalFormatting>
  <conditionalFormatting sqref="E4:E132">
    <cfRule type="cellIs" dxfId="5" priority="3" operator="greaterThanOrEqual">
      <formula>40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75"/>
    <col customWidth="1" min="2" max="2" width="6.38"/>
    <col customWidth="1" min="3" max="4" width="8.63"/>
    <col customWidth="1" min="5" max="5" width="8.5"/>
    <col customWidth="1" min="6" max="6" width="10.88"/>
    <col customWidth="1" min="7" max="7" width="2.75"/>
    <col customWidth="1" min="8" max="8" width="15.0"/>
  </cols>
  <sheetData>
    <row r="1">
      <c r="A1" s="3" t="s">
        <v>2</v>
      </c>
      <c r="G1" s="5"/>
      <c r="H1" s="7" t="s">
        <v>4</v>
      </c>
    </row>
    <row r="2">
      <c r="G2" s="5"/>
    </row>
    <row r="3">
      <c r="A3" s="10" t="s">
        <v>5</v>
      </c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2"/>
      <c r="H3" s="13" t="s">
        <v>12</v>
      </c>
      <c r="I3" s="13" t="s">
        <v>13</v>
      </c>
      <c r="J3" s="13" t="s">
        <v>14</v>
      </c>
      <c r="K3" s="13" t="s">
        <v>15</v>
      </c>
    </row>
    <row r="4">
      <c r="A4" s="27" t="str">
        <f>IFERROR(__xludf.DUMMYFUNCTION("IFERROR(FILTER({'Master Roster'!C4:C1006, 'Master Roster'!B4:B1006, 'Master Roster'!D4:D1006, 'Master Roster'!H4:H1006, 'Master Roster'!E4:E1006, 'Master Roster'!J4:J1006}, IF('Master Roster'!I1=""All Available"", (UPPER('Master Roster'!E4:E1006)=""VACANT"&amp;""") + (UPPER('Master Roster'!E4:E1006)=""RESERVED""), UPPER('Master Roster'!E4:E1006)=UPPER('Master Roster'!I1))), {""No beds match the selected status"", """", """", """", """", """"})"),"BBH")</f>
        <v>BBH</v>
      </c>
      <c r="B4" s="28">
        <f>IFERROR(__xludf.DUMMYFUNCTION("""COMPUTED_VALUE"""),7.0)</f>
        <v>7</v>
      </c>
      <c r="C4" s="27" t="str">
        <f>IFERROR(__xludf.DUMMYFUNCTION("""COMPUTED_VALUE"""),"C")</f>
        <v>C</v>
      </c>
      <c r="D4" s="30">
        <f>IFERROR(__xludf.DUMMYFUNCTION("""COMPUTED_VALUE"""),900.0)</f>
        <v>900</v>
      </c>
      <c r="E4" s="27" t="str">
        <f>IFERROR(__xludf.DUMMYFUNCTION("""COMPUTED_VALUE"""),"Vacant")</f>
        <v>Vacant</v>
      </c>
      <c r="F4" s="32" t="str">
        <f>IFERROR(__xludf.DUMMYFUNCTION("""COMPUTED_VALUE"""),"Female")</f>
        <v>Female</v>
      </c>
      <c r="G4" s="33"/>
      <c r="H4" s="34" t="s">
        <v>32</v>
      </c>
      <c r="I4" s="36">
        <f>COUNTIFS('Master Roster'!$E$4:$E$1006, "Vacant", 'Master Roster'!$J$4:$J$1006, $H4)</f>
        <v>3</v>
      </c>
      <c r="J4" s="36">
        <f>COUNTIFS('Master Roster'!$E$4:$E$1006, "Reserved", 'Master Roster'!$J$4:$J$1006, $H4)</f>
        <v>0</v>
      </c>
      <c r="K4" s="36">
        <f t="shared" ref="K4:K5" si="1">SUM(I4:J4)</f>
        <v>3</v>
      </c>
    </row>
    <row r="5">
      <c r="A5" s="27" t="str">
        <f>IFERROR(__xludf.DUMMYFUNCTION("""COMPUTED_VALUE"""),"BBH")</f>
        <v>BBH</v>
      </c>
      <c r="B5" s="28">
        <f>IFERROR(__xludf.DUMMYFUNCTION("""COMPUTED_VALUE"""),8.0)</f>
        <v>8</v>
      </c>
      <c r="C5" s="27" t="str">
        <f>IFERROR(__xludf.DUMMYFUNCTION("""COMPUTED_VALUE"""),"B")</f>
        <v>B</v>
      </c>
      <c r="D5" s="30">
        <f>IFERROR(__xludf.DUMMYFUNCTION("""COMPUTED_VALUE"""),900.0)</f>
        <v>900</v>
      </c>
      <c r="E5" s="27" t="str">
        <f>IFERROR(__xludf.DUMMYFUNCTION("""COMPUTED_VALUE"""),"Vacant")</f>
        <v>Vacant</v>
      </c>
      <c r="F5" s="32" t="str">
        <f>IFERROR(__xludf.DUMMYFUNCTION("""COMPUTED_VALUE"""),"Male")</f>
        <v>Male</v>
      </c>
      <c r="G5" s="33"/>
      <c r="H5" s="34" t="s">
        <v>36</v>
      </c>
      <c r="I5" s="36">
        <f>COUNTIFS('Master Roster'!$E$4:$E$1006, "Vacant", 'Master Roster'!$J$4:$J$1006, $H5)</f>
        <v>4</v>
      </c>
      <c r="J5" s="36">
        <f>COUNTIFS('Master Roster'!$E$4:$E$1006, "Reserved", 'Master Roster'!$J$4:$J$1006, $H5)</f>
        <v>0</v>
      </c>
      <c r="K5" s="36">
        <f t="shared" si="1"/>
        <v>4</v>
      </c>
    </row>
    <row r="6">
      <c r="A6" s="27" t="str">
        <f>IFERROR(__xludf.DUMMYFUNCTION("""COMPUTED_VALUE"""),"BBH")</f>
        <v>BBH</v>
      </c>
      <c r="B6" s="28">
        <f>IFERROR(__xludf.DUMMYFUNCTION("""COMPUTED_VALUE"""),9.0)</f>
        <v>9</v>
      </c>
      <c r="C6" s="27" t="str">
        <f>IFERROR(__xludf.DUMMYFUNCTION("""COMPUTED_VALUE"""),"C")</f>
        <v>C</v>
      </c>
      <c r="D6" s="30">
        <f>IFERROR(__xludf.DUMMYFUNCTION("""COMPUTED_VALUE"""),900.0)</f>
        <v>900</v>
      </c>
      <c r="E6" s="27" t="str">
        <f>IFERROR(__xludf.DUMMYFUNCTION("""COMPUTED_VALUE"""),"Vacant")</f>
        <v>Vacant</v>
      </c>
      <c r="F6" s="41" t="str">
        <f>IFERROR(__xludf.DUMMYFUNCTION("""COMPUTED_VALUE"""),"Female")</f>
        <v>Female</v>
      </c>
      <c r="H6" s="34" t="s">
        <v>15</v>
      </c>
      <c r="I6" s="36">
        <f t="shared" ref="I6:K6" si="2">SUM(I4:I5)</f>
        <v>7</v>
      </c>
      <c r="J6" s="36">
        <f t="shared" si="2"/>
        <v>0</v>
      </c>
      <c r="K6" s="36">
        <f t="shared" si="2"/>
        <v>7</v>
      </c>
    </row>
    <row r="7">
      <c r="A7" s="27" t="str">
        <f>IFERROR(__xludf.DUMMYFUNCTION("""COMPUTED_VALUE"""),"UPV")</f>
        <v>UPV</v>
      </c>
      <c r="B7" s="28">
        <f>IFERROR(__xludf.DUMMYFUNCTION("""COMPUTED_VALUE"""),10.0)</f>
        <v>10</v>
      </c>
      <c r="C7" s="27" t="str">
        <f>IFERROR(__xludf.DUMMYFUNCTION("""COMPUTED_VALUE"""),"D")</f>
        <v>D</v>
      </c>
      <c r="D7" s="30">
        <f>IFERROR(__xludf.DUMMYFUNCTION("""COMPUTED_VALUE"""),900.0)</f>
        <v>900</v>
      </c>
      <c r="E7" s="27" t="str">
        <f>IFERROR(__xludf.DUMMYFUNCTION("""COMPUTED_VALUE"""),"Vacant")</f>
        <v>Vacant</v>
      </c>
      <c r="F7" s="41" t="str">
        <f>IFERROR(__xludf.DUMMYFUNCTION("""COMPUTED_VALUE"""),"Female")</f>
        <v>Female</v>
      </c>
      <c r="H7" s="42" t="s">
        <v>43</v>
      </c>
    </row>
    <row r="8">
      <c r="A8" s="27" t="str">
        <f>IFERROR(__xludf.DUMMYFUNCTION("""COMPUTED_VALUE"""),"CRV")</f>
        <v>CRV</v>
      </c>
      <c r="B8" s="28">
        <f>IFERROR(__xludf.DUMMYFUNCTION("""COMPUTED_VALUE"""),16.0)</f>
        <v>16</v>
      </c>
      <c r="C8" s="27" t="str">
        <f>IFERROR(__xludf.DUMMYFUNCTION("""COMPUTED_VALUE"""),"A")</f>
        <v>A</v>
      </c>
      <c r="D8" s="30">
        <f>IFERROR(__xludf.DUMMYFUNCTION("""COMPUTED_VALUE"""),0.0)</f>
        <v>0</v>
      </c>
      <c r="E8" s="27" t="str">
        <f>IFERROR(__xludf.DUMMYFUNCTION("""COMPUTED_VALUE"""),"Vacant")</f>
        <v>Vacant</v>
      </c>
      <c r="F8" s="41" t="str">
        <f>IFERROR(__xludf.DUMMYFUNCTION("""COMPUTED_VALUE"""),"Male")</f>
        <v>Male</v>
      </c>
      <c r="H8" s="34" t="s">
        <v>46</v>
      </c>
      <c r="I8" s="36">
        <f>COUNTIFS('Master Roster'!E4:E1006, "&lt;&gt;VACANT", 'Master Roster'!E4:E1006, "&lt;&gt;RESERVED", 'Master Roster'!E4:E1006, "&lt;&gt;")</f>
        <v>47</v>
      </c>
      <c r="J8" s="36"/>
      <c r="K8" s="36"/>
    </row>
    <row r="9">
      <c r="A9" s="27" t="str">
        <f>IFERROR(__xludf.DUMMYFUNCTION("""COMPUTED_VALUE"""),"NWG")</f>
        <v>NWG</v>
      </c>
      <c r="B9" s="28">
        <f>IFERROR(__xludf.DUMMYFUNCTION("""COMPUTED_VALUE"""),22.0)</f>
        <v>22</v>
      </c>
      <c r="C9" s="27" t="str">
        <f>IFERROR(__xludf.DUMMYFUNCTION("""COMPUTED_VALUE"""),"A")</f>
        <v>A</v>
      </c>
      <c r="D9" s="30">
        <f>IFERROR(__xludf.DUMMYFUNCTION("""COMPUTED_VALUE"""),1200.0)</f>
        <v>1200</v>
      </c>
      <c r="E9" s="27" t="str">
        <f>IFERROR(__xludf.DUMMYFUNCTION("""COMPUTED_VALUE"""),"Vacant")</f>
        <v>Vacant</v>
      </c>
      <c r="F9" s="41" t="str">
        <f>IFERROR(__xludf.DUMMYFUNCTION("""COMPUTED_VALUE"""),"Male")</f>
        <v>Male</v>
      </c>
      <c r="H9" s="34" t="s">
        <v>52</v>
      </c>
      <c r="I9" s="36">
        <f>K6</f>
        <v>7</v>
      </c>
      <c r="J9" s="36"/>
      <c r="K9" s="36"/>
    </row>
    <row r="10">
      <c r="A10" s="27" t="str">
        <f>IFERROR(__xludf.DUMMYFUNCTION("""COMPUTED_VALUE"""),"NWG")</f>
        <v>NWG</v>
      </c>
      <c r="B10" s="28">
        <f>IFERROR(__xludf.DUMMYFUNCTION("""COMPUTED_VALUE"""),23.0)</f>
        <v>23</v>
      </c>
      <c r="C10" s="27" t="str">
        <f>IFERROR(__xludf.DUMMYFUNCTION("""COMPUTED_VALUE"""),"A")</f>
        <v>A</v>
      </c>
      <c r="D10" s="30">
        <f>IFERROR(__xludf.DUMMYFUNCTION("""COMPUTED_VALUE"""),1200.0)</f>
        <v>1200</v>
      </c>
      <c r="E10" s="27" t="str">
        <f>IFERROR(__xludf.DUMMYFUNCTION("""COMPUTED_VALUE"""),"Vacant")</f>
        <v>Vacant</v>
      </c>
      <c r="F10" s="41" t="str">
        <f>IFERROR(__xludf.DUMMYFUNCTION("""COMPUTED_VALUE"""),"Female")</f>
        <v>Female</v>
      </c>
      <c r="H10" s="48" t="s">
        <v>57</v>
      </c>
      <c r="I10" s="51">
        <f>I8+I9</f>
        <v>54</v>
      </c>
      <c r="J10" s="36"/>
      <c r="K10" s="36"/>
    </row>
    <row r="11">
      <c r="A11" s="27"/>
      <c r="B11" s="28"/>
      <c r="C11" s="27"/>
      <c r="D11" s="30"/>
      <c r="E11" s="27"/>
      <c r="F11" s="28"/>
      <c r="H11" s="53" t="s">
        <v>60</v>
      </c>
      <c r="I11" s="54">
        <f>SUMIFS('Master Roster'!H4:H1006, 'Master Roster'!E4:E1006, "&lt;&gt;Vacant")</f>
        <v>50250</v>
      </c>
      <c r="J11" s="36"/>
      <c r="K11" s="36"/>
    </row>
    <row r="12">
      <c r="A12" s="27"/>
      <c r="B12" s="28"/>
      <c r="C12" s="27"/>
      <c r="D12" s="30"/>
      <c r="E12" s="27"/>
      <c r="F12" s="28"/>
      <c r="H12" s="53" t="s">
        <v>67</v>
      </c>
      <c r="I12" s="54">
        <f>SUM('Master Roster'!H:H)</f>
        <v>56250</v>
      </c>
      <c r="J12" s="36"/>
      <c r="K12" s="36"/>
    </row>
    <row r="13">
      <c r="A13" s="27"/>
      <c r="B13" s="28"/>
      <c r="C13" s="27"/>
      <c r="D13" s="55"/>
      <c r="E13" s="27"/>
      <c r="F13" s="28"/>
      <c r="H13" s="31" t="s">
        <v>71</v>
      </c>
      <c r="I13" s="58">
        <f t="array" ref="I13">SUM(IF(ISNUMBER('Master Roster'!G4:G1006), IF((DAY('Master Roster'!G4:G1006)&gt;=20)*(DAY('Master Roster'!G4:G1006)&lt;=31), 'Master Roster'!H4:H1006, 0), 0))</f>
        <v>12400</v>
      </c>
    </row>
    <row r="14">
      <c r="A14" s="27"/>
      <c r="B14" s="28"/>
      <c r="C14" s="27"/>
      <c r="D14" s="55"/>
      <c r="E14" s="27"/>
      <c r="F14" s="28"/>
      <c r="H14" s="31" t="s">
        <v>83</v>
      </c>
      <c r="I14" s="60">
        <f t="array" ref="I14">SUM(IF(ISNUMBER('Master Roster'!G4:G1006), IF((DAY('Master Roster'!G4:G1006)&gt;=1)*(DAY('Master Roster'!G4:G1006)&lt;=5), 'Master Roster'!H4:H1006, 0), 0))</f>
        <v>18800</v>
      </c>
      <c r="J14" s="63">
        <f>I13+I14</f>
        <v>31200</v>
      </c>
    </row>
    <row r="15">
      <c r="A15" s="27"/>
      <c r="B15" s="28"/>
      <c r="C15" s="27"/>
      <c r="D15" s="55"/>
      <c r="E15" s="27"/>
      <c r="F15" s="28"/>
      <c r="H15" s="65" t="s">
        <v>97</v>
      </c>
      <c r="I15" s="66">
        <f>SUM(I17:I1006)</f>
        <v>29500</v>
      </c>
      <c r="J15" s="67"/>
      <c r="K15" s="67"/>
      <c r="L15" s="65" t="s">
        <v>99</v>
      </c>
      <c r="M15" s="66">
        <f>SUM(M17:M1006)</f>
        <v>20300</v>
      </c>
      <c r="N15" s="67"/>
    </row>
    <row r="16">
      <c r="A16" s="27"/>
      <c r="B16" s="28"/>
      <c r="C16" s="27"/>
      <c r="D16" s="55"/>
      <c r="E16" s="27"/>
      <c r="F16" s="28"/>
      <c r="H16" s="68" t="s">
        <v>17</v>
      </c>
      <c r="I16" s="70" t="s">
        <v>104</v>
      </c>
      <c r="J16" s="68" t="s">
        <v>21</v>
      </c>
      <c r="K16" s="71"/>
      <c r="L16" s="68" t="s">
        <v>17</v>
      </c>
      <c r="M16" s="70" t="s">
        <v>104</v>
      </c>
      <c r="N16" s="68" t="s">
        <v>21</v>
      </c>
    </row>
    <row r="17">
      <c r="A17" s="27"/>
      <c r="B17" s="28"/>
      <c r="C17" s="27"/>
      <c r="D17" s="28"/>
      <c r="E17" s="27"/>
      <c r="F17" s="28"/>
      <c r="H17" s="29" t="str">
        <f>IFERROR(__xludf.DUMMYFUNCTION("IFERROR(ARRAYFORMULA(LET(names, 'Master Roster'!E4:E1006, base_amounts, 'Master Roster'!H4:H1006, dates, 'Master Roster'!G4:G1006, day_val, IF(dates="""", 0, IF(ISNUMBER(dates), DAY(dates), IFERROR(VALUE(LEFT(dates, FIND(""/"", dates)-1)), 0))), balances,"&amp;" IFERROR(VLOOKUP(names, {'Monthly Billing Tab'!D4:D1006, 'Monthly Billing Tab'!L4:L1006}, 2, FALSE), 0), valid, (names&lt;&gt;"""") * (base_amounts&lt;&gt;"""") * (balances&lt;&gt;0), mask2, (day_val&gt;=1)*(day_val&lt;=5), keep, valid * mask2, SORT(FILTER({names, base_amounts, "&amp;"dates}, keep), 3, TRUE))), ""No tenants found"")"),"Gabirel Kabwe")</f>
        <v>Gabirel Kabwe</v>
      </c>
      <c r="I17" s="74">
        <f>IFERROR(__xludf.DUMMYFUNCTION("""COMPUTED_VALUE"""),1200.0)</f>
        <v>1200</v>
      </c>
      <c r="J17" s="75">
        <f>IFERROR(__xludf.DUMMYFUNCTION("""COMPUTED_VALUE"""),46143.0)</f>
        <v>46143</v>
      </c>
      <c r="L17" s="29" t="str">
        <f>IFERROR(__xludf.DUMMYFUNCTION("IFERROR(ARRAYFORMULA(LET(names, 'Master Roster'!E4:E1006, base_amounts, 'Master Roster'!H4:H1006, dates, 'Master Roster'!G4:G1006, day_val, IF(dates="""", 0, IF(ISNUMBER(dates), DAY(dates), IFERROR(VALUE(LEFT(dates, FIND(""/"", dates)-1)), 0))), balances,"&amp;" IFERROR(VLOOKUP(names, {'Monthly Billing Tab'!D4:D1006, 'Monthly Billing Tab'!L4:L1006}, 2, FALSE), 0), valid, (names&lt;&gt;"""") * (base_amounts&lt;&gt;"""") * (balances&lt;&gt;0), mask2, (day_val&gt;=20)*(day_val&lt;=31), keep, valid * mask2, SORT(FILTER({names, base_amounts"&amp;", dates}, keep), 3, TRUE))), ""No tenants found"")"),"Nanga Obrien")</f>
        <v>Nanga Obrien</v>
      </c>
      <c r="M17" s="74">
        <f>IFERROR(__xludf.DUMMYFUNCTION("""COMPUTED_VALUE"""),900.0)</f>
        <v>900</v>
      </c>
      <c r="N17" s="75">
        <f>IFERROR(__xludf.DUMMYFUNCTION("""COMPUTED_VALUE"""),46048.0)</f>
        <v>46048</v>
      </c>
    </row>
    <row r="18">
      <c r="A18" s="27"/>
      <c r="B18" s="28"/>
      <c r="C18" s="27"/>
      <c r="D18" s="28"/>
      <c r="E18" s="27"/>
      <c r="F18" s="28"/>
      <c r="H18" s="29" t="str">
        <f>IFERROR(__xludf.DUMMYFUNCTION("""COMPUTED_VALUE"""),"McDonald")</f>
        <v>McDonald</v>
      </c>
      <c r="I18" s="74">
        <f>IFERROR(__xludf.DUMMYFUNCTION("""COMPUTED_VALUE"""),900.0)</f>
        <v>900</v>
      </c>
      <c r="J18" s="75">
        <f>IFERROR(__xludf.DUMMYFUNCTION("""COMPUTED_VALUE"""),46174.0)</f>
        <v>46174</v>
      </c>
      <c r="L18" s="29" t="str">
        <f>IFERROR(__xludf.DUMMYFUNCTION("""COMPUTED_VALUE"""),"Lushomo gambwe")</f>
        <v>Lushomo gambwe</v>
      </c>
      <c r="M18" s="74">
        <f>IFERROR(__xludf.DUMMYFUNCTION("""COMPUTED_VALUE"""),1200.0)</f>
        <v>1200</v>
      </c>
      <c r="N18" s="75">
        <f>IFERROR(__xludf.DUMMYFUNCTION("""COMPUTED_VALUE"""),46078.0)</f>
        <v>46078</v>
      </c>
    </row>
    <row r="19">
      <c r="A19" s="27"/>
      <c r="B19" s="28"/>
      <c r="C19" s="27"/>
      <c r="D19" s="28"/>
      <c r="E19" s="27"/>
      <c r="F19" s="28"/>
      <c r="H19" s="29" t="str">
        <f>IFERROR(__xludf.DUMMYFUNCTION("""COMPUTED_VALUE"""),"Collins Mubanga")</f>
        <v>Collins Mubanga</v>
      </c>
      <c r="I19" s="74">
        <f>IFERROR(__xludf.DUMMYFUNCTION("""COMPUTED_VALUE"""),900.0)</f>
        <v>900</v>
      </c>
      <c r="J19" s="75">
        <f>IFERROR(__xludf.DUMMYFUNCTION("""COMPUTED_VALUE"""),46176.0)</f>
        <v>46176</v>
      </c>
      <c r="L19" s="29" t="str">
        <f>IFERROR(__xludf.DUMMYFUNCTION("""COMPUTED_VALUE"""),"Himalikiti Saviour")</f>
        <v>Himalikiti Saviour</v>
      </c>
      <c r="M19" s="74">
        <f>IFERROR(__xludf.DUMMYFUNCTION("""COMPUTED_VALUE"""),950.0)</f>
        <v>950</v>
      </c>
      <c r="N19" s="75">
        <f>IFERROR(__xludf.DUMMYFUNCTION("""COMPUTED_VALUE"""),46195.0)</f>
        <v>46195</v>
      </c>
    </row>
    <row r="20">
      <c r="A20" s="27"/>
      <c r="B20" s="28"/>
      <c r="C20" s="27"/>
      <c r="D20" s="28"/>
      <c r="E20" s="27"/>
      <c r="F20" s="28"/>
      <c r="H20" s="29" t="str">
        <f>IFERROR(__xludf.DUMMYFUNCTION("""COMPUTED_VALUE"""),"Harriet nanyangwe")</f>
        <v>Harriet nanyangwe</v>
      </c>
      <c r="I20" s="74">
        <f>IFERROR(__xludf.DUMMYFUNCTION("""COMPUTED_VALUE"""),1100.0)</f>
        <v>1100</v>
      </c>
      <c r="J20" s="75">
        <f>IFERROR(__xludf.DUMMYFUNCTION("""COMPUTED_VALUE"""),46176.0)</f>
        <v>46176</v>
      </c>
      <c r="L20" s="29" t="str">
        <f>IFERROR(__xludf.DUMMYFUNCTION("""COMPUTED_VALUE"""),"Kangwa Kunda")</f>
        <v>Kangwa Kunda</v>
      </c>
      <c r="M20" s="74">
        <f>IFERROR(__xludf.DUMMYFUNCTION("""COMPUTED_VALUE"""),900.0)</f>
        <v>900</v>
      </c>
      <c r="N20" s="75">
        <f>IFERROR(__xludf.DUMMYFUNCTION("""COMPUTED_VALUE"""),46198.0)</f>
        <v>46198</v>
      </c>
    </row>
    <row r="21">
      <c r="A21" s="27"/>
      <c r="B21" s="28"/>
      <c r="C21" s="27"/>
      <c r="D21" s="28"/>
      <c r="E21" s="27"/>
      <c r="F21" s="28"/>
      <c r="H21" s="29" t="str">
        <f>IFERROR(__xludf.DUMMYFUNCTION("""COMPUTED_VALUE"""),"Wisdom Bwani")</f>
        <v>Wisdom Bwani</v>
      </c>
      <c r="I21" s="74">
        <f>IFERROR(__xludf.DUMMYFUNCTION("""COMPUTED_VALUE"""),900.0)</f>
        <v>900</v>
      </c>
      <c r="J21" s="75">
        <f>IFERROR(__xludf.DUMMYFUNCTION("""COMPUTED_VALUE"""),46178.0)</f>
        <v>46178</v>
      </c>
      <c r="L21" s="29" t="str">
        <f>IFERROR(__xludf.DUMMYFUNCTION("""COMPUTED_VALUE"""),"Sara Matakala")</f>
        <v>Sara Matakala</v>
      </c>
      <c r="M21" s="74">
        <f>IFERROR(__xludf.DUMMYFUNCTION("""COMPUTED_VALUE"""),900.0)</f>
        <v>900</v>
      </c>
      <c r="N21" s="75">
        <f>IFERROR(__xludf.DUMMYFUNCTION("""COMPUTED_VALUE"""),46198.0)</f>
        <v>46198</v>
      </c>
    </row>
    <row r="22">
      <c r="A22" s="27"/>
      <c r="B22" s="28"/>
      <c r="C22" s="27"/>
      <c r="D22" s="28"/>
      <c r="E22" s="27"/>
      <c r="F22" s="28"/>
      <c r="H22" s="29" t="str">
        <f>IFERROR(__xludf.DUMMYFUNCTION("""COMPUTED_VALUE"""),"Funny Muyamina")</f>
        <v>Funny Muyamina</v>
      </c>
      <c r="I22" s="74">
        <f>IFERROR(__xludf.DUMMYFUNCTION("""COMPUTED_VALUE"""),900.0)</f>
        <v>900</v>
      </c>
      <c r="J22" s="75">
        <f>IFERROR(__xludf.DUMMYFUNCTION("""COMPUTED_VALUE"""),46178.0)</f>
        <v>46178</v>
      </c>
      <c r="L22" s="29" t="str">
        <f>IFERROR(__xludf.DUMMYFUNCTION("""COMPUTED_VALUE"""),"Samantha Musako (Kakompe)")</f>
        <v>Samantha Musako (Kakompe)</v>
      </c>
      <c r="M22" s="74">
        <f>IFERROR(__xludf.DUMMYFUNCTION("""COMPUTED_VALUE"""),1200.0)</f>
        <v>1200</v>
      </c>
      <c r="N22" s="75">
        <f>IFERROR(__xludf.DUMMYFUNCTION("""COMPUTED_VALUE"""),46199.0)</f>
        <v>46199</v>
      </c>
    </row>
    <row r="23">
      <c r="A23" s="27"/>
      <c r="B23" s="28"/>
      <c r="C23" s="27"/>
      <c r="D23" s="28"/>
      <c r="E23" s="27"/>
      <c r="F23" s="28"/>
      <c r="H23" s="29" t="str">
        <f>IFERROR(__xludf.DUMMYFUNCTION("""COMPUTED_VALUE"""),"Treasure Simeenda")</f>
        <v>Treasure Simeenda</v>
      </c>
      <c r="I23" s="74">
        <f>IFERROR(__xludf.DUMMYFUNCTION("""COMPUTED_VALUE"""),900.0)</f>
        <v>900</v>
      </c>
      <c r="J23" s="75">
        <f>IFERROR(__xludf.DUMMYFUNCTION("""COMPUTED_VALUE"""),46178.0)</f>
        <v>46178</v>
      </c>
      <c r="L23" s="29" t="str">
        <f>IFERROR(__xludf.DUMMYFUNCTION("""COMPUTED_VALUE"""),"Wendy Mpakise")</f>
        <v>Wendy Mpakise</v>
      </c>
      <c r="M23" s="74">
        <f>IFERROR(__xludf.DUMMYFUNCTION("""COMPUTED_VALUE"""),900.0)</f>
        <v>900</v>
      </c>
      <c r="N23" s="75">
        <f>IFERROR(__xludf.DUMMYFUNCTION("""COMPUTED_VALUE"""),46200.0)</f>
        <v>46200</v>
      </c>
    </row>
    <row r="24">
      <c r="A24" s="27"/>
      <c r="B24" s="28"/>
      <c r="C24" s="27"/>
      <c r="D24" s="28"/>
      <c r="E24" s="27"/>
      <c r="F24" s="28"/>
      <c r="I24" s="74"/>
      <c r="J24" s="75"/>
      <c r="L24" s="29" t="str">
        <f>IFERROR(__xludf.DUMMYFUNCTION("""COMPUTED_VALUE"""),"Adrian mulale")</f>
        <v>Adrian mulale</v>
      </c>
      <c r="M24" s="74">
        <f>IFERROR(__xludf.DUMMYFUNCTION("""COMPUTED_VALUE"""),950.0)</f>
        <v>950</v>
      </c>
      <c r="N24" s="75">
        <f>IFERROR(__xludf.DUMMYFUNCTION("""COMPUTED_VALUE"""),46203.0)</f>
        <v>46203</v>
      </c>
    </row>
    <row r="25">
      <c r="A25" s="27"/>
      <c r="B25" s="28"/>
      <c r="C25" s="27"/>
      <c r="D25" s="28"/>
      <c r="E25" s="27"/>
      <c r="F25" s="28"/>
      <c r="I25" s="74"/>
      <c r="J25" s="75"/>
      <c r="L25" s="29" t="str">
        <f>IFERROR(__xludf.DUMMYFUNCTION("""COMPUTED_VALUE"""),"Ackim Siamafuko")</f>
        <v>Ackim Siamafuko</v>
      </c>
      <c r="M25" s="74">
        <f>IFERROR(__xludf.DUMMYFUNCTION("""COMPUTED_VALUE"""),1200.0)</f>
        <v>1200</v>
      </c>
      <c r="N25" s="75">
        <f>IFERROR(__xludf.DUMMYFUNCTION("""COMPUTED_VALUE"""),46223.0)</f>
        <v>46223</v>
      </c>
    </row>
    <row r="26">
      <c r="A26" s="27"/>
      <c r="B26" s="28"/>
      <c r="C26" s="27"/>
      <c r="D26" s="28"/>
      <c r="E26" s="27"/>
      <c r="F26" s="28"/>
      <c r="I26" s="74"/>
      <c r="J26" s="75"/>
      <c r="L26" s="29" t="str">
        <f>IFERROR(__xludf.DUMMYFUNCTION("""COMPUTED_VALUE"""),"Shadrach Munganini")</f>
        <v>Shadrach Munganini</v>
      </c>
      <c r="M26" s="74">
        <f>IFERROR(__xludf.DUMMYFUNCTION("""COMPUTED_VALUE"""),900.0)</f>
        <v>900</v>
      </c>
      <c r="N26" s="75">
        <f>IFERROR(__xludf.DUMMYFUNCTION("""COMPUTED_VALUE"""),46228.0)</f>
        <v>46228</v>
      </c>
    </row>
    <row r="27">
      <c r="A27" s="27"/>
      <c r="B27" s="28"/>
      <c r="C27" s="27"/>
      <c r="D27" s="28"/>
      <c r="E27" s="27"/>
      <c r="F27" s="28"/>
      <c r="I27" s="74"/>
      <c r="J27" s="75"/>
      <c r="L27" s="29" t="str">
        <f>IFERROR(__xludf.DUMMYFUNCTION("""COMPUTED_VALUE"""),"Kuwunda Makondo")</f>
        <v>Kuwunda Makondo</v>
      </c>
      <c r="M27" s="74">
        <f>IFERROR(__xludf.DUMMYFUNCTION("""COMPUTED_VALUE"""),1200.0)</f>
        <v>1200</v>
      </c>
      <c r="N27" s="75">
        <f>IFERROR(__xludf.DUMMYFUNCTION("""COMPUTED_VALUE"""),46263.0)</f>
        <v>46263</v>
      </c>
    </row>
    <row r="28">
      <c r="A28" s="27"/>
      <c r="B28" s="28"/>
      <c r="C28" s="27"/>
      <c r="D28" s="28"/>
      <c r="E28" s="27"/>
      <c r="F28" s="28"/>
      <c r="I28" s="74"/>
      <c r="J28" s="75"/>
      <c r="M28" s="74"/>
      <c r="N28" s="75"/>
    </row>
    <row r="29">
      <c r="A29" s="27"/>
      <c r="B29" s="28"/>
      <c r="C29" s="27"/>
      <c r="D29" s="28"/>
      <c r="E29" s="27"/>
      <c r="F29" s="28"/>
      <c r="I29" s="74"/>
      <c r="J29" s="75"/>
      <c r="M29" s="74"/>
      <c r="N29" s="75"/>
    </row>
    <row r="30">
      <c r="A30" s="27"/>
      <c r="B30" s="28"/>
      <c r="C30" s="27"/>
      <c r="D30" s="28"/>
      <c r="E30" s="27"/>
      <c r="F30" s="28"/>
      <c r="H30" s="68" t="s">
        <v>153</v>
      </c>
      <c r="I30" s="84">
        <f>SUM(I17:I25)</f>
        <v>6800</v>
      </c>
      <c r="J30" s="75"/>
      <c r="L30" s="68" t="s">
        <v>153</v>
      </c>
      <c r="M30" s="84">
        <f>SUM(M17:M25)</f>
        <v>9100</v>
      </c>
      <c r="N30" s="75"/>
    </row>
    <row r="31">
      <c r="A31" s="27"/>
      <c r="B31" s="28"/>
      <c r="C31" s="27"/>
      <c r="D31" s="28"/>
      <c r="E31" s="27"/>
      <c r="F31" s="28"/>
      <c r="I31" s="74"/>
      <c r="J31" s="75"/>
      <c r="M31" s="74"/>
      <c r="N31" s="75"/>
    </row>
    <row r="32">
      <c r="A32" s="27"/>
      <c r="B32" s="28"/>
      <c r="C32" s="27"/>
      <c r="D32" s="28"/>
      <c r="E32" s="27"/>
      <c r="F32" s="28"/>
      <c r="H32" s="68" t="s">
        <v>159</v>
      </c>
      <c r="I32" s="84">
        <f>I30+M30</f>
        <v>15900</v>
      </c>
      <c r="J32" s="75"/>
      <c r="M32" s="74"/>
      <c r="N32" s="75"/>
    </row>
    <row r="33">
      <c r="A33" s="27"/>
      <c r="B33" s="28"/>
      <c r="C33" s="27"/>
      <c r="D33" s="28"/>
      <c r="E33" s="27"/>
      <c r="F33" s="28"/>
      <c r="I33" s="74"/>
      <c r="J33" s="75"/>
      <c r="M33" s="74"/>
      <c r="N33" s="75"/>
    </row>
    <row r="34">
      <c r="A34" s="27"/>
      <c r="B34" s="28"/>
      <c r="C34" s="27"/>
      <c r="D34" s="28"/>
      <c r="E34" s="27"/>
      <c r="F34" s="28"/>
      <c r="I34" s="74"/>
      <c r="J34" s="75"/>
      <c r="M34" s="74"/>
      <c r="N34" s="75"/>
    </row>
    <row r="35">
      <c r="A35" s="27"/>
      <c r="B35" s="28"/>
      <c r="C35" s="27"/>
      <c r="D35" s="28"/>
      <c r="E35" s="27"/>
      <c r="F35" s="28"/>
      <c r="I35" s="74"/>
      <c r="J35" s="75"/>
      <c r="M35" s="74"/>
      <c r="N35" s="75"/>
    </row>
    <row r="36">
      <c r="A36" s="27"/>
      <c r="B36" s="28"/>
      <c r="C36" s="27"/>
      <c r="D36" s="28"/>
      <c r="E36" s="27"/>
      <c r="F36" s="28"/>
      <c r="I36" s="74"/>
      <c r="J36" s="75"/>
      <c r="M36" s="74"/>
      <c r="N36" s="75"/>
    </row>
    <row r="37">
      <c r="A37" s="27"/>
      <c r="B37" s="28"/>
      <c r="C37" s="27"/>
      <c r="D37" s="28"/>
      <c r="E37" s="27"/>
      <c r="F37" s="28"/>
      <c r="I37" s="74"/>
      <c r="J37" s="75"/>
      <c r="M37" s="74"/>
      <c r="N37" s="75"/>
    </row>
    <row r="38">
      <c r="A38" s="27"/>
      <c r="B38" s="28"/>
      <c r="C38" s="27"/>
      <c r="D38" s="28"/>
      <c r="E38" s="27"/>
      <c r="F38" s="28"/>
      <c r="I38" s="74"/>
      <c r="J38" s="75"/>
      <c r="M38" s="74"/>
      <c r="N38" s="75"/>
    </row>
    <row r="39">
      <c r="A39" s="27"/>
      <c r="B39" s="28"/>
      <c r="C39" s="27"/>
      <c r="D39" s="28"/>
      <c r="E39" s="27"/>
      <c r="F39" s="28"/>
      <c r="I39" s="74"/>
      <c r="J39" s="75"/>
      <c r="M39" s="74"/>
      <c r="N39" s="75"/>
    </row>
    <row r="40">
      <c r="A40" s="27"/>
      <c r="B40" s="28"/>
      <c r="C40" s="27"/>
      <c r="D40" s="28"/>
      <c r="E40" s="27"/>
      <c r="F40" s="28"/>
      <c r="I40" s="74"/>
      <c r="J40" s="75"/>
      <c r="M40" s="74"/>
      <c r="N40" s="75"/>
    </row>
    <row r="41">
      <c r="A41" s="27"/>
      <c r="B41" s="28"/>
      <c r="C41" s="27"/>
      <c r="D41" s="28"/>
      <c r="E41" s="27"/>
      <c r="F41" s="28"/>
      <c r="I41" s="74"/>
      <c r="J41" s="75"/>
      <c r="M41" s="74"/>
      <c r="N41" s="75"/>
    </row>
    <row r="42">
      <c r="A42" s="27"/>
      <c r="B42" s="28"/>
      <c r="C42" s="27"/>
      <c r="D42" s="28"/>
      <c r="E42" s="27"/>
      <c r="F42" s="28"/>
      <c r="I42" s="74"/>
      <c r="J42" s="75"/>
      <c r="M42" s="74"/>
      <c r="N42" s="75"/>
    </row>
    <row r="43">
      <c r="A43" s="27"/>
      <c r="B43" s="28"/>
      <c r="C43" s="27"/>
      <c r="D43" s="28"/>
      <c r="E43" s="27"/>
      <c r="F43" s="28"/>
      <c r="I43" s="74"/>
      <c r="J43" s="75"/>
      <c r="M43" s="74"/>
      <c r="N43" s="75"/>
    </row>
    <row r="44">
      <c r="A44" s="27"/>
      <c r="B44" s="28"/>
      <c r="C44" s="27"/>
      <c r="D44" s="28"/>
      <c r="E44" s="27"/>
      <c r="F44" s="28"/>
      <c r="I44" s="74"/>
      <c r="J44" s="75"/>
      <c r="M44" s="74"/>
      <c r="N44" s="75"/>
    </row>
    <row r="45">
      <c r="A45" s="27"/>
      <c r="B45" s="28"/>
      <c r="C45" s="27"/>
      <c r="D45" s="28"/>
      <c r="E45" s="27"/>
      <c r="F45" s="28"/>
      <c r="I45" s="74"/>
      <c r="J45" s="75"/>
      <c r="M45" s="74"/>
      <c r="N45" s="75"/>
    </row>
    <row r="46">
      <c r="A46" s="27"/>
      <c r="B46" s="28"/>
      <c r="C46" s="27"/>
      <c r="D46" s="28"/>
      <c r="E46" s="27"/>
      <c r="F46" s="28"/>
      <c r="I46" s="74"/>
      <c r="J46" s="75"/>
      <c r="M46" s="74"/>
      <c r="N46" s="75"/>
    </row>
    <row r="47">
      <c r="A47" s="27"/>
      <c r="B47" s="28"/>
      <c r="C47" s="27"/>
      <c r="D47" s="28"/>
      <c r="E47" s="27"/>
      <c r="F47" s="28"/>
      <c r="I47" s="74"/>
      <c r="J47" s="75"/>
      <c r="M47" s="74"/>
      <c r="N47" s="75"/>
    </row>
    <row r="48">
      <c r="A48" s="27"/>
      <c r="B48" s="28"/>
      <c r="C48" s="27"/>
      <c r="D48" s="28"/>
      <c r="E48" s="27"/>
      <c r="F48" s="28"/>
      <c r="I48" s="74"/>
      <c r="J48" s="75"/>
      <c r="M48" s="74"/>
      <c r="N48" s="75"/>
    </row>
    <row r="49">
      <c r="A49" s="27"/>
      <c r="B49" s="28"/>
      <c r="C49" s="27"/>
      <c r="D49" s="28"/>
      <c r="E49" s="27"/>
      <c r="F49" s="28"/>
      <c r="I49" s="74"/>
      <c r="J49" s="75"/>
      <c r="M49" s="74"/>
      <c r="N49" s="75"/>
    </row>
    <row r="50">
      <c r="A50" s="27"/>
      <c r="B50" s="28"/>
      <c r="C50" s="27"/>
      <c r="D50" s="28"/>
      <c r="E50" s="27"/>
      <c r="F50" s="28"/>
      <c r="I50" s="74"/>
      <c r="J50" s="75"/>
      <c r="M50" s="74"/>
      <c r="N50" s="75"/>
    </row>
    <row r="51">
      <c r="A51" s="27"/>
      <c r="B51" s="28"/>
      <c r="C51" s="27"/>
      <c r="D51" s="28"/>
      <c r="E51" s="27"/>
      <c r="F51" s="28"/>
      <c r="I51" s="74"/>
      <c r="J51" s="75"/>
      <c r="M51" s="74"/>
      <c r="N51" s="75"/>
    </row>
    <row r="52">
      <c r="A52" s="27"/>
      <c r="B52" s="28"/>
      <c r="C52" s="27"/>
      <c r="D52" s="28"/>
      <c r="E52" s="27"/>
      <c r="F52" s="28"/>
      <c r="I52" s="74"/>
      <c r="J52" s="75"/>
      <c r="M52" s="74"/>
      <c r="N52" s="75"/>
    </row>
    <row r="53">
      <c r="A53" s="27"/>
      <c r="B53" s="28"/>
      <c r="C53" s="27"/>
      <c r="D53" s="28"/>
      <c r="E53" s="27"/>
      <c r="F53" s="28"/>
      <c r="I53" s="74"/>
      <c r="J53" s="75"/>
      <c r="M53" s="74"/>
      <c r="N53" s="75"/>
    </row>
    <row r="54">
      <c r="A54" s="27"/>
      <c r="B54" s="28"/>
      <c r="C54" s="27"/>
      <c r="D54" s="28"/>
      <c r="E54" s="27"/>
      <c r="F54" s="28"/>
      <c r="I54" s="74"/>
      <c r="J54" s="75"/>
      <c r="M54" s="74"/>
      <c r="N54" s="75"/>
    </row>
    <row r="55">
      <c r="A55" s="27"/>
      <c r="B55" s="28"/>
      <c r="C55" s="27"/>
      <c r="D55" s="28"/>
      <c r="E55" s="27"/>
      <c r="F55" s="28"/>
      <c r="I55" s="74"/>
      <c r="J55" s="75"/>
      <c r="M55" s="74"/>
      <c r="N55" s="75"/>
    </row>
    <row r="56">
      <c r="A56" s="27"/>
      <c r="B56" s="28"/>
      <c r="C56" s="27"/>
      <c r="D56" s="28"/>
      <c r="E56" s="27"/>
      <c r="F56" s="28"/>
      <c r="I56" s="74"/>
      <c r="J56" s="75"/>
      <c r="M56" s="74"/>
      <c r="N56" s="75"/>
    </row>
    <row r="57">
      <c r="A57" s="27"/>
      <c r="B57" s="28"/>
      <c r="C57" s="27"/>
      <c r="D57" s="28"/>
      <c r="E57" s="27"/>
      <c r="F57" s="28"/>
      <c r="I57" s="74"/>
      <c r="J57" s="75"/>
      <c r="M57" s="74"/>
      <c r="N57" s="75"/>
    </row>
    <row r="58">
      <c r="A58" s="27"/>
      <c r="B58" s="28"/>
      <c r="C58" s="27"/>
      <c r="D58" s="28"/>
      <c r="E58" s="27"/>
      <c r="F58" s="28"/>
      <c r="I58" s="74"/>
      <c r="J58" s="75"/>
      <c r="M58" s="74"/>
      <c r="N58" s="75"/>
    </row>
    <row r="59">
      <c r="A59" s="27"/>
      <c r="B59" s="28"/>
      <c r="C59" s="27"/>
      <c r="D59" s="28"/>
      <c r="E59" s="27"/>
      <c r="F59" s="28"/>
      <c r="I59" s="74"/>
      <c r="J59" s="75"/>
      <c r="M59" s="74"/>
      <c r="N59" s="75"/>
    </row>
    <row r="60">
      <c r="A60" s="27"/>
      <c r="B60" s="28"/>
      <c r="C60" s="27"/>
      <c r="D60" s="28"/>
      <c r="E60" s="27"/>
      <c r="F60" s="28"/>
      <c r="I60" s="74"/>
      <c r="J60" s="75"/>
      <c r="M60" s="74"/>
      <c r="N60" s="75"/>
    </row>
    <row r="61">
      <c r="A61" s="27"/>
      <c r="B61" s="28"/>
      <c r="C61" s="27"/>
      <c r="D61" s="28"/>
      <c r="E61" s="27"/>
      <c r="F61" s="28"/>
      <c r="I61" s="74"/>
      <c r="J61" s="75"/>
      <c r="M61" s="74"/>
      <c r="N61" s="75"/>
    </row>
    <row r="62">
      <c r="A62" s="27"/>
      <c r="B62" s="28"/>
      <c r="C62" s="27"/>
      <c r="D62" s="28"/>
      <c r="E62" s="27"/>
      <c r="F62" s="28"/>
      <c r="I62" s="74"/>
      <c r="J62" s="75"/>
      <c r="M62" s="74"/>
      <c r="N62" s="75"/>
    </row>
    <row r="63">
      <c r="A63" s="27"/>
      <c r="B63" s="28"/>
      <c r="C63" s="27"/>
      <c r="D63" s="28"/>
      <c r="E63" s="27"/>
      <c r="F63" s="28"/>
      <c r="I63" s="74"/>
      <c r="J63" s="75"/>
      <c r="M63" s="74"/>
      <c r="N63" s="75"/>
    </row>
    <row r="64">
      <c r="A64" s="27"/>
      <c r="B64" s="28"/>
      <c r="C64" s="27"/>
      <c r="D64" s="28"/>
      <c r="E64" s="27"/>
      <c r="F64" s="28"/>
      <c r="I64" s="74"/>
      <c r="J64" s="75"/>
      <c r="M64" s="74"/>
      <c r="N64" s="75"/>
    </row>
    <row r="65">
      <c r="A65" s="27"/>
      <c r="B65" s="28"/>
      <c r="C65" s="27"/>
      <c r="D65" s="28"/>
      <c r="E65" s="27"/>
      <c r="F65" s="28"/>
      <c r="I65" s="74"/>
      <c r="J65" s="75"/>
      <c r="M65" s="74"/>
      <c r="N65" s="75"/>
    </row>
    <row r="66">
      <c r="A66" s="27"/>
      <c r="B66" s="28"/>
      <c r="C66" s="27"/>
      <c r="D66" s="28"/>
      <c r="E66" s="27"/>
      <c r="F66" s="28"/>
      <c r="I66" s="74"/>
      <c r="J66" s="75"/>
      <c r="M66" s="74"/>
      <c r="N66" s="75"/>
    </row>
    <row r="67">
      <c r="A67" s="27"/>
      <c r="B67" s="28"/>
      <c r="C67" s="27"/>
      <c r="D67" s="28"/>
      <c r="E67" s="27"/>
      <c r="F67" s="28"/>
      <c r="I67" s="74"/>
      <c r="J67" s="75"/>
      <c r="M67" s="74"/>
      <c r="N67" s="75"/>
    </row>
    <row r="68">
      <c r="A68" s="27"/>
      <c r="B68" s="28"/>
      <c r="C68" s="27"/>
      <c r="D68" s="28"/>
      <c r="E68" s="27"/>
      <c r="F68" s="28"/>
      <c r="I68" s="74"/>
      <c r="J68" s="75"/>
      <c r="M68" s="74"/>
      <c r="N68" s="75"/>
    </row>
    <row r="69">
      <c r="A69" s="27"/>
      <c r="B69" s="28"/>
      <c r="C69" s="27"/>
      <c r="D69" s="28"/>
      <c r="E69" s="27"/>
      <c r="F69" s="28"/>
      <c r="I69" s="74"/>
      <c r="J69" s="75"/>
      <c r="M69" s="74"/>
      <c r="N69" s="75"/>
    </row>
    <row r="70">
      <c r="A70" s="27"/>
      <c r="B70" s="28"/>
      <c r="C70" s="27"/>
      <c r="D70" s="28"/>
      <c r="E70" s="27"/>
      <c r="F70" s="28"/>
      <c r="I70" s="74"/>
      <c r="J70" s="75"/>
      <c r="M70" s="74"/>
      <c r="N70" s="75"/>
    </row>
    <row r="71">
      <c r="A71" s="27"/>
      <c r="B71" s="28"/>
      <c r="C71" s="27"/>
      <c r="D71" s="28"/>
      <c r="E71" s="27"/>
      <c r="F71" s="28"/>
      <c r="I71" s="74"/>
      <c r="J71" s="75"/>
      <c r="M71" s="74"/>
      <c r="N71" s="75"/>
    </row>
    <row r="72">
      <c r="A72" s="27"/>
      <c r="B72" s="28"/>
      <c r="C72" s="27"/>
      <c r="D72" s="28"/>
      <c r="E72" s="27"/>
      <c r="F72" s="28"/>
      <c r="I72" s="74"/>
      <c r="J72" s="75"/>
      <c r="M72" s="74"/>
      <c r="N72" s="75"/>
    </row>
    <row r="73">
      <c r="A73" s="27"/>
      <c r="B73" s="28"/>
      <c r="C73" s="27"/>
      <c r="D73" s="28"/>
      <c r="E73" s="27"/>
      <c r="F73" s="28"/>
      <c r="I73" s="74"/>
      <c r="J73" s="75"/>
      <c r="M73" s="74"/>
      <c r="N73" s="75"/>
    </row>
    <row r="74">
      <c r="A74" s="27"/>
      <c r="B74" s="28"/>
      <c r="C74" s="27"/>
      <c r="D74" s="28"/>
      <c r="E74" s="27"/>
      <c r="F74" s="28"/>
      <c r="I74" s="74"/>
      <c r="J74" s="75"/>
      <c r="M74" s="74"/>
      <c r="N74" s="75"/>
    </row>
    <row r="75">
      <c r="A75" s="28"/>
      <c r="B75" s="28"/>
      <c r="C75" s="27"/>
      <c r="D75" s="28"/>
      <c r="E75" s="27"/>
      <c r="F75" s="28"/>
      <c r="I75" s="74"/>
      <c r="J75" s="75"/>
      <c r="M75" s="74"/>
      <c r="N75" s="75"/>
    </row>
    <row r="76">
      <c r="A76" s="28"/>
      <c r="B76" s="28"/>
      <c r="C76" s="27"/>
      <c r="D76" s="28"/>
      <c r="E76" s="27"/>
      <c r="F76" s="28"/>
      <c r="I76" s="74"/>
      <c r="J76" s="75"/>
      <c r="M76" s="74"/>
      <c r="N76" s="75"/>
    </row>
    <row r="77">
      <c r="A77" s="28"/>
      <c r="B77" s="28"/>
      <c r="C77" s="27"/>
      <c r="D77" s="28"/>
      <c r="E77" s="27"/>
      <c r="F77" s="28"/>
      <c r="I77" s="74"/>
      <c r="J77" s="75"/>
      <c r="M77" s="74"/>
      <c r="N77" s="75"/>
    </row>
    <row r="78">
      <c r="A78" s="28"/>
      <c r="B78" s="28"/>
      <c r="C78" s="27"/>
      <c r="D78" s="28"/>
      <c r="E78" s="27"/>
      <c r="F78" s="28"/>
      <c r="I78" s="74"/>
      <c r="J78" s="75"/>
      <c r="M78" s="74"/>
      <c r="N78" s="75"/>
    </row>
    <row r="79">
      <c r="A79" s="28"/>
      <c r="B79" s="28"/>
      <c r="C79" s="27"/>
      <c r="D79" s="28"/>
      <c r="E79" s="27"/>
      <c r="F79" s="28"/>
      <c r="I79" s="74"/>
      <c r="J79" s="75"/>
      <c r="M79" s="74"/>
      <c r="N79" s="75"/>
    </row>
    <row r="80">
      <c r="A80" s="28"/>
      <c r="B80" s="28"/>
      <c r="C80" s="27"/>
      <c r="D80" s="28"/>
      <c r="E80" s="27"/>
      <c r="F80" s="28"/>
      <c r="I80" s="74"/>
      <c r="J80" s="75"/>
      <c r="M80" s="74"/>
      <c r="N80" s="75"/>
    </row>
    <row r="81">
      <c r="A81" s="28"/>
      <c r="B81" s="28"/>
      <c r="C81" s="27"/>
      <c r="D81" s="28"/>
      <c r="E81" s="27"/>
      <c r="F81" s="28"/>
      <c r="I81" s="74"/>
      <c r="J81" s="75"/>
      <c r="M81" s="74"/>
      <c r="N81" s="75"/>
    </row>
    <row r="82">
      <c r="A82" s="28"/>
      <c r="B82" s="28"/>
      <c r="C82" s="27"/>
      <c r="D82" s="28"/>
      <c r="E82" s="27"/>
      <c r="F82" s="28"/>
      <c r="I82" s="74"/>
      <c r="J82" s="75"/>
      <c r="M82" s="74"/>
      <c r="N82" s="75"/>
    </row>
    <row r="83">
      <c r="A83" s="28"/>
      <c r="B83" s="28"/>
      <c r="C83" s="27"/>
      <c r="D83" s="28"/>
      <c r="E83" s="27"/>
      <c r="F83" s="28"/>
      <c r="I83" s="74"/>
      <c r="J83" s="75"/>
      <c r="M83" s="74"/>
      <c r="N83" s="75"/>
    </row>
    <row r="84">
      <c r="A84" s="28"/>
      <c r="B84" s="28"/>
      <c r="C84" s="27"/>
      <c r="D84" s="28"/>
      <c r="E84" s="27"/>
      <c r="F84" s="28"/>
      <c r="I84" s="74"/>
      <c r="J84" s="75"/>
      <c r="M84" s="74"/>
      <c r="N84" s="75"/>
    </row>
    <row r="85">
      <c r="A85" s="28"/>
      <c r="B85" s="28"/>
      <c r="C85" s="27"/>
      <c r="D85" s="28"/>
      <c r="E85" s="27"/>
      <c r="F85" s="28"/>
      <c r="I85" s="74"/>
      <c r="J85" s="75"/>
      <c r="M85" s="74"/>
      <c r="N85" s="75"/>
    </row>
    <row r="86">
      <c r="A86" s="28"/>
      <c r="B86" s="28"/>
      <c r="C86" s="27"/>
      <c r="D86" s="28"/>
      <c r="E86" s="27"/>
      <c r="F86" s="28"/>
      <c r="I86" s="74"/>
      <c r="J86" s="75"/>
      <c r="M86" s="74"/>
      <c r="N86" s="75"/>
    </row>
    <row r="87">
      <c r="A87" s="28"/>
      <c r="B87" s="28"/>
      <c r="C87" s="27"/>
      <c r="D87" s="28"/>
      <c r="E87" s="27"/>
      <c r="F87" s="28"/>
      <c r="I87" s="74"/>
      <c r="J87" s="75"/>
      <c r="M87" s="74"/>
      <c r="N87" s="75"/>
    </row>
    <row r="88">
      <c r="A88" s="28"/>
      <c r="B88" s="28"/>
      <c r="C88" s="27"/>
      <c r="D88" s="28"/>
      <c r="E88" s="27"/>
      <c r="F88" s="28"/>
      <c r="I88" s="74"/>
      <c r="J88" s="75"/>
      <c r="M88" s="74"/>
      <c r="N88" s="75"/>
    </row>
    <row r="89">
      <c r="A89" s="28"/>
      <c r="B89" s="28"/>
      <c r="C89" s="27"/>
      <c r="D89" s="28"/>
      <c r="E89" s="27"/>
      <c r="F89" s="28"/>
      <c r="I89" s="74"/>
      <c r="J89" s="75"/>
      <c r="M89" s="74"/>
      <c r="N89" s="75"/>
    </row>
    <row r="90">
      <c r="A90" s="28"/>
      <c r="B90" s="28"/>
      <c r="C90" s="27"/>
      <c r="D90" s="28"/>
      <c r="E90" s="27"/>
      <c r="F90" s="28"/>
      <c r="I90" s="74"/>
      <c r="J90" s="75"/>
      <c r="M90" s="74"/>
      <c r="N90" s="75"/>
    </row>
    <row r="91">
      <c r="A91" s="28"/>
      <c r="B91" s="28"/>
      <c r="C91" s="27"/>
      <c r="D91" s="28"/>
      <c r="E91" s="27"/>
      <c r="F91" s="28"/>
      <c r="I91" s="74"/>
      <c r="J91" s="75"/>
      <c r="M91" s="74"/>
      <c r="N91" s="75"/>
    </row>
    <row r="92">
      <c r="A92" s="28"/>
      <c r="B92" s="28"/>
      <c r="C92" s="27"/>
      <c r="D92" s="28"/>
      <c r="E92" s="27"/>
      <c r="F92" s="28"/>
      <c r="I92" s="74"/>
      <c r="J92" s="75"/>
      <c r="M92" s="74"/>
      <c r="N92" s="75"/>
    </row>
    <row r="93">
      <c r="A93" s="28"/>
      <c r="B93" s="28"/>
      <c r="C93" s="27"/>
      <c r="D93" s="28"/>
      <c r="E93" s="27"/>
      <c r="F93" s="28"/>
      <c r="I93" s="74"/>
      <c r="J93" s="75"/>
      <c r="M93" s="74"/>
      <c r="N93" s="75"/>
    </row>
    <row r="94">
      <c r="A94" s="28"/>
      <c r="B94" s="28"/>
      <c r="C94" s="27"/>
      <c r="D94" s="28"/>
      <c r="E94" s="27"/>
      <c r="F94" s="28"/>
      <c r="I94" s="74"/>
      <c r="J94" s="75"/>
      <c r="M94" s="74"/>
      <c r="N94" s="75"/>
    </row>
    <row r="95">
      <c r="A95" s="28"/>
      <c r="B95" s="28"/>
      <c r="C95" s="27"/>
      <c r="D95" s="28"/>
      <c r="E95" s="27"/>
      <c r="F95" s="28"/>
      <c r="I95" s="74"/>
      <c r="J95" s="75"/>
      <c r="M95" s="74"/>
      <c r="N95" s="75"/>
    </row>
    <row r="96">
      <c r="A96" s="28"/>
      <c r="B96" s="28"/>
      <c r="C96" s="27"/>
      <c r="D96" s="28"/>
      <c r="E96" s="27"/>
      <c r="F96" s="28"/>
      <c r="I96" s="74"/>
      <c r="J96" s="75"/>
      <c r="M96" s="74"/>
      <c r="N96" s="75"/>
    </row>
    <row r="97">
      <c r="A97" s="28"/>
      <c r="B97" s="28"/>
      <c r="C97" s="27"/>
      <c r="D97" s="28"/>
      <c r="E97" s="27"/>
      <c r="F97" s="28"/>
      <c r="I97" s="74"/>
      <c r="J97" s="75"/>
      <c r="M97" s="74"/>
      <c r="N97" s="75"/>
    </row>
    <row r="98">
      <c r="A98" s="28"/>
      <c r="B98" s="28"/>
      <c r="C98" s="27"/>
      <c r="D98" s="28"/>
      <c r="E98" s="27"/>
      <c r="F98" s="28"/>
      <c r="I98" s="74"/>
      <c r="J98" s="75"/>
      <c r="M98" s="74"/>
      <c r="N98" s="75"/>
    </row>
    <row r="99">
      <c r="A99" s="28"/>
      <c r="B99" s="28"/>
      <c r="C99" s="27"/>
      <c r="D99" s="28"/>
      <c r="E99" s="27"/>
      <c r="F99" s="28"/>
      <c r="I99" s="74"/>
      <c r="J99" s="75"/>
      <c r="M99" s="74"/>
      <c r="N99" s="75"/>
    </row>
    <row r="100">
      <c r="A100" s="28"/>
      <c r="B100" s="28"/>
      <c r="C100" s="27"/>
      <c r="D100" s="28"/>
      <c r="E100" s="27"/>
      <c r="F100" s="28"/>
      <c r="I100" s="74"/>
      <c r="J100" s="75"/>
      <c r="M100" s="74"/>
      <c r="N100" s="75"/>
    </row>
    <row r="101">
      <c r="A101" s="28"/>
      <c r="B101" s="28"/>
      <c r="C101" s="27"/>
      <c r="D101" s="28"/>
      <c r="E101" s="27"/>
      <c r="F101" s="28"/>
      <c r="I101" s="74"/>
      <c r="J101" s="75"/>
      <c r="M101" s="74"/>
      <c r="N101" s="75"/>
    </row>
    <row r="102">
      <c r="A102" s="28"/>
      <c r="B102" s="28"/>
      <c r="C102" s="27"/>
      <c r="D102" s="28"/>
      <c r="E102" s="27"/>
      <c r="F102" s="28"/>
      <c r="I102" s="74"/>
      <c r="J102" s="75"/>
      <c r="M102" s="74"/>
      <c r="N102" s="75"/>
    </row>
    <row r="103">
      <c r="A103" s="28"/>
      <c r="B103" s="28"/>
      <c r="C103" s="27"/>
      <c r="D103" s="28"/>
      <c r="E103" s="27"/>
      <c r="F103" s="28"/>
      <c r="I103" s="74"/>
      <c r="J103" s="75"/>
      <c r="M103" s="74"/>
      <c r="N103" s="75"/>
    </row>
    <row r="104">
      <c r="A104" s="28"/>
      <c r="B104" s="28"/>
      <c r="C104" s="27"/>
      <c r="D104" s="28"/>
      <c r="E104" s="27"/>
      <c r="F104" s="28"/>
      <c r="I104" s="74"/>
      <c r="J104" s="75"/>
      <c r="M104" s="74"/>
      <c r="N104" s="75"/>
    </row>
    <row r="105">
      <c r="A105" s="90"/>
      <c r="B105" s="90"/>
      <c r="C105" s="91"/>
      <c r="D105" s="90"/>
      <c r="E105" s="91"/>
    </row>
    <row r="106">
      <c r="A106" s="90"/>
      <c r="B106" s="90"/>
      <c r="C106" s="91"/>
      <c r="D106" s="90"/>
      <c r="E106" s="91"/>
    </row>
    <row r="107">
      <c r="A107" s="90"/>
      <c r="B107" s="90"/>
      <c r="C107" s="91"/>
      <c r="D107" s="90"/>
      <c r="E107" s="91"/>
    </row>
    <row r="108">
      <c r="A108" s="90"/>
      <c r="B108" s="90"/>
      <c r="C108" s="91"/>
      <c r="D108" s="90"/>
      <c r="E108" s="91"/>
    </row>
    <row r="109">
      <c r="A109" s="90"/>
      <c r="B109" s="90"/>
      <c r="C109" s="91"/>
      <c r="D109" s="90"/>
      <c r="E109" s="91"/>
    </row>
    <row r="110">
      <c r="A110" s="90"/>
      <c r="B110" s="90"/>
      <c r="C110" s="91"/>
      <c r="D110" s="90"/>
      <c r="E110" s="91"/>
    </row>
    <row r="111">
      <c r="A111" s="90"/>
      <c r="B111" s="90"/>
      <c r="C111" s="91"/>
      <c r="D111" s="90"/>
      <c r="E111" s="91"/>
    </row>
    <row r="112">
      <c r="A112" s="90"/>
      <c r="B112" s="90"/>
      <c r="C112" s="91"/>
      <c r="D112" s="90"/>
      <c r="E112" s="91"/>
    </row>
    <row r="113">
      <c r="A113" s="90"/>
      <c r="B113" s="90"/>
      <c r="C113" s="91"/>
      <c r="D113" s="90"/>
      <c r="E113" s="91"/>
    </row>
    <row r="114">
      <c r="A114" s="90"/>
      <c r="B114" s="90"/>
      <c r="C114" s="91"/>
      <c r="D114" s="90"/>
      <c r="E114" s="91"/>
    </row>
    <row r="115">
      <c r="A115" s="90"/>
      <c r="B115" s="90"/>
      <c r="C115" s="91"/>
      <c r="D115" s="90"/>
      <c r="E115" s="91"/>
    </row>
    <row r="116">
      <c r="A116" s="90"/>
      <c r="B116" s="90"/>
      <c r="C116" s="91"/>
      <c r="D116" s="90"/>
      <c r="E116" s="91"/>
    </row>
    <row r="117">
      <c r="A117" s="90"/>
      <c r="B117" s="90"/>
      <c r="C117" s="91"/>
      <c r="D117" s="90"/>
      <c r="E117" s="91"/>
    </row>
    <row r="118">
      <c r="A118" s="90"/>
      <c r="B118" s="90"/>
      <c r="C118" s="91"/>
      <c r="D118" s="90"/>
      <c r="E118" s="91"/>
    </row>
    <row r="119">
      <c r="A119" s="90"/>
      <c r="B119" s="90"/>
      <c r="C119" s="91"/>
      <c r="D119" s="90"/>
      <c r="E119" s="91"/>
    </row>
    <row r="120">
      <c r="A120" s="90"/>
      <c r="B120" s="90"/>
      <c r="C120" s="91"/>
      <c r="D120" s="90"/>
      <c r="E120" s="91"/>
    </row>
    <row r="121">
      <c r="A121" s="90"/>
      <c r="B121" s="90"/>
      <c r="C121" s="91"/>
      <c r="D121" s="90"/>
      <c r="E121" s="91"/>
    </row>
    <row r="122">
      <c r="A122" s="90"/>
      <c r="B122" s="90"/>
      <c r="C122" s="91"/>
      <c r="D122" s="90"/>
      <c r="E122" s="91"/>
    </row>
    <row r="123">
      <c r="A123" s="90"/>
      <c r="B123" s="90"/>
      <c r="C123" s="91"/>
      <c r="D123" s="90"/>
      <c r="E123" s="91"/>
    </row>
    <row r="124">
      <c r="A124" s="90"/>
      <c r="B124" s="90"/>
      <c r="C124" s="91"/>
      <c r="D124" s="90"/>
      <c r="E124" s="91"/>
    </row>
    <row r="125">
      <c r="A125" s="90"/>
      <c r="B125" s="90"/>
      <c r="C125" s="91"/>
      <c r="D125" s="90"/>
      <c r="E125" s="91"/>
    </row>
    <row r="126">
      <c r="A126" s="90"/>
      <c r="B126" s="90"/>
      <c r="C126" s="91"/>
      <c r="D126" s="90"/>
      <c r="E126" s="91"/>
    </row>
    <row r="127">
      <c r="A127" s="90"/>
      <c r="B127" s="90"/>
      <c r="C127" s="91"/>
      <c r="D127" s="90"/>
      <c r="E127" s="91"/>
    </row>
    <row r="128">
      <c r="A128" s="90"/>
      <c r="B128" s="90"/>
      <c r="C128" s="91"/>
      <c r="D128" s="90"/>
      <c r="E128" s="91"/>
    </row>
    <row r="129">
      <c r="A129" s="90"/>
      <c r="B129" s="90"/>
      <c r="C129" s="91"/>
      <c r="D129" s="90"/>
      <c r="E129" s="91"/>
    </row>
    <row r="130">
      <c r="A130" s="90"/>
      <c r="B130" s="90"/>
      <c r="C130" s="91"/>
      <c r="D130" s="90"/>
      <c r="E130" s="91"/>
    </row>
    <row r="131">
      <c r="A131" s="90"/>
      <c r="B131" s="90"/>
      <c r="C131" s="91"/>
      <c r="D131" s="90"/>
      <c r="E131" s="91"/>
    </row>
    <row r="132">
      <c r="A132" s="90"/>
      <c r="B132" s="90"/>
      <c r="C132" s="91"/>
      <c r="D132" s="90"/>
      <c r="E132" s="91"/>
    </row>
    <row r="133">
      <c r="A133" s="90"/>
      <c r="B133" s="90"/>
      <c r="C133" s="91"/>
      <c r="D133" s="90"/>
      <c r="E133" s="91"/>
    </row>
    <row r="134">
      <c r="A134" s="90"/>
      <c r="B134" s="90"/>
      <c r="C134" s="91"/>
      <c r="D134" s="90"/>
      <c r="E134" s="91"/>
    </row>
    <row r="135">
      <c r="A135" s="90"/>
      <c r="B135" s="90"/>
      <c r="C135" s="91"/>
      <c r="D135" s="90"/>
      <c r="E135" s="91"/>
    </row>
    <row r="136">
      <c r="A136" s="90"/>
      <c r="B136" s="90"/>
      <c r="C136" s="91"/>
      <c r="D136" s="90"/>
      <c r="E136" s="91"/>
    </row>
    <row r="137">
      <c r="A137" s="90"/>
      <c r="B137" s="90"/>
      <c r="C137" s="91"/>
      <c r="D137" s="90"/>
      <c r="E137" s="91"/>
    </row>
    <row r="138">
      <c r="A138" s="90"/>
      <c r="B138" s="90"/>
      <c r="C138" s="91"/>
      <c r="D138" s="90"/>
      <c r="E138" s="91"/>
    </row>
    <row r="139">
      <c r="A139" s="90"/>
      <c r="B139" s="90"/>
      <c r="C139" s="91"/>
      <c r="D139" s="90"/>
      <c r="E139" s="91"/>
    </row>
    <row r="140">
      <c r="A140" s="90"/>
      <c r="B140" s="90"/>
      <c r="C140" s="91"/>
      <c r="D140" s="90"/>
      <c r="E140" s="91"/>
    </row>
    <row r="141">
      <c r="A141" s="90"/>
      <c r="B141" s="90"/>
      <c r="C141" s="91"/>
      <c r="D141" s="90"/>
      <c r="E141" s="91"/>
    </row>
    <row r="142">
      <c r="A142" s="90"/>
      <c r="B142" s="90"/>
      <c r="C142" s="91"/>
      <c r="D142" s="90"/>
      <c r="E142" s="91"/>
    </row>
    <row r="143">
      <c r="A143" s="90"/>
      <c r="B143" s="90"/>
      <c r="C143" s="91"/>
      <c r="D143" s="90"/>
      <c r="E143" s="91"/>
    </row>
    <row r="144">
      <c r="A144" s="90"/>
      <c r="B144" s="90"/>
      <c r="C144" s="91"/>
      <c r="D144" s="90"/>
      <c r="E144" s="91"/>
    </row>
    <row r="145">
      <c r="A145" s="90"/>
      <c r="B145" s="90"/>
      <c r="C145" s="91"/>
      <c r="D145" s="90"/>
      <c r="E145" s="91"/>
    </row>
    <row r="146">
      <c r="A146" s="90"/>
      <c r="B146" s="90"/>
      <c r="C146" s="91"/>
      <c r="D146" s="90"/>
      <c r="E146" s="91"/>
    </row>
    <row r="147">
      <c r="A147" s="90"/>
      <c r="B147" s="90"/>
      <c r="C147" s="91"/>
      <c r="D147" s="90"/>
      <c r="E147" s="91"/>
    </row>
    <row r="148">
      <c r="A148" s="90"/>
      <c r="B148" s="90"/>
      <c r="C148" s="91"/>
      <c r="D148" s="90"/>
      <c r="E148" s="91"/>
    </row>
    <row r="149">
      <c r="A149" s="90"/>
      <c r="B149" s="90"/>
      <c r="C149" s="91"/>
      <c r="D149" s="90"/>
      <c r="E149" s="91"/>
    </row>
    <row r="150">
      <c r="A150" s="90"/>
      <c r="B150" s="90"/>
      <c r="C150" s="91"/>
      <c r="D150" s="90"/>
      <c r="E150" s="91"/>
    </row>
    <row r="151">
      <c r="A151" s="90"/>
      <c r="B151" s="90"/>
      <c r="C151" s="91"/>
      <c r="D151" s="90"/>
      <c r="E151" s="91"/>
    </row>
    <row r="152">
      <c r="A152" s="90"/>
      <c r="B152" s="90"/>
      <c r="C152" s="91"/>
      <c r="D152" s="90"/>
      <c r="E152" s="91"/>
    </row>
    <row r="153">
      <c r="A153" s="90"/>
      <c r="B153" s="90"/>
      <c r="C153" s="91"/>
      <c r="D153" s="90"/>
      <c r="E153" s="91"/>
    </row>
    <row r="154">
      <c r="A154" s="90"/>
      <c r="B154" s="90"/>
      <c r="C154" s="91"/>
      <c r="D154" s="90"/>
      <c r="E154" s="91"/>
    </row>
    <row r="155">
      <c r="A155" s="90"/>
      <c r="B155" s="90"/>
      <c r="C155" s="91"/>
      <c r="D155" s="90"/>
      <c r="E155" s="91"/>
    </row>
    <row r="156">
      <c r="A156" s="90"/>
      <c r="B156" s="90"/>
      <c r="C156" s="91"/>
      <c r="D156" s="90"/>
      <c r="E156" s="91"/>
    </row>
    <row r="157">
      <c r="A157" s="90"/>
      <c r="B157" s="90"/>
      <c r="C157" s="91"/>
      <c r="D157" s="90"/>
      <c r="E157" s="91"/>
    </row>
    <row r="158">
      <c r="A158" s="90"/>
      <c r="B158" s="90"/>
      <c r="C158" s="91"/>
      <c r="D158" s="90"/>
      <c r="E158" s="91"/>
    </row>
    <row r="159">
      <c r="A159" s="90"/>
      <c r="B159" s="90"/>
      <c r="C159" s="91"/>
      <c r="D159" s="90"/>
      <c r="E159" s="91"/>
    </row>
    <row r="160">
      <c r="A160" s="90"/>
      <c r="B160" s="90"/>
      <c r="C160" s="91"/>
      <c r="D160" s="90"/>
      <c r="E160" s="91"/>
    </row>
    <row r="161">
      <c r="A161" s="90"/>
      <c r="B161" s="90"/>
      <c r="C161" s="91"/>
      <c r="D161" s="90"/>
      <c r="E161" s="91"/>
    </row>
    <row r="162">
      <c r="A162" s="90"/>
      <c r="B162" s="90"/>
      <c r="C162" s="91"/>
      <c r="D162" s="90"/>
      <c r="E162" s="91"/>
    </row>
    <row r="163">
      <c r="A163" s="90"/>
      <c r="B163" s="90"/>
      <c r="C163" s="91"/>
      <c r="D163" s="90"/>
      <c r="E163" s="91"/>
    </row>
    <row r="164">
      <c r="A164" s="90"/>
      <c r="B164" s="90"/>
      <c r="C164" s="91"/>
      <c r="D164" s="90"/>
      <c r="E164" s="91"/>
    </row>
    <row r="165">
      <c r="A165" s="90"/>
      <c r="B165" s="90"/>
      <c r="C165" s="91"/>
      <c r="D165" s="90"/>
      <c r="E165" s="91"/>
    </row>
    <row r="166">
      <c r="A166" s="90"/>
      <c r="B166" s="90"/>
      <c r="C166" s="91"/>
      <c r="D166" s="90"/>
      <c r="E166" s="91"/>
    </row>
    <row r="167">
      <c r="A167" s="90"/>
      <c r="B167" s="90"/>
      <c r="C167" s="91"/>
      <c r="D167" s="90"/>
      <c r="E167" s="91"/>
    </row>
    <row r="168">
      <c r="A168" s="90"/>
      <c r="B168" s="90"/>
      <c r="C168" s="91"/>
      <c r="D168" s="90"/>
      <c r="E168" s="91"/>
    </row>
    <row r="169">
      <c r="A169" s="90"/>
      <c r="B169" s="90"/>
      <c r="C169" s="91"/>
      <c r="D169" s="90"/>
      <c r="E169" s="91"/>
    </row>
    <row r="170">
      <c r="A170" s="90"/>
      <c r="B170" s="90"/>
      <c r="C170" s="91"/>
      <c r="D170" s="90"/>
      <c r="E170" s="91"/>
    </row>
    <row r="171">
      <c r="A171" s="90"/>
      <c r="B171" s="90"/>
      <c r="C171" s="91"/>
      <c r="D171" s="90"/>
      <c r="E171" s="91"/>
    </row>
    <row r="172">
      <c r="A172" s="90"/>
      <c r="B172" s="90"/>
      <c r="C172" s="91"/>
      <c r="D172" s="90"/>
      <c r="E172" s="91"/>
    </row>
    <row r="173">
      <c r="A173" s="90"/>
      <c r="B173" s="90"/>
      <c r="C173" s="91"/>
      <c r="D173" s="90"/>
      <c r="E173" s="91"/>
    </row>
    <row r="174">
      <c r="A174" s="90"/>
      <c r="B174" s="90"/>
      <c r="C174" s="91"/>
      <c r="D174" s="90"/>
      <c r="E174" s="91"/>
    </row>
    <row r="175">
      <c r="A175" s="90"/>
      <c r="B175" s="90"/>
      <c r="C175" s="91"/>
      <c r="D175" s="90"/>
      <c r="E175" s="91"/>
    </row>
    <row r="176">
      <c r="A176" s="90"/>
      <c r="B176" s="90"/>
      <c r="C176" s="91"/>
      <c r="D176" s="90"/>
      <c r="E176" s="91"/>
    </row>
    <row r="177">
      <c r="A177" s="90"/>
      <c r="B177" s="90"/>
      <c r="C177" s="91"/>
      <c r="D177" s="90"/>
      <c r="E177" s="91"/>
    </row>
    <row r="178">
      <c r="A178" s="90"/>
      <c r="B178" s="90"/>
      <c r="C178" s="91"/>
      <c r="D178" s="90"/>
      <c r="E178" s="91"/>
    </row>
    <row r="179">
      <c r="A179" s="90"/>
      <c r="B179" s="90"/>
      <c r="C179" s="91"/>
      <c r="D179" s="90"/>
      <c r="E179" s="91"/>
    </row>
    <row r="180">
      <c r="A180" s="90"/>
      <c r="B180" s="90"/>
      <c r="C180" s="91"/>
      <c r="D180" s="90"/>
      <c r="E180" s="91"/>
    </row>
    <row r="181">
      <c r="A181" s="90"/>
      <c r="B181" s="90"/>
      <c r="C181" s="91"/>
      <c r="D181" s="90"/>
      <c r="E181" s="91"/>
    </row>
    <row r="182">
      <c r="A182" s="90"/>
      <c r="B182" s="90"/>
      <c r="C182" s="91"/>
      <c r="D182" s="90"/>
      <c r="E182" s="91"/>
    </row>
    <row r="183">
      <c r="A183" s="90"/>
      <c r="B183" s="90"/>
      <c r="C183" s="91"/>
      <c r="D183" s="90"/>
      <c r="E183" s="91"/>
    </row>
    <row r="184">
      <c r="A184" s="90"/>
      <c r="B184" s="90"/>
      <c r="C184" s="91"/>
      <c r="D184" s="90"/>
      <c r="E184" s="91"/>
    </row>
    <row r="185">
      <c r="A185" s="90"/>
      <c r="B185" s="90"/>
      <c r="C185" s="91"/>
      <c r="D185" s="90"/>
      <c r="E185" s="91"/>
    </row>
    <row r="186">
      <c r="A186" s="90"/>
      <c r="B186" s="90"/>
      <c r="C186" s="91"/>
      <c r="D186" s="90"/>
      <c r="E186" s="91"/>
    </row>
    <row r="187">
      <c r="A187" s="90"/>
      <c r="B187" s="90"/>
      <c r="C187" s="91"/>
      <c r="D187" s="90"/>
      <c r="E187" s="91"/>
    </row>
    <row r="188">
      <c r="A188" s="90"/>
      <c r="B188" s="90"/>
      <c r="C188" s="91"/>
      <c r="D188" s="90"/>
      <c r="E188" s="91"/>
    </row>
    <row r="189">
      <c r="A189" s="90"/>
      <c r="B189" s="90"/>
      <c r="C189" s="91"/>
      <c r="D189" s="90"/>
      <c r="E189" s="91"/>
    </row>
    <row r="190">
      <c r="A190" s="90"/>
      <c r="B190" s="90"/>
      <c r="C190" s="91"/>
      <c r="D190" s="90"/>
      <c r="E190" s="91"/>
    </row>
    <row r="191">
      <c r="A191" s="90"/>
      <c r="B191" s="90"/>
      <c r="C191" s="91"/>
      <c r="D191" s="90"/>
      <c r="E191" s="91"/>
    </row>
    <row r="192">
      <c r="A192" s="90"/>
      <c r="B192" s="90"/>
      <c r="C192" s="91"/>
      <c r="D192" s="90"/>
      <c r="E192" s="91"/>
    </row>
    <row r="193">
      <c r="A193" s="90"/>
      <c r="B193" s="90"/>
      <c r="C193" s="91"/>
      <c r="D193" s="90"/>
      <c r="E193" s="91"/>
    </row>
    <row r="194">
      <c r="A194" s="90"/>
      <c r="B194" s="90"/>
      <c r="C194" s="91"/>
      <c r="D194" s="90"/>
      <c r="E194" s="91"/>
    </row>
    <row r="195">
      <c r="A195" s="90"/>
      <c r="B195" s="90"/>
      <c r="C195" s="91"/>
      <c r="D195" s="90"/>
      <c r="E195" s="91"/>
    </row>
    <row r="196">
      <c r="A196" s="90"/>
      <c r="B196" s="90"/>
      <c r="C196" s="91"/>
      <c r="D196" s="90"/>
      <c r="E196" s="91"/>
    </row>
    <row r="197">
      <c r="A197" s="90"/>
      <c r="B197" s="90"/>
      <c r="C197" s="91"/>
      <c r="D197" s="90"/>
      <c r="E197" s="91"/>
    </row>
    <row r="198">
      <c r="A198" s="90"/>
      <c r="B198" s="90"/>
      <c r="C198" s="91"/>
      <c r="D198" s="90"/>
      <c r="E198" s="91"/>
    </row>
    <row r="199">
      <c r="A199" s="90"/>
      <c r="B199" s="90"/>
      <c r="C199" s="91"/>
      <c r="D199" s="90"/>
      <c r="E199" s="91"/>
    </row>
    <row r="200">
      <c r="A200" s="90"/>
      <c r="B200" s="90"/>
      <c r="C200" s="91"/>
      <c r="D200" s="90"/>
      <c r="E200" s="91"/>
    </row>
    <row r="201">
      <c r="A201" s="90"/>
      <c r="B201" s="90"/>
      <c r="C201" s="91"/>
      <c r="D201" s="90"/>
      <c r="E201" s="91"/>
    </row>
    <row r="202">
      <c r="A202" s="90"/>
      <c r="B202" s="90"/>
      <c r="C202" s="91"/>
      <c r="D202" s="90"/>
      <c r="E202" s="91"/>
    </row>
    <row r="203">
      <c r="A203" s="90"/>
      <c r="B203" s="90"/>
      <c r="C203" s="91"/>
      <c r="D203" s="90"/>
      <c r="E203" s="91"/>
    </row>
    <row r="204">
      <c r="A204" s="90"/>
      <c r="B204" s="90"/>
      <c r="C204" s="91"/>
      <c r="D204" s="90"/>
      <c r="E204" s="91"/>
    </row>
    <row r="205">
      <c r="A205" s="90"/>
      <c r="B205" s="90"/>
      <c r="C205" s="91"/>
      <c r="D205" s="90"/>
      <c r="E205" s="91"/>
    </row>
    <row r="206">
      <c r="A206" s="90"/>
      <c r="B206" s="90"/>
      <c r="C206" s="91"/>
      <c r="D206" s="90"/>
      <c r="E206" s="91"/>
    </row>
    <row r="207">
      <c r="A207" s="90"/>
      <c r="B207" s="90"/>
      <c r="C207" s="91"/>
      <c r="D207" s="90"/>
      <c r="E207" s="91"/>
    </row>
    <row r="208">
      <c r="A208" s="90"/>
      <c r="B208" s="90"/>
      <c r="C208" s="91"/>
      <c r="D208" s="90"/>
      <c r="E208" s="91"/>
    </row>
    <row r="209">
      <c r="A209" s="90"/>
      <c r="B209" s="90"/>
      <c r="C209" s="91"/>
      <c r="D209" s="90"/>
      <c r="E209" s="91"/>
    </row>
    <row r="210">
      <c r="A210" s="90"/>
      <c r="B210" s="90"/>
      <c r="C210" s="91"/>
      <c r="D210" s="90"/>
      <c r="E210" s="91"/>
    </row>
    <row r="211">
      <c r="A211" s="90"/>
      <c r="B211" s="90"/>
      <c r="C211" s="91"/>
      <c r="D211" s="90"/>
      <c r="E211" s="91"/>
    </row>
    <row r="212">
      <c r="A212" s="90"/>
      <c r="B212" s="90"/>
      <c r="C212" s="91"/>
      <c r="D212" s="90"/>
      <c r="E212" s="91"/>
    </row>
    <row r="213">
      <c r="A213" s="90"/>
      <c r="B213" s="90"/>
      <c r="C213" s="91"/>
      <c r="D213" s="90"/>
      <c r="E213" s="91"/>
    </row>
    <row r="214">
      <c r="A214" s="90"/>
      <c r="B214" s="90"/>
      <c r="C214" s="91"/>
      <c r="D214" s="90"/>
      <c r="E214" s="91"/>
    </row>
    <row r="215">
      <c r="A215" s="90"/>
      <c r="B215" s="90"/>
      <c r="C215" s="91"/>
      <c r="D215" s="90"/>
      <c r="E215" s="91"/>
    </row>
    <row r="216">
      <c r="A216" s="90"/>
      <c r="B216" s="90"/>
      <c r="C216" s="91"/>
      <c r="D216" s="90"/>
      <c r="E216" s="91"/>
    </row>
    <row r="217">
      <c r="A217" s="90"/>
      <c r="B217" s="90"/>
      <c r="C217" s="91"/>
      <c r="D217" s="90"/>
      <c r="E217" s="91"/>
    </row>
    <row r="218">
      <c r="A218" s="90"/>
      <c r="B218" s="90"/>
      <c r="C218" s="91"/>
      <c r="D218" s="90"/>
      <c r="E218" s="91"/>
    </row>
    <row r="219">
      <c r="A219" s="90"/>
      <c r="B219" s="90"/>
      <c r="C219" s="91"/>
      <c r="D219" s="90"/>
      <c r="E219" s="91"/>
    </row>
    <row r="220">
      <c r="A220" s="90"/>
      <c r="B220" s="90"/>
      <c r="C220" s="91"/>
      <c r="D220" s="90"/>
      <c r="E220" s="91"/>
    </row>
    <row r="221">
      <c r="A221" s="90"/>
      <c r="B221" s="90"/>
      <c r="C221" s="91"/>
      <c r="D221" s="90"/>
      <c r="E221" s="91"/>
    </row>
    <row r="222">
      <c r="A222" s="90"/>
      <c r="B222" s="90"/>
      <c r="C222" s="91"/>
      <c r="D222" s="90"/>
      <c r="E222" s="91"/>
    </row>
    <row r="223">
      <c r="A223" s="90"/>
      <c r="B223" s="90"/>
      <c r="C223" s="91"/>
      <c r="D223" s="90"/>
      <c r="E223" s="91"/>
    </row>
    <row r="224">
      <c r="A224" s="90"/>
      <c r="B224" s="90"/>
      <c r="C224" s="91"/>
      <c r="D224" s="90"/>
      <c r="E224" s="91"/>
    </row>
    <row r="225">
      <c r="A225" s="90"/>
      <c r="B225" s="90"/>
      <c r="C225" s="91"/>
      <c r="D225" s="90"/>
      <c r="E225" s="91"/>
    </row>
    <row r="226">
      <c r="A226" s="90"/>
      <c r="B226" s="90"/>
      <c r="C226" s="91"/>
      <c r="D226" s="90"/>
      <c r="E226" s="91"/>
    </row>
    <row r="227">
      <c r="A227" s="90"/>
      <c r="B227" s="90"/>
      <c r="C227" s="91"/>
      <c r="D227" s="90"/>
      <c r="E227" s="91"/>
    </row>
    <row r="228">
      <c r="A228" s="90"/>
      <c r="B228" s="90"/>
      <c r="C228" s="91"/>
      <c r="D228" s="90"/>
      <c r="E228" s="91"/>
    </row>
    <row r="229">
      <c r="A229" s="90"/>
      <c r="B229" s="90"/>
      <c r="C229" s="91"/>
      <c r="D229" s="90"/>
      <c r="E229" s="91"/>
    </row>
    <row r="230">
      <c r="A230" s="90"/>
      <c r="B230" s="90"/>
      <c r="C230" s="91"/>
      <c r="D230" s="90"/>
      <c r="E230" s="91"/>
    </row>
    <row r="231">
      <c r="A231" s="90"/>
      <c r="B231" s="90"/>
      <c r="C231" s="91"/>
      <c r="D231" s="90"/>
      <c r="E231" s="91"/>
    </row>
    <row r="232">
      <c r="A232" s="90"/>
      <c r="B232" s="90"/>
      <c r="C232" s="91"/>
      <c r="D232" s="90"/>
      <c r="E232" s="91"/>
    </row>
    <row r="233">
      <c r="A233" s="90"/>
      <c r="B233" s="90"/>
      <c r="C233" s="91"/>
      <c r="D233" s="90"/>
      <c r="E233" s="91"/>
    </row>
    <row r="234">
      <c r="A234" s="90"/>
      <c r="B234" s="90"/>
      <c r="C234" s="91"/>
      <c r="D234" s="90"/>
      <c r="E234" s="91"/>
    </row>
    <row r="235">
      <c r="A235" s="90"/>
      <c r="B235" s="90"/>
      <c r="C235" s="91"/>
      <c r="D235" s="90"/>
      <c r="E235" s="91"/>
    </row>
    <row r="236">
      <c r="A236" s="90"/>
      <c r="B236" s="90"/>
      <c r="C236" s="91"/>
      <c r="D236" s="90"/>
      <c r="E236" s="91"/>
    </row>
    <row r="237">
      <c r="A237" s="90"/>
      <c r="B237" s="90"/>
      <c r="C237" s="91"/>
      <c r="D237" s="90"/>
      <c r="E237" s="91"/>
    </row>
    <row r="238">
      <c r="A238" s="90"/>
      <c r="B238" s="90"/>
      <c r="C238" s="91"/>
      <c r="D238" s="90"/>
      <c r="E238" s="91"/>
    </row>
    <row r="239">
      <c r="A239" s="90"/>
      <c r="B239" s="90"/>
      <c r="C239" s="91"/>
      <c r="D239" s="90"/>
      <c r="E239" s="91"/>
    </row>
    <row r="240">
      <c r="A240" s="90"/>
      <c r="B240" s="90"/>
      <c r="C240" s="91"/>
      <c r="D240" s="90"/>
      <c r="E240" s="91"/>
    </row>
    <row r="241">
      <c r="A241" s="90"/>
      <c r="B241" s="90"/>
      <c r="C241" s="91"/>
      <c r="D241" s="90"/>
      <c r="E241" s="91"/>
    </row>
    <row r="242">
      <c r="A242" s="90"/>
      <c r="B242" s="90"/>
      <c r="C242" s="91"/>
      <c r="D242" s="90"/>
      <c r="E242" s="91"/>
    </row>
    <row r="243">
      <c r="A243" s="90"/>
      <c r="B243" s="90"/>
      <c r="C243" s="91"/>
      <c r="D243" s="90"/>
      <c r="E243" s="91"/>
    </row>
    <row r="244">
      <c r="A244" s="90"/>
      <c r="B244" s="90"/>
      <c r="C244" s="91"/>
      <c r="D244" s="90"/>
      <c r="E244" s="91"/>
    </row>
    <row r="245">
      <c r="A245" s="90"/>
      <c r="B245" s="90"/>
      <c r="C245" s="91"/>
      <c r="D245" s="90"/>
      <c r="E245" s="91"/>
    </row>
    <row r="246">
      <c r="A246" s="90"/>
      <c r="B246" s="90"/>
      <c r="C246" s="91"/>
      <c r="D246" s="90"/>
      <c r="E246" s="91"/>
    </row>
    <row r="247">
      <c r="A247" s="90"/>
      <c r="B247" s="90"/>
      <c r="C247" s="91"/>
      <c r="D247" s="90"/>
      <c r="E247" s="91"/>
    </row>
    <row r="248">
      <c r="A248" s="90"/>
      <c r="B248" s="90"/>
      <c r="C248" s="91"/>
      <c r="D248" s="90"/>
      <c r="E248" s="91"/>
    </row>
    <row r="249">
      <c r="A249" s="90"/>
      <c r="B249" s="90"/>
      <c r="C249" s="91"/>
      <c r="D249" s="90"/>
      <c r="E249" s="91"/>
    </row>
    <row r="250">
      <c r="A250" s="90"/>
      <c r="B250" s="90"/>
      <c r="C250" s="91"/>
      <c r="D250" s="90"/>
      <c r="E250" s="91"/>
    </row>
    <row r="251">
      <c r="A251" s="90"/>
      <c r="B251" s="90"/>
      <c r="C251" s="91"/>
      <c r="D251" s="90"/>
      <c r="E251" s="91"/>
    </row>
    <row r="252">
      <c r="A252" s="90"/>
      <c r="B252" s="90"/>
      <c r="C252" s="91"/>
      <c r="D252" s="90"/>
      <c r="E252" s="91"/>
    </row>
    <row r="253">
      <c r="A253" s="90"/>
      <c r="B253" s="90"/>
      <c r="C253" s="91"/>
      <c r="D253" s="90"/>
      <c r="E253" s="91"/>
    </row>
    <row r="254">
      <c r="A254" s="90"/>
      <c r="B254" s="90"/>
      <c r="C254" s="91"/>
      <c r="D254" s="90"/>
      <c r="E254" s="91"/>
    </row>
    <row r="255">
      <c r="A255" s="90"/>
      <c r="B255" s="90"/>
      <c r="C255" s="91"/>
      <c r="D255" s="90"/>
      <c r="E255" s="91"/>
    </row>
    <row r="256">
      <c r="A256" s="90"/>
      <c r="B256" s="90"/>
      <c r="C256" s="91"/>
      <c r="D256" s="90"/>
      <c r="E256" s="91"/>
    </row>
    <row r="257">
      <c r="A257" s="90"/>
      <c r="B257" s="90"/>
      <c r="C257" s="91"/>
      <c r="D257" s="90"/>
      <c r="E257" s="91"/>
    </row>
    <row r="258">
      <c r="A258" s="90"/>
      <c r="B258" s="90"/>
      <c r="C258" s="91"/>
      <c r="D258" s="90"/>
      <c r="E258" s="91"/>
    </row>
    <row r="259">
      <c r="A259" s="90"/>
      <c r="B259" s="90"/>
      <c r="C259" s="91"/>
      <c r="D259" s="90"/>
      <c r="E259" s="91"/>
    </row>
    <row r="260">
      <c r="A260" s="90"/>
      <c r="B260" s="90"/>
      <c r="C260" s="91"/>
      <c r="D260" s="90"/>
      <c r="E260" s="91"/>
    </row>
    <row r="261">
      <c r="A261" s="90"/>
      <c r="B261" s="90"/>
      <c r="C261" s="91"/>
      <c r="D261" s="90"/>
      <c r="E261" s="91"/>
    </row>
    <row r="262">
      <c r="A262" s="90"/>
      <c r="B262" s="90"/>
      <c r="C262" s="91"/>
      <c r="D262" s="90"/>
      <c r="E262" s="91"/>
    </row>
    <row r="263">
      <c r="A263" s="90"/>
      <c r="B263" s="90"/>
      <c r="C263" s="91"/>
      <c r="D263" s="90"/>
      <c r="E263" s="91"/>
    </row>
    <row r="264">
      <c r="A264" s="90"/>
      <c r="B264" s="90"/>
      <c r="C264" s="91"/>
      <c r="D264" s="90"/>
      <c r="E264" s="91"/>
    </row>
    <row r="265">
      <c r="A265" s="90"/>
      <c r="B265" s="90"/>
      <c r="C265" s="91"/>
      <c r="D265" s="90"/>
      <c r="E265" s="91"/>
    </row>
    <row r="266">
      <c r="A266" s="90"/>
      <c r="B266" s="90"/>
      <c r="C266" s="91"/>
      <c r="D266" s="90"/>
      <c r="E266" s="91"/>
    </row>
    <row r="267">
      <c r="A267" s="90"/>
      <c r="B267" s="90"/>
      <c r="C267" s="91"/>
      <c r="D267" s="90"/>
      <c r="E267" s="91"/>
    </row>
    <row r="268">
      <c r="A268" s="90"/>
      <c r="B268" s="90"/>
      <c r="C268" s="91"/>
      <c r="D268" s="90"/>
      <c r="E268" s="91"/>
    </row>
    <row r="269">
      <c r="A269" s="90"/>
      <c r="B269" s="90"/>
      <c r="C269" s="91"/>
      <c r="D269" s="90"/>
      <c r="E269" s="91"/>
    </row>
    <row r="270">
      <c r="A270" s="90"/>
      <c r="B270" s="90"/>
      <c r="C270" s="91"/>
      <c r="D270" s="90"/>
      <c r="E270" s="91"/>
    </row>
    <row r="271">
      <c r="A271" s="90"/>
      <c r="B271" s="90"/>
      <c r="C271" s="91"/>
      <c r="D271" s="90"/>
      <c r="E271" s="91"/>
    </row>
    <row r="272">
      <c r="A272" s="90"/>
      <c r="B272" s="90"/>
      <c r="C272" s="91"/>
      <c r="D272" s="90"/>
      <c r="E272" s="91"/>
    </row>
    <row r="273">
      <c r="A273" s="90"/>
      <c r="B273" s="90"/>
      <c r="C273" s="91"/>
      <c r="D273" s="90"/>
      <c r="E273" s="91"/>
    </row>
    <row r="274">
      <c r="A274" s="90"/>
      <c r="B274" s="90"/>
      <c r="C274" s="91"/>
      <c r="D274" s="90"/>
      <c r="E274" s="91"/>
    </row>
    <row r="275">
      <c r="A275" s="90"/>
      <c r="B275" s="90"/>
      <c r="C275" s="91"/>
      <c r="D275" s="90"/>
      <c r="E275" s="91"/>
    </row>
    <row r="276">
      <c r="A276" s="90"/>
      <c r="B276" s="90"/>
      <c r="C276" s="91"/>
      <c r="D276" s="90"/>
      <c r="E276" s="91"/>
    </row>
    <row r="277">
      <c r="A277" s="90"/>
      <c r="B277" s="90"/>
      <c r="C277" s="91"/>
      <c r="D277" s="90"/>
      <c r="E277" s="91"/>
    </row>
    <row r="278">
      <c r="A278" s="90"/>
      <c r="B278" s="90"/>
      <c r="C278" s="91"/>
      <c r="D278" s="90"/>
      <c r="E278" s="91"/>
    </row>
    <row r="279">
      <c r="A279" s="90"/>
      <c r="B279" s="90"/>
      <c r="C279" s="91"/>
      <c r="D279" s="90"/>
      <c r="E279" s="91"/>
    </row>
    <row r="280">
      <c r="A280" s="90"/>
      <c r="B280" s="90"/>
      <c r="C280" s="91"/>
      <c r="D280" s="90"/>
      <c r="E280" s="91"/>
    </row>
    <row r="281">
      <c r="A281" s="90"/>
      <c r="B281" s="90"/>
      <c r="C281" s="91"/>
      <c r="D281" s="90"/>
      <c r="E281" s="91"/>
    </row>
    <row r="282">
      <c r="A282" s="90"/>
      <c r="B282" s="90"/>
      <c r="C282" s="91"/>
      <c r="D282" s="90"/>
      <c r="E282" s="91"/>
    </row>
    <row r="283">
      <c r="A283" s="90"/>
      <c r="B283" s="90"/>
      <c r="C283" s="91"/>
      <c r="D283" s="90"/>
      <c r="E283" s="91"/>
    </row>
    <row r="284">
      <c r="A284" s="90"/>
      <c r="B284" s="90"/>
      <c r="C284" s="91"/>
      <c r="D284" s="90"/>
      <c r="E284" s="91"/>
    </row>
    <row r="285">
      <c r="A285" s="90"/>
      <c r="B285" s="90"/>
      <c r="C285" s="91"/>
      <c r="D285" s="90"/>
      <c r="E285" s="91"/>
    </row>
    <row r="286">
      <c r="A286" s="90"/>
      <c r="B286" s="90"/>
      <c r="C286" s="91"/>
      <c r="D286" s="90"/>
      <c r="E286" s="91"/>
    </row>
    <row r="287">
      <c r="A287" s="90"/>
      <c r="B287" s="90"/>
      <c r="C287" s="91"/>
      <c r="D287" s="90"/>
      <c r="E287" s="91"/>
    </row>
    <row r="288">
      <c r="A288" s="90"/>
      <c r="B288" s="90"/>
      <c r="C288" s="91"/>
      <c r="D288" s="90"/>
      <c r="E288" s="91"/>
    </row>
    <row r="289">
      <c r="A289" s="90"/>
      <c r="B289" s="90"/>
      <c r="C289" s="91"/>
      <c r="D289" s="90"/>
      <c r="E289" s="91"/>
    </row>
    <row r="290">
      <c r="A290" s="90"/>
      <c r="B290" s="90"/>
      <c r="C290" s="91"/>
      <c r="D290" s="90"/>
      <c r="E290" s="91"/>
    </row>
    <row r="291">
      <c r="A291" s="90"/>
      <c r="B291" s="90"/>
      <c r="C291" s="91"/>
      <c r="D291" s="90"/>
      <c r="E291" s="91"/>
    </row>
    <row r="292">
      <c r="A292" s="90"/>
      <c r="B292" s="90"/>
      <c r="C292" s="91"/>
      <c r="D292" s="90"/>
      <c r="E292" s="91"/>
    </row>
    <row r="293">
      <c r="A293" s="90"/>
      <c r="B293" s="90"/>
      <c r="C293" s="91"/>
      <c r="D293" s="90"/>
      <c r="E293" s="91"/>
    </row>
    <row r="294">
      <c r="A294" s="90"/>
      <c r="B294" s="90"/>
      <c r="C294" s="91"/>
      <c r="D294" s="90"/>
      <c r="E294" s="91"/>
    </row>
    <row r="295">
      <c r="A295" s="90"/>
      <c r="B295" s="90"/>
      <c r="C295" s="91"/>
      <c r="D295" s="90"/>
      <c r="E295" s="91"/>
    </row>
    <row r="296">
      <c r="A296" s="90"/>
      <c r="B296" s="90"/>
      <c r="C296" s="91"/>
      <c r="D296" s="90"/>
      <c r="E296" s="91"/>
    </row>
    <row r="297">
      <c r="A297" s="90"/>
      <c r="B297" s="90"/>
      <c r="C297" s="91"/>
      <c r="D297" s="90"/>
      <c r="E297" s="91"/>
    </row>
    <row r="298">
      <c r="A298" s="90"/>
      <c r="B298" s="90"/>
      <c r="C298" s="91"/>
      <c r="D298" s="90"/>
      <c r="E298" s="91"/>
    </row>
    <row r="299">
      <c r="A299" s="90"/>
      <c r="B299" s="90"/>
      <c r="C299" s="91"/>
      <c r="D299" s="90"/>
      <c r="E299" s="91"/>
    </row>
    <row r="300">
      <c r="A300" s="90"/>
      <c r="B300" s="90"/>
      <c r="C300" s="91"/>
      <c r="D300" s="90"/>
      <c r="E300" s="91"/>
    </row>
    <row r="301">
      <c r="A301" s="90"/>
      <c r="B301" s="90"/>
      <c r="C301" s="91"/>
      <c r="D301" s="90"/>
      <c r="E301" s="91"/>
    </row>
    <row r="302">
      <c r="A302" s="90"/>
      <c r="B302" s="90"/>
      <c r="C302" s="91"/>
      <c r="D302" s="90"/>
      <c r="E302" s="91"/>
    </row>
    <row r="303">
      <c r="A303" s="90"/>
      <c r="B303" s="90"/>
      <c r="C303" s="91"/>
      <c r="D303" s="90"/>
      <c r="E303" s="91"/>
    </row>
    <row r="304">
      <c r="A304" s="90"/>
      <c r="B304" s="90"/>
      <c r="C304" s="91"/>
      <c r="D304" s="90"/>
      <c r="E304" s="91"/>
    </row>
    <row r="305">
      <c r="A305" s="90"/>
      <c r="B305" s="90"/>
      <c r="C305" s="91"/>
      <c r="D305" s="90"/>
      <c r="E305" s="91"/>
    </row>
    <row r="306">
      <c r="A306" s="90"/>
      <c r="B306" s="90"/>
      <c r="C306" s="91"/>
      <c r="D306" s="90"/>
      <c r="E306" s="91"/>
    </row>
    <row r="307">
      <c r="A307" s="90"/>
      <c r="B307" s="90"/>
      <c r="C307" s="91"/>
      <c r="D307" s="90"/>
      <c r="E307" s="91"/>
    </row>
    <row r="308">
      <c r="A308" s="90"/>
      <c r="B308" s="90"/>
      <c r="C308" s="91"/>
      <c r="D308" s="90"/>
      <c r="E308" s="91"/>
    </row>
    <row r="309">
      <c r="A309" s="90"/>
      <c r="B309" s="90"/>
      <c r="C309" s="91"/>
      <c r="D309" s="90"/>
      <c r="E309" s="91"/>
    </row>
    <row r="310">
      <c r="A310" s="90"/>
      <c r="B310" s="90"/>
      <c r="C310" s="91"/>
      <c r="D310" s="90"/>
      <c r="E310" s="91"/>
    </row>
    <row r="311">
      <c r="A311" s="90"/>
      <c r="B311" s="90"/>
      <c r="C311" s="91"/>
      <c r="D311" s="90"/>
      <c r="E311" s="91"/>
    </row>
    <row r="312">
      <c r="A312" s="90"/>
      <c r="B312" s="90"/>
      <c r="C312" s="91"/>
      <c r="D312" s="90"/>
      <c r="E312" s="91"/>
    </row>
    <row r="313">
      <c r="A313" s="90"/>
      <c r="B313" s="90"/>
      <c r="C313" s="91"/>
      <c r="D313" s="90"/>
      <c r="E313" s="91"/>
    </row>
    <row r="314">
      <c r="A314" s="90"/>
      <c r="B314" s="90"/>
      <c r="C314" s="91"/>
      <c r="D314" s="90"/>
      <c r="E314" s="91"/>
    </row>
    <row r="315">
      <c r="A315" s="90"/>
      <c r="B315" s="90"/>
      <c r="C315" s="91"/>
      <c r="D315" s="90"/>
      <c r="E315" s="91"/>
    </row>
    <row r="316">
      <c r="A316" s="90"/>
      <c r="B316" s="90"/>
      <c r="C316" s="91"/>
      <c r="D316" s="90"/>
      <c r="E316" s="91"/>
    </row>
    <row r="317">
      <c r="A317" s="90"/>
      <c r="B317" s="90"/>
      <c r="C317" s="91"/>
      <c r="D317" s="90"/>
      <c r="E317" s="91"/>
    </row>
    <row r="318">
      <c r="A318" s="90"/>
      <c r="B318" s="90"/>
      <c r="C318" s="91"/>
      <c r="D318" s="90"/>
      <c r="E318" s="91"/>
    </row>
    <row r="319">
      <c r="A319" s="90"/>
      <c r="B319" s="90"/>
      <c r="C319" s="91"/>
      <c r="D319" s="90"/>
      <c r="E319" s="91"/>
    </row>
    <row r="320">
      <c r="A320" s="90"/>
      <c r="B320" s="90"/>
      <c r="C320" s="91"/>
      <c r="D320" s="90"/>
      <c r="E320" s="91"/>
    </row>
    <row r="321">
      <c r="A321" s="90"/>
      <c r="B321" s="90"/>
      <c r="C321" s="91"/>
      <c r="D321" s="90"/>
      <c r="E321" s="91"/>
    </row>
    <row r="322">
      <c r="A322" s="90"/>
      <c r="B322" s="90"/>
      <c r="C322" s="91"/>
      <c r="D322" s="90"/>
      <c r="E322" s="91"/>
    </row>
    <row r="323">
      <c r="A323" s="90"/>
      <c r="B323" s="90"/>
      <c r="C323" s="91"/>
      <c r="D323" s="90"/>
      <c r="E323" s="91"/>
    </row>
    <row r="324">
      <c r="A324" s="90"/>
      <c r="B324" s="90"/>
      <c r="C324" s="91"/>
      <c r="D324" s="90"/>
      <c r="E324" s="91"/>
    </row>
    <row r="325">
      <c r="A325" s="90"/>
      <c r="B325" s="90"/>
      <c r="C325" s="91"/>
      <c r="D325" s="90"/>
      <c r="E325" s="91"/>
    </row>
    <row r="326">
      <c r="A326" s="90"/>
      <c r="B326" s="90"/>
      <c r="C326" s="91"/>
      <c r="D326" s="90"/>
      <c r="E326" s="91"/>
    </row>
    <row r="327">
      <c r="A327" s="90"/>
      <c r="B327" s="90"/>
      <c r="C327" s="91"/>
      <c r="D327" s="90"/>
      <c r="E327" s="91"/>
    </row>
    <row r="328">
      <c r="A328" s="90"/>
      <c r="B328" s="90"/>
      <c r="C328" s="91"/>
      <c r="D328" s="90"/>
      <c r="E328" s="91"/>
    </row>
    <row r="329">
      <c r="A329" s="90"/>
      <c r="B329" s="90"/>
      <c r="C329" s="91"/>
      <c r="D329" s="90"/>
      <c r="E329" s="91"/>
    </row>
    <row r="330">
      <c r="A330" s="90"/>
      <c r="B330" s="90"/>
      <c r="C330" s="91"/>
      <c r="D330" s="90"/>
      <c r="E330" s="91"/>
    </row>
    <row r="331">
      <c r="A331" s="90"/>
      <c r="B331" s="90"/>
      <c r="C331" s="91"/>
      <c r="D331" s="90"/>
      <c r="E331" s="91"/>
    </row>
    <row r="332">
      <c r="A332" s="90"/>
      <c r="B332" s="90"/>
      <c r="C332" s="91"/>
      <c r="D332" s="90"/>
      <c r="E332" s="91"/>
    </row>
    <row r="333">
      <c r="A333" s="90"/>
      <c r="B333" s="90"/>
      <c r="C333" s="91"/>
      <c r="D333" s="90"/>
      <c r="E333" s="91"/>
    </row>
    <row r="334">
      <c r="A334" s="90"/>
      <c r="B334" s="90"/>
      <c r="C334" s="91"/>
      <c r="D334" s="90"/>
      <c r="E334" s="91"/>
    </row>
    <row r="335">
      <c r="A335" s="90"/>
      <c r="B335" s="90"/>
      <c r="C335" s="91"/>
      <c r="D335" s="90"/>
      <c r="E335" s="91"/>
    </row>
    <row r="336">
      <c r="A336" s="90"/>
      <c r="B336" s="90"/>
      <c r="C336" s="91"/>
      <c r="D336" s="90"/>
      <c r="E336" s="91"/>
    </row>
    <row r="337">
      <c r="A337" s="90"/>
      <c r="B337" s="90"/>
      <c r="C337" s="91"/>
      <c r="D337" s="90"/>
      <c r="E337" s="91"/>
    </row>
    <row r="338">
      <c r="A338" s="90"/>
      <c r="B338" s="90"/>
      <c r="C338" s="91"/>
      <c r="D338" s="90"/>
      <c r="E338" s="91"/>
    </row>
    <row r="339">
      <c r="A339" s="90"/>
      <c r="B339" s="90"/>
      <c r="C339" s="91"/>
      <c r="D339" s="90"/>
      <c r="E339" s="91"/>
    </row>
    <row r="340">
      <c r="A340" s="90"/>
      <c r="B340" s="90"/>
      <c r="C340" s="91"/>
      <c r="D340" s="90"/>
      <c r="E340" s="91"/>
    </row>
    <row r="341">
      <c r="A341" s="90"/>
      <c r="B341" s="90"/>
      <c r="C341" s="91"/>
      <c r="D341" s="90"/>
      <c r="E341" s="91"/>
    </row>
    <row r="342">
      <c r="A342" s="90"/>
      <c r="B342" s="90"/>
      <c r="C342" s="91"/>
      <c r="D342" s="90"/>
      <c r="E342" s="91"/>
    </row>
    <row r="343">
      <c r="A343" s="90"/>
      <c r="B343" s="90"/>
      <c r="C343" s="91"/>
      <c r="D343" s="90"/>
      <c r="E343" s="91"/>
    </row>
    <row r="344">
      <c r="A344" s="90"/>
      <c r="B344" s="90"/>
      <c r="C344" s="91"/>
      <c r="D344" s="90"/>
      <c r="E344" s="91"/>
    </row>
    <row r="345">
      <c r="A345" s="90"/>
      <c r="B345" s="90"/>
      <c r="C345" s="91"/>
      <c r="D345" s="90"/>
      <c r="E345" s="91"/>
    </row>
    <row r="346">
      <c r="A346" s="90"/>
      <c r="B346" s="90"/>
      <c r="C346" s="91"/>
      <c r="D346" s="90"/>
      <c r="E346" s="91"/>
    </row>
    <row r="347">
      <c r="A347" s="90"/>
      <c r="B347" s="90"/>
      <c r="C347" s="91"/>
      <c r="D347" s="90"/>
      <c r="E347" s="91"/>
    </row>
    <row r="348">
      <c r="A348" s="90"/>
      <c r="B348" s="90"/>
      <c r="C348" s="91"/>
      <c r="D348" s="90"/>
      <c r="E348" s="91"/>
    </row>
    <row r="349">
      <c r="A349" s="90"/>
      <c r="B349" s="90"/>
      <c r="C349" s="91"/>
      <c r="D349" s="90"/>
      <c r="E349" s="91"/>
    </row>
    <row r="350">
      <c r="A350" s="90"/>
      <c r="B350" s="90"/>
      <c r="C350" s="91"/>
      <c r="D350" s="90"/>
      <c r="E350" s="91"/>
    </row>
    <row r="351">
      <c r="A351" s="90"/>
      <c r="B351" s="90"/>
      <c r="C351" s="91"/>
      <c r="D351" s="90"/>
      <c r="E351" s="91"/>
    </row>
    <row r="352">
      <c r="A352" s="90"/>
      <c r="B352" s="90"/>
      <c r="C352" s="91"/>
      <c r="D352" s="90"/>
      <c r="E352" s="91"/>
    </row>
    <row r="353">
      <c r="A353" s="90"/>
      <c r="B353" s="90"/>
      <c r="C353" s="91"/>
      <c r="D353" s="90"/>
      <c r="E353" s="91"/>
    </row>
    <row r="354">
      <c r="A354" s="90"/>
      <c r="B354" s="90"/>
      <c r="C354" s="91"/>
      <c r="D354" s="90"/>
      <c r="E354" s="91"/>
    </row>
    <row r="355">
      <c r="A355" s="90"/>
      <c r="B355" s="90"/>
      <c r="C355" s="91"/>
      <c r="D355" s="90"/>
      <c r="E355" s="91"/>
    </row>
    <row r="356">
      <c r="A356" s="90"/>
      <c r="B356" s="90"/>
      <c r="C356" s="91"/>
      <c r="D356" s="90"/>
      <c r="E356" s="91"/>
    </row>
    <row r="357">
      <c r="A357" s="90"/>
      <c r="B357" s="90"/>
      <c r="C357" s="91"/>
      <c r="D357" s="90"/>
      <c r="E357" s="91"/>
    </row>
    <row r="358">
      <c r="A358" s="90"/>
      <c r="B358" s="90"/>
      <c r="C358" s="91"/>
      <c r="D358" s="90"/>
      <c r="E358" s="91"/>
    </row>
    <row r="359">
      <c r="A359" s="90"/>
      <c r="B359" s="90"/>
      <c r="C359" s="91"/>
      <c r="D359" s="90"/>
      <c r="E359" s="91"/>
    </row>
    <row r="360">
      <c r="A360" s="90"/>
      <c r="B360" s="90"/>
      <c r="C360" s="91"/>
      <c r="D360" s="90"/>
      <c r="E360" s="91"/>
    </row>
    <row r="361">
      <c r="A361" s="90"/>
      <c r="B361" s="90"/>
      <c r="C361" s="91"/>
      <c r="D361" s="90"/>
      <c r="E361" s="91"/>
    </row>
    <row r="362">
      <c r="A362" s="90"/>
      <c r="B362" s="90"/>
      <c r="C362" s="91"/>
      <c r="D362" s="90"/>
      <c r="E362" s="91"/>
    </row>
    <row r="363">
      <c r="A363" s="90"/>
      <c r="B363" s="90"/>
      <c r="C363" s="91"/>
      <c r="D363" s="90"/>
      <c r="E363" s="91"/>
    </row>
    <row r="364">
      <c r="A364" s="90"/>
      <c r="B364" s="90"/>
      <c r="C364" s="91"/>
      <c r="D364" s="90"/>
      <c r="E364" s="91"/>
    </row>
    <row r="365">
      <c r="A365" s="90"/>
      <c r="B365" s="90"/>
      <c r="C365" s="91"/>
      <c r="D365" s="90"/>
      <c r="E365" s="91"/>
    </row>
    <row r="366">
      <c r="A366" s="90"/>
      <c r="B366" s="90"/>
      <c r="C366" s="91"/>
      <c r="D366" s="90"/>
      <c r="E366" s="91"/>
    </row>
    <row r="367">
      <c r="A367" s="90"/>
      <c r="B367" s="90"/>
      <c r="C367" s="91"/>
      <c r="D367" s="90"/>
      <c r="E367" s="91"/>
    </row>
    <row r="368">
      <c r="A368" s="90"/>
      <c r="B368" s="90"/>
      <c r="C368" s="91"/>
      <c r="D368" s="90"/>
      <c r="E368" s="91"/>
    </row>
    <row r="369">
      <c r="A369" s="90"/>
      <c r="B369" s="90"/>
      <c r="C369" s="91"/>
      <c r="D369" s="90"/>
      <c r="E369" s="91"/>
    </row>
    <row r="370">
      <c r="A370" s="90"/>
      <c r="B370" s="90"/>
      <c r="C370" s="91"/>
      <c r="D370" s="90"/>
      <c r="E370" s="91"/>
    </row>
    <row r="371">
      <c r="A371" s="90"/>
      <c r="B371" s="90"/>
      <c r="C371" s="91"/>
      <c r="D371" s="90"/>
      <c r="E371" s="91"/>
    </row>
    <row r="372">
      <c r="A372" s="90"/>
      <c r="B372" s="90"/>
      <c r="C372" s="91"/>
      <c r="D372" s="90"/>
      <c r="E372" s="91"/>
    </row>
    <row r="373">
      <c r="A373" s="90"/>
      <c r="B373" s="90"/>
      <c r="C373" s="91"/>
      <c r="D373" s="90"/>
      <c r="E373" s="91"/>
    </row>
    <row r="374">
      <c r="A374" s="90"/>
      <c r="B374" s="90"/>
      <c r="C374" s="91"/>
      <c r="D374" s="90"/>
      <c r="E374" s="91"/>
    </row>
    <row r="375">
      <c r="A375" s="90"/>
      <c r="B375" s="90"/>
      <c r="C375" s="91"/>
      <c r="D375" s="90"/>
      <c r="E375" s="91"/>
    </row>
    <row r="376">
      <c r="A376" s="90"/>
      <c r="B376" s="90"/>
      <c r="C376" s="91"/>
      <c r="D376" s="90"/>
      <c r="E376" s="91"/>
    </row>
    <row r="377">
      <c r="A377" s="90"/>
      <c r="B377" s="90"/>
      <c r="C377" s="91"/>
      <c r="D377" s="90"/>
      <c r="E377" s="91"/>
    </row>
    <row r="378">
      <c r="A378" s="90"/>
      <c r="B378" s="90"/>
      <c r="C378" s="91"/>
      <c r="D378" s="90"/>
      <c r="E378" s="91"/>
    </row>
    <row r="379">
      <c r="A379" s="90"/>
      <c r="B379" s="90"/>
      <c r="C379" s="91"/>
      <c r="D379" s="90"/>
      <c r="E379" s="91"/>
    </row>
    <row r="380">
      <c r="A380" s="90"/>
      <c r="B380" s="90"/>
      <c r="C380" s="91"/>
      <c r="D380" s="90"/>
      <c r="E380" s="91"/>
    </row>
    <row r="381">
      <c r="A381" s="90"/>
      <c r="B381" s="90"/>
      <c r="C381" s="91"/>
      <c r="D381" s="90"/>
      <c r="E381" s="91"/>
    </row>
    <row r="382">
      <c r="A382" s="90"/>
      <c r="B382" s="90"/>
      <c r="C382" s="91"/>
      <c r="D382" s="90"/>
      <c r="E382" s="91"/>
    </row>
    <row r="383">
      <c r="A383" s="90"/>
      <c r="B383" s="90"/>
      <c r="C383" s="91"/>
      <c r="D383" s="90"/>
      <c r="E383" s="91"/>
    </row>
    <row r="384">
      <c r="A384" s="90"/>
      <c r="B384" s="90"/>
      <c r="C384" s="91"/>
      <c r="D384" s="90"/>
      <c r="E384" s="91"/>
    </row>
    <row r="385">
      <c r="A385" s="90"/>
      <c r="B385" s="90"/>
      <c r="C385" s="91"/>
      <c r="D385" s="90"/>
      <c r="E385" s="91"/>
    </row>
    <row r="386">
      <c r="A386" s="90"/>
      <c r="B386" s="90"/>
      <c r="C386" s="91"/>
      <c r="D386" s="90"/>
      <c r="E386" s="91"/>
    </row>
    <row r="387">
      <c r="A387" s="90"/>
      <c r="B387" s="90"/>
      <c r="C387" s="91"/>
      <c r="D387" s="90"/>
      <c r="E387" s="91"/>
    </row>
    <row r="388">
      <c r="A388" s="90"/>
      <c r="B388" s="90"/>
      <c r="C388" s="91"/>
      <c r="D388" s="90"/>
      <c r="E388" s="91"/>
    </row>
    <row r="389">
      <c r="A389" s="90"/>
      <c r="B389" s="90"/>
      <c r="C389" s="91"/>
      <c r="D389" s="90"/>
      <c r="E389" s="91"/>
    </row>
    <row r="390">
      <c r="A390" s="90"/>
      <c r="B390" s="90"/>
      <c r="C390" s="91"/>
      <c r="D390" s="90"/>
      <c r="E390" s="91"/>
    </row>
    <row r="391">
      <c r="A391" s="90"/>
      <c r="B391" s="90"/>
      <c r="C391" s="91"/>
      <c r="D391" s="90"/>
      <c r="E391" s="91"/>
    </row>
    <row r="392">
      <c r="A392" s="90"/>
      <c r="B392" s="90"/>
      <c r="C392" s="91"/>
      <c r="D392" s="90"/>
      <c r="E392" s="91"/>
    </row>
    <row r="393">
      <c r="A393" s="90"/>
      <c r="B393" s="90"/>
      <c r="C393" s="91"/>
      <c r="D393" s="90"/>
      <c r="E393" s="91"/>
    </row>
    <row r="394">
      <c r="A394" s="90"/>
      <c r="B394" s="90"/>
      <c r="C394" s="91"/>
      <c r="D394" s="90"/>
      <c r="E394" s="91"/>
    </row>
    <row r="395">
      <c r="A395" s="90"/>
      <c r="B395" s="90"/>
      <c r="C395" s="91"/>
      <c r="D395" s="90"/>
      <c r="E395" s="91"/>
    </row>
    <row r="396">
      <c r="A396" s="90"/>
      <c r="B396" s="90"/>
      <c r="C396" s="91"/>
      <c r="D396" s="90"/>
      <c r="E396" s="91"/>
    </row>
    <row r="397">
      <c r="A397" s="90"/>
      <c r="B397" s="90"/>
      <c r="C397" s="91"/>
      <c r="D397" s="90"/>
      <c r="E397" s="91"/>
    </row>
    <row r="398">
      <c r="A398" s="90"/>
      <c r="B398" s="90"/>
      <c r="C398" s="91"/>
      <c r="D398" s="90"/>
      <c r="E398" s="91"/>
    </row>
    <row r="399">
      <c r="A399" s="90"/>
      <c r="B399" s="90"/>
      <c r="C399" s="91"/>
      <c r="D399" s="90"/>
      <c r="E399" s="91"/>
    </row>
    <row r="400">
      <c r="A400" s="90"/>
      <c r="B400" s="90"/>
      <c r="C400" s="91"/>
      <c r="D400" s="90"/>
      <c r="E400" s="91"/>
    </row>
    <row r="401">
      <c r="A401" s="90"/>
      <c r="B401" s="90"/>
      <c r="C401" s="91"/>
      <c r="D401" s="90"/>
      <c r="E401" s="91"/>
    </row>
    <row r="402">
      <c r="A402" s="90"/>
      <c r="B402" s="90"/>
      <c r="C402" s="91"/>
      <c r="D402" s="90"/>
      <c r="E402" s="91"/>
    </row>
    <row r="403">
      <c r="A403" s="90"/>
      <c r="B403" s="90"/>
      <c r="C403" s="91"/>
      <c r="D403" s="90"/>
      <c r="E403" s="91"/>
    </row>
    <row r="404">
      <c r="A404" s="90"/>
      <c r="B404" s="90"/>
      <c r="C404" s="91"/>
      <c r="D404" s="90"/>
      <c r="E404" s="91"/>
    </row>
    <row r="405">
      <c r="A405" s="90"/>
      <c r="B405" s="90"/>
      <c r="C405" s="91"/>
      <c r="D405" s="90"/>
      <c r="E405" s="91"/>
    </row>
    <row r="406">
      <c r="A406" s="90"/>
      <c r="B406" s="90"/>
      <c r="C406" s="91"/>
      <c r="D406" s="90"/>
      <c r="E406" s="91"/>
    </row>
    <row r="407">
      <c r="A407" s="90"/>
      <c r="B407" s="90"/>
      <c r="C407" s="91"/>
      <c r="D407" s="90"/>
      <c r="E407" s="91"/>
    </row>
    <row r="408">
      <c r="A408" s="90"/>
      <c r="B408" s="90"/>
      <c r="C408" s="91"/>
      <c r="D408" s="90"/>
      <c r="E408" s="91"/>
    </row>
    <row r="409">
      <c r="A409" s="90"/>
      <c r="B409" s="90"/>
      <c r="C409" s="91"/>
      <c r="D409" s="90"/>
      <c r="E409" s="91"/>
    </row>
    <row r="410">
      <c r="A410" s="90"/>
      <c r="B410" s="90"/>
      <c r="C410" s="91"/>
      <c r="D410" s="90"/>
      <c r="E410" s="91"/>
    </row>
    <row r="411">
      <c r="A411" s="90"/>
      <c r="B411" s="90"/>
      <c r="C411" s="91"/>
      <c r="D411" s="90"/>
      <c r="E411" s="91"/>
    </row>
    <row r="412">
      <c r="A412" s="90"/>
      <c r="B412" s="90"/>
      <c r="C412" s="91"/>
      <c r="D412" s="90"/>
      <c r="E412" s="91"/>
    </row>
    <row r="413">
      <c r="A413" s="90"/>
      <c r="B413" s="90"/>
      <c r="C413" s="91"/>
      <c r="D413" s="90"/>
      <c r="E413" s="91"/>
    </row>
    <row r="414">
      <c r="A414" s="90"/>
      <c r="B414" s="90"/>
      <c r="C414" s="91"/>
      <c r="D414" s="90"/>
      <c r="E414" s="91"/>
    </row>
    <row r="415">
      <c r="A415" s="90"/>
      <c r="B415" s="90"/>
      <c r="C415" s="91"/>
      <c r="D415" s="90"/>
      <c r="E415" s="91"/>
    </row>
    <row r="416">
      <c r="A416" s="90"/>
      <c r="B416" s="90"/>
      <c r="C416" s="91"/>
      <c r="D416" s="90"/>
      <c r="E416" s="91"/>
    </row>
    <row r="417">
      <c r="A417" s="90"/>
      <c r="B417" s="90"/>
      <c r="C417" s="91"/>
      <c r="D417" s="90"/>
      <c r="E417" s="91"/>
    </row>
    <row r="418">
      <c r="A418" s="90"/>
      <c r="B418" s="90"/>
      <c r="C418" s="91"/>
      <c r="D418" s="90"/>
      <c r="E418" s="91"/>
    </row>
    <row r="419">
      <c r="A419" s="90"/>
      <c r="B419" s="90"/>
      <c r="C419" s="91"/>
      <c r="D419" s="90"/>
      <c r="E419" s="91"/>
    </row>
    <row r="420">
      <c r="A420" s="90"/>
      <c r="B420" s="90"/>
      <c r="C420" s="91"/>
      <c r="D420" s="90"/>
      <c r="E420" s="91"/>
    </row>
    <row r="421">
      <c r="A421" s="90"/>
      <c r="B421" s="90"/>
      <c r="C421" s="91"/>
      <c r="D421" s="90"/>
      <c r="E421" s="91"/>
    </row>
    <row r="422">
      <c r="A422" s="90"/>
      <c r="B422" s="90"/>
      <c r="C422" s="91"/>
      <c r="D422" s="90"/>
      <c r="E422" s="91"/>
    </row>
    <row r="423">
      <c r="A423" s="90"/>
      <c r="B423" s="90"/>
      <c r="C423" s="91"/>
      <c r="D423" s="90"/>
      <c r="E423" s="91"/>
    </row>
    <row r="424">
      <c r="A424" s="90"/>
      <c r="B424" s="90"/>
      <c r="C424" s="91"/>
      <c r="D424" s="90"/>
      <c r="E424" s="91"/>
    </row>
    <row r="425">
      <c r="A425" s="90"/>
      <c r="B425" s="90"/>
      <c r="C425" s="91"/>
      <c r="D425" s="90"/>
      <c r="E425" s="91"/>
    </row>
    <row r="426">
      <c r="A426" s="90"/>
      <c r="B426" s="90"/>
      <c r="C426" s="91"/>
      <c r="D426" s="90"/>
      <c r="E426" s="91"/>
    </row>
    <row r="427">
      <c r="A427" s="90"/>
      <c r="B427" s="90"/>
      <c r="C427" s="91"/>
      <c r="D427" s="90"/>
      <c r="E427" s="91"/>
    </row>
    <row r="428">
      <c r="A428" s="90"/>
      <c r="B428" s="90"/>
      <c r="C428" s="91"/>
      <c r="D428" s="90"/>
      <c r="E428" s="91"/>
    </row>
    <row r="429">
      <c r="A429" s="90"/>
      <c r="B429" s="90"/>
      <c r="C429" s="91"/>
      <c r="D429" s="90"/>
      <c r="E429" s="91"/>
    </row>
    <row r="430">
      <c r="A430" s="90"/>
      <c r="B430" s="90"/>
      <c r="C430" s="91"/>
      <c r="D430" s="90"/>
      <c r="E430" s="91"/>
    </row>
    <row r="431">
      <c r="A431" s="90"/>
      <c r="B431" s="90"/>
      <c r="C431" s="91"/>
      <c r="D431" s="90"/>
      <c r="E431" s="91"/>
    </row>
    <row r="432">
      <c r="A432" s="90"/>
      <c r="B432" s="90"/>
      <c r="C432" s="91"/>
      <c r="D432" s="90"/>
      <c r="E432" s="91"/>
    </row>
    <row r="433">
      <c r="A433" s="90"/>
      <c r="B433" s="90"/>
      <c r="C433" s="91"/>
      <c r="D433" s="90"/>
      <c r="E433" s="91"/>
    </row>
    <row r="434">
      <c r="A434" s="90"/>
      <c r="B434" s="90"/>
      <c r="C434" s="91"/>
      <c r="D434" s="90"/>
      <c r="E434" s="91"/>
    </row>
    <row r="435">
      <c r="A435" s="90"/>
      <c r="B435" s="90"/>
      <c r="C435" s="91"/>
      <c r="D435" s="90"/>
      <c r="E435" s="91"/>
    </row>
    <row r="436">
      <c r="A436" s="90"/>
      <c r="B436" s="90"/>
      <c r="C436" s="91"/>
      <c r="D436" s="90"/>
      <c r="E436" s="91"/>
    </row>
    <row r="437">
      <c r="A437" s="90"/>
      <c r="B437" s="90"/>
      <c r="C437" s="91"/>
      <c r="D437" s="90"/>
      <c r="E437" s="91"/>
    </row>
    <row r="438">
      <c r="A438" s="90"/>
      <c r="B438" s="90"/>
      <c r="C438" s="91"/>
      <c r="D438" s="90"/>
      <c r="E438" s="91"/>
    </row>
    <row r="439">
      <c r="A439" s="90"/>
      <c r="B439" s="90"/>
      <c r="C439" s="91"/>
      <c r="D439" s="90"/>
      <c r="E439" s="91"/>
    </row>
    <row r="440">
      <c r="A440" s="90"/>
      <c r="B440" s="90"/>
      <c r="C440" s="91"/>
      <c r="D440" s="90"/>
      <c r="E440" s="91"/>
    </row>
    <row r="441">
      <c r="A441" s="90"/>
      <c r="B441" s="90"/>
      <c r="C441" s="91"/>
      <c r="D441" s="90"/>
      <c r="E441" s="91"/>
    </row>
    <row r="442">
      <c r="A442" s="90"/>
      <c r="B442" s="90"/>
      <c r="C442" s="91"/>
      <c r="D442" s="90"/>
      <c r="E442" s="91"/>
    </row>
    <row r="443">
      <c r="A443" s="90"/>
      <c r="B443" s="90"/>
      <c r="C443" s="91"/>
      <c r="D443" s="90"/>
      <c r="E443" s="91"/>
    </row>
    <row r="444">
      <c r="A444" s="90"/>
      <c r="B444" s="90"/>
      <c r="C444" s="91"/>
      <c r="D444" s="90"/>
      <c r="E444" s="91"/>
    </row>
    <row r="445">
      <c r="A445" s="90"/>
      <c r="B445" s="90"/>
      <c r="C445" s="91"/>
      <c r="D445" s="90"/>
      <c r="E445" s="91"/>
    </row>
    <row r="446">
      <c r="A446" s="90"/>
      <c r="B446" s="90"/>
      <c r="C446" s="91"/>
      <c r="D446" s="90"/>
      <c r="E446" s="91"/>
    </row>
    <row r="447">
      <c r="A447" s="90"/>
      <c r="B447" s="90"/>
      <c r="C447" s="91"/>
      <c r="D447" s="90"/>
      <c r="E447" s="91"/>
    </row>
    <row r="448">
      <c r="A448" s="90"/>
      <c r="B448" s="90"/>
      <c r="C448" s="91"/>
      <c r="D448" s="90"/>
      <c r="E448" s="91"/>
    </row>
    <row r="449">
      <c r="A449" s="90"/>
      <c r="B449" s="90"/>
      <c r="C449" s="91"/>
      <c r="D449" s="90"/>
      <c r="E449" s="91"/>
    </row>
    <row r="450">
      <c r="A450" s="90"/>
      <c r="B450" s="90"/>
      <c r="C450" s="91"/>
      <c r="D450" s="90"/>
      <c r="E450" s="91"/>
    </row>
    <row r="451">
      <c r="A451" s="90"/>
      <c r="B451" s="90"/>
      <c r="C451" s="91"/>
      <c r="D451" s="90"/>
      <c r="E451" s="91"/>
    </row>
    <row r="452">
      <c r="A452" s="90"/>
      <c r="B452" s="90"/>
      <c r="C452" s="91"/>
      <c r="D452" s="90"/>
      <c r="E452" s="91"/>
    </row>
    <row r="453">
      <c r="A453" s="90"/>
      <c r="B453" s="90"/>
      <c r="C453" s="91"/>
      <c r="D453" s="90"/>
      <c r="E453" s="91"/>
    </row>
    <row r="454">
      <c r="A454" s="90"/>
      <c r="B454" s="90"/>
      <c r="C454" s="91"/>
      <c r="D454" s="90"/>
      <c r="E454" s="91"/>
    </row>
    <row r="455">
      <c r="A455" s="90"/>
      <c r="B455" s="90"/>
      <c r="C455" s="91"/>
      <c r="D455" s="90"/>
      <c r="E455" s="91"/>
    </row>
    <row r="456">
      <c r="A456" s="90"/>
      <c r="B456" s="90"/>
      <c r="C456" s="91"/>
      <c r="D456" s="90"/>
      <c r="E456" s="91"/>
    </row>
    <row r="457">
      <c r="A457" s="90"/>
      <c r="B457" s="90"/>
      <c r="C457" s="91"/>
      <c r="D457" s="90"/>
      <c r="E457" s="91"/>
    </row>
    <row r="458">
      <c r="A458" s="90"/>
      <c r="B458" s="90"/>
      <c r="C458" s="91"/>
      <c r="D458" s="90"/>
      <c r="E458" s="91"/>
    </row>
    <row r="459">
      <c r="A459" s="90"/>
      <c r="B459" s="90"/>
      <c r="C459" s="91"/>
      <c r="D459" s="90"/>
      <c r="E459" s="91"/>
    </row>
    <row r="460">
      <c r="A460" s="90"/>
      <c r="B460" s="90"/>
      <c r="C460" s="91"/>
      <c r="D460" s="90"/>
      <c r="E460" s="91"/>
    </row>
    <row r="461">
      <c r="A461" s="90"/>
      <c r="B461" s="90"/>
      <c r="C461" s="91"/>
      <c r="D461" s="90"/>
      <c r="E461" s="91"/>
    </row>
    <row r="462">
      <c r="A462" s="90"/>
      <c r="B462" s="90"/>
      <c r="C462" s="91"/>
      <c r="D462" s="90"/>
      <c r="E462" s="91"/>
    </row>
    <row r="463">
      <c r="A463" s="90"/>
      <c r="B463" s="90"/>
      <c r="C463" s="91"/>
      <c r="D463" s="90"/>
      <c r="E463" s="91"/>
    </row>
    <row r="464">
      <c r="A464" s="90"/>
      <c r="B464" s="90"/>
      <c r="C464" s="91"/>
      <c r="D464" s="90"/>
      <c r="E464" s="91"/>
    </row>
    <row r="465">
      <c r="A465" s="90"/>
      <c r="B465" s="90"/>
      <c r="C465" s="91"/>
      <c r="D465" s="90"/>
      <c r="E465" s="91"/>
    </row>
    <row r="466">
      <c r="A466" s="90"/>
      <c r="B466" s="90"/>
      <c r="C466" s="91"/>
      <c r="D466" s="90"/>
      <c r="E466" s="91"/>
    </row>
    <row r="467">
      <c r="A467" s="90"/>
      <c r="B467" s="90"/>
      <c r="C467" s="91"/>
      <c r="D467" s="90"/>
      <c r="E467" s="91"/>
    </row>
    <row r="468">
      <c r="A468" s="90"/>
      <c r="B468" s="90"/>
      <c r="C468" s="91"/>
      <c r="D468" s="90"/>
      <c r="E468" s="91"/>
    </row>
    <row r="469">
      <c r="A469" s="90"/>
      <c r="B469" s="90"/>
      <c r="C469" s="91"/>
      <c r="D469" s="90"/>
      <c r="E469" s="91"/>
    </row>
    <row r="470">
      <c r="A470" s="90"/>
      <c r="B470" s="90"/>
      <c r="C470" s="91"/>
      <c r="D470" s="90"/>
      <c r="E470" s="91"/>
    </row>
    <row r="471">
      <c r="A471" s="90"/>
      <c r="B471" s="90"/>
      <c r="C471" s="91"/>
      <c r="D471" s="90"/>
      <c r="E471" s="91"/>
    </row>
    <row r="472">
      <c r="A472" s="90"/>
      <c r="B472" s="90"/>
      <c r="C472" s="91"/>
      <c r="D472" s="90"/>
      <c r="E472" s="91"/>
    </row>
    <row r="473">
      <c r="A473" s="90"/>
      <c r="B473" s="90"/>
      <c r="C473" s="91"/>
      <c r="D473" s="90"/>
      <c r="E473" s="91"/>
    </row>
    <row r="474">
      <c r="A474" s="90"/>
      <c r="B474" s="90"/>
      <c r="C474" s="91"/>
      <c r="D474" s="90"/>
      <c r="E474" s="91"/>
    </row>
    <row r="475">
      <c r="A475" s="90"/>
      <c r="B475" s="90"/>
      <c r="C475" s="91"/>
      <c r="D475" s="90"/>
      <c r="E475" s="91"/>
    </row>
    <row r="476">
      <c r="A476" s="90"/>
      <c r="B476" s="90"/>
      <c r="C476" s="91"/>
      <c r="D476" s="90"/>
      <c r="E476" s="91"/>
    </row>
    <row r="477">
      <c r="A477" s="90"/>
      <c r="B477" s="90"/>
      <c r="C477" s="91"/>
      <c r="D477" s="90"/>
      <c r="E477" s="91"/>
    </row>
    <row r="478">
      <c r="A478" s="90"/>
      <c r="B478" s="90"/>
      <c r="C478" s="91"/>
      <c r="D478" s="90"/>
      <c r="E478" s="91"/>
    </row>
    <row r="479">
      <c r="A479" s="90"/>
      <c r="B479" s="90"/>
      <c r="C479" s="91"/>
      <c r="D479" s="90"/>
      <c r="E479" s="91"/>
    </row>
    <row r="480">
      <c r="A480" s="90"/>
      <c r="B480" s="90"/>
      <c r="C480" s="91"/>
      <c r="D480" s="90"/>
      <c r="E480" s="91"/>
    </row>
    <row r="481">
      <c r="A481" s="90"/>
      <c r="B481" s="90"/>
      <c r="C481" s="91"/>
      <c r="D481" s="90"/>
      <c r="E481" s="91"/>
    </row>
    <row r="482">
      <c r="A482" s="90"/>
      <c r="B482" s="90"/>
      <c r="C482" s="91"/>
      <c r="D482" s="90"/>
      <c r="E482" s="91"/>
    </row>
    <row r="483">
      <c r="A483" s="90"/>
      <c r="B483" s="90"/>
      <c r="C483" s="91"/>
      <c r="D483" s="90"/>
      <c r="E483" s="91"/>
    </row>
    <row r="484">
      <c r="A484" s="90"/>
      <c r="B484" s="90"/>
      <c r="C484" s="91"/>
      <c r="D484" s="90"/>
      <c r="E484" s="91"/>
    </row>
    <row r="485">
      <c r="A485" s="90"/>
      <c r="B485" s="90"/>
      <c r="C485" s="91"/>
      <c r="D485" s="90"/>
      <c r="E485" s="91"/>
    </row>
    <row r="486">
      <c r="A486" s="90"/>
      <c r="B486" s="90"/>
      <c r="C486" s="91"/>
      <c r="D486" s="90"/>
      <c r="E486" s="91"/>
    </row>
    <row r="487">
      <c r="A487" s="90"/>
      <c r="B487" s="90"/>
      <c r="C487" s="91"/>
      <c r="D487" s="90"/>
      <c r="E487" s="91"/>
    </row>
    <row r="488">
      <c r="A488" s="90"/>
      <c r="B488" s="90"/>
      <c r="C488" s="91"/>
      <c r="D488" s="90"/>
      <c r="E488" s="91"/>
    </row>
    <row r="489">
      <c r="A489" s="90"/>
      <c r="B489" s="90"/>
      <c r="C489" s="91"/>
      <c r="D489" s="90"/>
      <c r="E489" s="91"/>
    </row>
    <row r="490">
      <c r="A490" s="90"/>
      <c r="B490" s="90"/>
      <c r="C490" s="91"/>
      <c r="D490" s="90"/>
      <c r="E490" s="91"/>
    </row>
    <row r="491">
      <c r="A491" s="90"/>
      <c r="B491" s="90"/>
      <c r="C491" s="91"/>
      <c r="D491" s="90"/>
      <c r="E491" s="91"/>
    </row>
    <row r="492">
      <c r="A492" s="90"/>
      <c r="B492" s="90"/>
      <c r="C492" s="91"/>
      <c r="D492" s="90"/>
      <c r="E492" s="91"/>
    </row>
    <row r="493">
      <c r="A493" s="90"/>
      <c r="B493" s="90"/>
      <c r="C493" s="91"/>
      <c r="D493" s="90"/>
      <c r="E493" s="91"/>
    </row>
    <row r="494">
      <c r="A494" s="90"/>
      <c r="B494" s="90"/>
      <c r="C494" s="91"/>
      <c r="D494" s="90"/>
      <c r="E494" s="91"/>
    </row>
    <row r="495">
      <c r="A495" s="90"/>
      <c r="B495" s="90"/>
      <c r="C495" s="91"/>
      <c r="D495" s="90"/>
      <c r="E495" s="91"/>
    </row>
    <row r="496">
      <c r="A496" s="90"/>
      <c r="B496" s="90"/>
      <c r="C496" s="91"/>
      <c r="D496" s="90"/>
      <c r="E496" s="91"/>
    </row>
    <row r="497">
      <c r="A497" s="90"/>
      <c r="B497" s="90"/>
      <c r="C497" s="91"/>
      <c r="D497" s="90"/>
      <c r="E497" s="91"/>
    </row>
    <row r="498">
      <c r="A498" s="90"/>
      <c r="B498" s="90"/>
      <c r="C498" s="91"/>
      <c r="D498" s="90"/>
      <c r="E498" s="91"/>
    </row>
    <row r="499">
      <c r="A499" s="90"/>
      <c r="B499" s="90"/>
      <c r="C499" s="91"/>
      <c r="D499" s="90"/>
      <c r="E499" s="91"/>
    </row>
    <row r="500">
      <c r="A500" s="90"/>
      <c r="B500" s="90"/>
      <c r="C500" s="91"/>
      <c r="D500" s="90"/>
      <c r="E500" s="91"/>
    </row>
    <row r="501">
      <c r="A501" s="90"/>
      <c r="B501" s="90"/>
      <c r="C501" s="91"/>
      <c r="D501" s="90"/>
      <c r="E501" s="91"/>
    </row>
    <row r="502">
      <c r="A502" s="90"/>
      <c r="B502" s="90"/>
      <c r="C502" s="91"/>
      <c r="D502" s="90"/>
      <c r="E502" s="91"/>
    </row>
    <row r="503">
      <c r="A503" s="90"/>
      <c r="B503" s="90"/>
      <c r="C503" s="91"/>
      <c r="D503" s="90"/>
      <c r="E503" s="91"/>
    </row>
    <row r="504">
      <c r="A504" s="90"/>
      <c r="B504" s="90"/>
      <c r="C504" s="91"/>
      <c r="D504" s="90"/>
      <c r="E504" s="91"/>
    </row>
    <row r="505">
      <c r="A505" s="90"/>
      <c r="B505" s="90"/>
      <c r="C505" s="91"/>
      <c r="D505" s="90"/>
      <c r="E505" s="91"/>
    </row>
    <row r="506">
      <c r="A506" s="90"/>
      <c r="B506" s="90"/>
      <c r="C506" s="91"/>
      <c r="D506" s="90"/>
      <c r="E506" s="91"/>
    </row>
    <row r="507">
      <c r="A507" s="90"/>
      <c r="B507" s="90"/>
      <c r="C507" s="91"/>
      <c r="D507" s="90"/>
      <c r="E507" s="91"/>
    </row>
    <row r="508">
      <c r="A508" s="90"/>
      <c r="B508" s="90"/>
      <c r="C508" s="91"/>
      <c r="D508" s="90"/>
      <c r="E508" s="91"/>
    </row>
    <row r="509">
      <c r="A509" s="90"/>
      <c r="B509" s="90"/>
      <c r="C509" s="91"/>
      <c r="D509" s="90"/>
      <c r="E509" s="91"/>
    </row>
    <row r="510">
      <c r="A510" s="90"/>
      <c r="B510" s="90"/>
      <c r="C510" s="91"/>
      <c r="D510" s="90"/>
      <c r="E510" s="91"/>
    </row>
    <row r="511">
      <c r="A511" s="90"/>
      <c r="B511" s="90"/>
      <c r="C511" s="91"/>
      <c r="D511" s="90"/>
      <c r="E511" s="91"/>
    </row>
    <row r="512">
      <c r="A512" s="90"/>
      <c r="B512" s="90"/>
      <c r="C512" s="91"/>
      <c r="D512" s="90"/>
      <c r="E512" s="91"/>
    </row>
    <row r="513">
      <c r="A513" s="90"/>
      <c r="B513" s="90"/>
      <c r="C513" s="91"/>
      <c r="D513" s="90"/>
      <c r="E513" s="91"/>
    </row>
    <row r="514">
      <c r="A514" s="90"/>
      <c r="B514" s="90"/>
      <c r="C514" s="91"/>
      <c r="D514" s="90"/>
      <c r="E514" s="91"/>
    </row>
    <row r="515">
      <c r="A515" s="90"/>
      <c r="B515" s="90"/>
      <c r="C515" s="91"/>
      <c r="D515" s="90"/>
      <c r="E515" s="91"/>
    </row>
    <row r="516">
      <c r="A516" s="90"/>
      <c r="B516" s="90"/>
      <c r="C516" s="91"/>
      <c r="D516" s="90"/>
      <c r="E516" s="91"/>
    </row>
    <row r="517">
      <c r="A517" s="90"/>
      <c r="B517" s="90"/>
      <c r="C517" s="91"/>
      <c r="D517" s="90"/>
      <c r="E517" s="91"/>
    </row>
    <row r="518">
      <c r="A518" s="90"/>
      <c r="B518" s="90"/>
      <c r="C518" s="91"/>
      <c r="D518" s="90"/>
      <c r="E518" s="91"/>
    </row>
    <row r="519">
      <c r="A519" s="90"/>
      <c r="B519" s="90"/>
      <c r="C519" s="91"/>
      <c r="D519" s="90"/>
      <c r="E519" s="91"/>
    </row>
    <row r="520">
      <c r="A520" s="90"/>
      <c r="B520" s="90"/>
      <c r="C520" s="91"/>
      <c r="D520" s="90"/>
      <c r="E520" s="91"/>
    </row>
    <row r="521">
      <c r="A521" s="90"/>
      <c r="B521" s="90"/>
      <c r="C521" s="91"/>
      <c r="D521" s="90"/>
      <c r="E521" s="91"/>
    </row>
    <row r="522">
      <c r="A522" s="90"/>
      <c r="B522" s="90"/>
      <c r="C522" s="91"/>
      <c r="D522" s="90"/>
      <c r="E522" s="91"/>
    </row>
    <row r="523">
      <c r="A523" s="90"/>
      <c r="B523" s="90"/>
      <c r="C523" s="91"/>
      <c r="D523" s="90"/>
      <c r="E523" s="91"/>
    </row>
    <row r="524">
      <c r="A524" s="90"/>
      <c r="B524" s="90"/>
      <c r="C524" s="91"/>
      <c r="D524" s="90"/>
      <c r="E524" s="91"/>
    </row>
    <row r="525">
      <c r="A525" s="90"/>
      <c r="B525" s="90"/>
      <c r="C525" s="91"/>
      <c r="D525" s="90"/>
      <c r="E525" s="91"/>
    </row>
    <row r="526">
      <c r="A526" s="90"/>
      <c r="B526" s="90"/>
      <c r="C526" s="91"/>
      <c r="D526" s="90"/>
      <c r="E526" s="91"/>
    </row>
    <row r="527">
      <c r="A527" s="90"/>
      <c r="B527" s="90"/>
      <c r="C527" s="91"/>
      <c r="D527" s="90"/>
      <c r="E527" s="91"/>
    </row>
    <row r="528">
      <c r="A528" s="90"/>
      <c r="B528" s="90"/>
      <c r="C528" s="91"/>
      <c r="D528" s="90"/>
      <c r="E528" s="91"/>
    </row>
    <row r="529">
      <c r="A529" s="90"/>
      <c r="B529" s="90"/>
      <c r="C529" s="91"/>
      <c r="D529" s="90"/>
      <c r="E529" s="91"/>
    </row>
    <row r="530">
      <c r="A530" s="90"/>
      <c r="B530" s="90"/>
      <c r="C530" s="91"/>
      <c r="D530" s="90"/>
      <c r="E530" s="91"/>
    </row>
    <row r="531">
      <c r="A531" s="90"/>
      <c r="B531" s="90"/>
      <c r="C531" s="91"/>
      <c r="D531" s="90"/>
      <c r="E531" s="91"/>
    </row>
    <row r="532">
      <c r="A532" s="90"/>
      <c r="B532" s="90"/>
      <c r="C532" s="91"/>
      <c r="D532" s="90"/>
      <c r="E532" s="91"/>
    </row>
    <row r="533">
      <c r="A533" s="90"/>
      <c r="B533" s="90"/>
      <c r="C533" s="91"/>
      <c r="D533" s="90"/>
      <c r="E533" s="91"/>
    </row>
    <row r="534">
      <c r="A534" s="90"/>
      <c r="B534" s="90"/>
      <c r="C534" s="91"/>
      <c r="D534" s="90"/>
      <c r="E534" s="91"/>
    </row>
    <row r="535">
      <c r="A535" s="90"/>
      <c r="B535" s="90"/>
      <c r="C535" s="91"/>
      <c r="D535" s="90"/>
      <c r="E535" s="91"/>
    </row>
    <row r="536">
      <c r="A536" s="90"/>
      <c r="B536" s="90"/>
      <c r="C536" s="91"/>
      <c r="D536" s="90"/>
      <c r="E536" s="91"/>
    </row>
    <row r="537">
      <c r="A537" s="90"/>
      <c r="B537" s="90"/>
      <c r="C537" s="91"/>
      <c r="D537" s="90"/>
      <c r="E537" s="91"/>
    </row>
    <row r="538">
      <c r="A538" s="90"/>
      <c r="B538" s="90"/>
      <c r="C538" s="91"/>
      <c r="D538" s="90"/>
      <c r="E538" s="91"/>
    </row>
    <row r="539">
      <c r="A539" s="90"/>
      <c r="B539" s="90"/>
      <c r="C539" s="91"/>
      <c r="D539" s="90"/>
      <c r="E539" s="91"/>
    </row>
    <row r="540">
      <c r="A540" s="90"/>
      <c r="B540" s="90"/>
      <c r="C540" s="91"/>
      <c r="D540" s="90"/>
      <c r="E540" s="91"/>
    </row>
    <row r="541">
      <c r="A541" s="90"/>
      <c r="B541" s="90"/>
      <c r="C541" s="91"/>
      <c r="D541" s="90"/>
      <c r="E541" s="91"/>
    </row>
    <row r="542">
      <c r="A542" s="90"/>
      <c r="B542" s="90"/>
      <c r="C542" s="91"/>
      <c r="D542" s="90"/>
      <c r="E542" s="91"/>
    </row>
    <row r="543">
      <c r="A543" s="90"/>
      <c r="B543" s="90"/>
      <c r="C543" s="91"/>
      <c r="D543" s="90"/>
      <c r="E543" s="91"/>
    </row>
    <row r="544">
      <c r="A544" s="90"/>
      <c r="B544" s="90"/>
      <c r="C544" s="91"/>
      <c r="D544" s="90"/>
      <c r="E544" s="91"/>
    </row>
    <row r="545">
      <c r="A545" s="90"/>
      <c r="B545" s="90"/>
      <c r="C545" s="91"/>
      <c r="D545" s="90"/>
      <c r="E545" s="91"/>
    </row>
    <row r="546">
      <c r="A546" s="90"/>
      <c r="B546" s="90"/>
      <c r="C546" s="91"/>
      <c r="D546" s="90"/>
      <c r="E546" s="91"/>
    </row>
    <row r="547">
      <c r="A547" s="90"/>
      <c r="B547" s="90"/>
      <c r="C547" s="91"/>
      <c r="D547" s="90"/>
      <c r="E547" s="91"/>
    </row>
    <row r="548">
      <c r="A548" s="90"/>
      <c r="B548" s="90"/>
      <c r="C548" s="91"/>
      <c r="D548" s="90"/>
      <c r="E548" s="91"/>
    </row>
    <row r="549">
      <c r="A549" s="90"/>
      <c r="B549" s="90"/>
      <c r="C549" s="91"/>
      <c r="D549" s="90"/>
      <c r="E549" s="91"/>
    </row>
    <row r="550">
      <c r="A550" s="90"/>
      <c r="B550" s="90"/>
      <c r="C550" s="91"/>
      <c r="D550" s="90"/>
      <c r="E550" s="91"/>
    </row>
    <row r="551">
      <c r="A551" s="90"/>
      <c r="B551" s="90"/>
      <c r="C551" s="91"/>
      <c r="D551" s="90"/>
      <c r="E551" s="91"/>
    </row>
    <row r="552">
      <c r="A552" s="90"/>
      <c r="B552" s="90"/>
      <c r="C552" s="91"/>
      <c r="D552" s="90"/>
      <c r="E552" s="91"/>
    </row>
    <row r="553">
      <c r="A553" s="90"/>
      <c r="B553" s="90"/>
      <c r="C553" s="91"/>
      <c r="D553" s="90"/>
      <c r="E553" s="91"/>
    </row>
    <row r="554">
      <c r="A554" s="90"/>
      <c r="B554" s="90"/>
      <c r="C554" s="91"/>
      <c r="D554" s="90"/>
      <c r="E554" s="91"/>
    </row>
    <row r="555">
      <c r="A555" s="90"/>
      <c r="B555" s="90"/>
      <c r="C555" s="91"/>
      <c r="D555" s="90"/>
      <c r="E555" s="91"/>
    </row>
    <row r="556">
      <c r="A556" s="90"/>
      <c r="B556" s="90"/>
      <c r="C556" s="91"/>
      <c r="D556" s="90"/>
      <c r="E556" s="91"/>
    </row>
    <row r="557">
      <c r="A557" s="90"/>
      <c r="B557" s="90"/>
      <c r="C557" s="91"/>
      <c r="D557" s="90"/>
      <c r="E557" s="91"/>
    </row>
    <row r="558">
      <c r="A558" s="90"/>
      <c r="B558" s="90"/>
      <c r="C558" s="91"/>
      <c r="D558" s="90"/>
      <c r="E558" s="91"/>
    </row>
    <row r="559">
      <c r="A559" s="90"/>
      <c r="B559" s="90"/>
      <c r="C559" s="91"/>
      <c r="D559" s="90"/>
      <c r="E559" s="91"/>
    </row>
    <row r="560">
      <c r="A560" s="90"/>
      <c r="B560" s="90"/>
      <c r="C560" s="91"/>
      <c r="D560" s="90"/>
      <c r="E560" s="91"/>
    </row>
    <row r="561">
      <c r="A561" s="90"/>
      <c r="B561" s="90"/>
      <c r="C561" s="91"/>
      <c r="D561" s="90"/>
      <c r="E561" s="91"/>
    </row>
    <row r="562">
      <c r="A562" s="90"/>
      <c r="B562" s="90"/>
      <c r="C562" s="91"/>
      <c r="D562" s="90"/>
      <c r="E562" s="91"/>
    </row>
    <row r="563">
      <c r="A563" s="90"/>
      <c r="B563" s="90"/>
      <c r="C563" s="91"/>
      <c r="D563" s="90"/>
      <c r="E563" s="91"/>
    </row>
    <row r="564">
      <c r="A564" s="90"/>
      <c r="B564" s="90"/>
      <c r="C564" s="91"/>
      <c r="D564" s="90"/>
      <c r="E564" s="91"/>
    </row>
    <row r="565">
      <c r="A565" s="90"/>
      <c r="B565" s="90"/>
      <c r="C565" s="91"/>
      <c r="D565" s="90"/>
      <c r="E565" s="91"/>
    </row>
    <row r="566">
      <c r="A566" s="90"/>
      <c r="B566" s="90"/>
      <c r="C566" s="91"/>
      <c r="D566" s="90"/>
      <c r="E566" s="91"/>
    </row>
    <row r="567">
      <c r="A567" s="90"/>
      <c r="B567" s="90"/>
      <c r="C567" s="91"/>
      <c r="D567" s="90"/>
      <c r="E567" s="91"/>
    </row>
    <row r="568">
      <c r="A568" s="90"/>
      <c r="B568" s="90"/>
      <c r="C568" s="91"/>
      <c r="D568" s="90"/>
      <c r="E568" s="91"/>
    </row>
    <row r="569">
      <c r="A569" s="90"/>
      <c r="B569" s="90"/>
      <c r="C569" s="91"/>
      <c r="D569" s="90"/>
      <c r="E569" s="91"/>
    </row>
    <row r="570">
      <c r="A570" s="90"/>
      <c r="B570" s="90"/>
      <c r="C570" s="91"/>
      <c r="D570" s="90"/>
      <c r="E570" s="91"/>
    </row>
    <row r="571">
      <c r="A571" s="90"/>
      <c r="B571" s="90"/>
      <c r="C571" s="91"/>
      <c r="D571" s="90"/>
      <c r="E571" s="91"/>
    </row>
    <row r="572">
      <c r="A572" s="90"/>
      <c r="B572" s="90"/>
      <c r="C572" s="91"/>
      <c r="D572" s="90"/>
      <c r="E572" s="91"/>
    </row>
    <row r="573">
      <c r="A573" s="90"/>
      <c r="B573" s="90"/>
      <c r="C573" s="91"/>
      <c r="D573" s="90"/>
      <c r="E573" s="91"/>
    </row>
    <row r="574">
      <c r="A574" s="90"/>
      <c r="B574" s="90"/>
      <c r="C574" s="91"/>
      <c r="D574" s="90"/>
      <c r="E574" s="91"/>
    </row>
    <row r="575">
      <c r="A575" s="90"/>
      <c r="B575" s="90"/>
      <c r="C575" s="91"/>
      <c r="D575" s="90"/>
      <c r="E575" s="91"/>
    </row>
    <row r="576">
      <c r="A576" s="90"/>
      <c r="B576" s="90"/>
      <c r="C576" s="91"/>
      <c r="D576" s="90"/>
      <c r="E576" s="91"/>
    </row>
    <row r="577">
      <c r="A577" s="90"/>
      <c r="B577" s="90"/>
      <c r="C577" s="91"/>
      <c r="D577" s="90"/>
      <c r="E577" s="91"/>
    </row>
    <row r="578">
      <c r="A578" s="90"/>
      <c r="B578" s="90"/>
      <c r="C578" s="91"/>
      <c r="D578" s="90"/>
      <c r="E578" s="91"/>
    </row>
    <row r="579">
      <c r="A579" s="90"/>
      <c r="B579" s="90"/>
      <c r="C579" s="91"/>
      <c r="D579" s="90"/>
      <c r="E579" s="91"/>
    </row>
    <row r="580">
      <c r="A580" s="90"/>
      <c r="B580" s="90"/>
      <c r="C580" s="91"/>
      <c r="D580" s="90"/>
      <c r="E580" s="91"/>
    </row>
    <row r="581">
      <c r="A581" s="90"/>
      <c r="B581" s="90"/>
      <c r="C581" s="91"/>
      <c r="D581" s="90"/>
      <c r="E581" s="91"/>
    </row>
    <row r="582">
      <c r="A582" s="90"/>
      <c r="B582" s="90"/>
      <c r="C582" s="91"/>
      <c r="D582" s="90"/>
      <c r="E582" s="91"/>
    </row>
    <row r="583">
      <c r="A583" s="90"/>
      <c r="B583" s="90"/>
      <c r="C583" s="91"/>
      <c r="D583" s="90"/>
      <c r="E583" s="91"/>
    </row>
    <row r="584">
      <c r="A584" s="90"/>
      <c r="B584" s="90"/>
      <c r="C584" s="91"/>
      <c r="D584" s="90"/>
      <c r="E584" s="91"/>
    </row>
    <row r="585">
      <c r="A585" s="90"/>
      <c r="B585" s="90"/>
      <c r="C585" s="91"/>
      <c r="D585" s="90"/>
      <c r="E585" s="91"/>
    </row>
    <row r="586">
      <c r="A586" s="90"/>
      <c r="B586" s="90"/>
      <c r="C586" s="91"/>
      <c r="D586" s="90"/>
      <c r="E586" s="91"/>
    </row>
    <row r="587">
      <c r="A587" s="90"/>
      <c r="B587" s="90"/>
      <c r="C587" s="91"/>
      <c r="D587" s="90"/>
      <c r="E587" s="91"/>
    </row>
    <row r="588">
      <c r="A588" s="90"/>
      <c r="B588" s="90"/>
      <c r="C588" s="91"/>
      <c r="D588" s="90"/>
      <c r="E588" s="91"/>
    </row>
    <row r="589">
      <c r="A589" s="90"/>
      <c r="B589" s="90"/>
      <c r="C589" s="91"/>
      <c r="D589" s="90"/>
      <c r="E589" s="91"/>
    </row>
    <row r="590">
      <c r="A590" s="90"/>
      <c r="B590" s="90"/>
      <c r="C590" s="91"/>
      <c r="D590" s="90"/>
      <c r="E590" s="91"/>
    </row>
    <row r="591">
      <c r="A591" s="90"/>
      <c r="B591" s="90"/>
      <c r="C591" s="91"/>
      <c r="D591" s="90"/>
      <c r="E591" s="91"/>
    </row>
    <row r="592">
      <c r="A592" s="90"/>
      <c r="B592" s="90"/>
      <c r="C592" s="91"/>
      <c r="D592" s="90"/>
      <c r="E592" s="91"/>
    </row>
    <row r="593">
      <c r="A593" s="90"/>
      <c r="B593" s="90"/>
      <c r="C593" s="91"/>
      <c r="D593" s="90"/>
      <c r="E593" s="91"/>
    </row>
    <row r="594">
      <c r="A594" s="90"/>
      <c r="B594" s="90"/>
      <c r="C594" s="91"/>
      <c r="D594" s="90"/>
      <c r="E594" s="91"/>
    </row>
    <row r="595">
      <c r="A595" s="90"/>
      <c r="B595" s="90"/>
      <c r="C595" s="91"/>
      <c r="D595" s="90"/>
      <c r="E595" s="91"/>
    </row>
    <row r="596">
      <c r="A596" s="90"/>
      <c r="B596" s="90"/>
      <c r="C596" s="91"/>
      <c r="D596" s="90"/>
      <c r="E596" s="91"/>
    </row>
    <row r="597">
      <c r="A597" s="90"/>
      <c r="B597" s="90"/>
      <c r="C597" s="91"/>
      <c r="D597" s="90"/>
      <c r="E597" s="91"/>
    </row>
    <row r="598">
      <c r="A598" s="90"/>
      <c r="B598" s="90"/>
      <c r="C598" s="91"/>
      <c r="D598" s="90"/>
      <c r="E598" s="91"/>
    </row>
    <row r="599">
      <c r="A599" s="90"/>
      <c r="B599" s="90"/>
      <c r="C599" s="91"/>
      <c r="D599" s="90"/>
      <c r="E599" s="91"/>
    </row>
    <row r="600">
      <c r="A600" s="90"/>
      <c r="B600" s="90"/>
      <c r="C600" s="91"/>
      <c r="D600" s="90"/>
      <c r="E600" s="91"/>
    </row>
    <row r="601">
      <c r="A601" s="90"/>
      <c r="B601" s="90"/>
      <c r="C601" s="91"/>
      <c r="D601" s="90"/>
      <c r="E601" s="91"/>
    </row>
    <row r="602">
      <c r="A602" s="90"/>
      <c r="B602" s="90"/>
      <c r="C602" s="91"/>
      <c r="D602" s="90"/>
      <c r="E602" s="91"/>
    </row>
    <row r="603">
      <c r="A603" s="90"/>
      <c r="B603" s="90"/>
      <c r="C603" s="91"/>
      <c r="D603" s="90"/>
      <c r="E603" s="91"/>
    </row>
    <row r="604">
      <c r="A604" s="90"/>
      <c r="B604" s="90"/>
      <c r="C604" s="91"/>
      <c r="D604" s="90"/>
      <c r="E604" s="91"/>
    </row>
    <row r="605">
      <c r="A605" s="90"/>
      <c r="B605" s="90"/>
      <c r="C605" s="91"/>
      <c r="D605" s="90"/>
      <c r="E605" s="91"/>
    </row>
    <row r="606">
      <c r="A606" s="90"/>
      <c r="B606" s="90"/>
      <c r="C606" s="91"/>
      <c r="D606" s="90"/>
      <c r="E606" s="91"/>
    </row>
    <row r="607">
      <c r="A607" s="90"/>
      <c r="B607" s="90"/>
      <c r="C607" s="91"/>
      <c r="D607" s="90"/>
      <c r="E607" s="91"/>
    </row>
    <row r="608">
      <c r="A608" s="90"/>
      <c r="B608" s="90"/>
      <c r="C608" s="91"/>
      <c r="D608" s="90"/>
      <c r="E608" s="91"/>
    </row>
    <row r="609">
      <c r="A609" s="90"/>
      <c r="B609" s="90"/>
      <c r="C609" s="91"/>
      <c r="D609" s="90"/>
      <c r="E609" s="91"/>
    </row>
    <row r="610">
      <c r="A610" s="90"/>
      <c r="B610" s="90"/>
      <c r="C610" s="91"/>
      <c r="D610" s="90"/>
      <c r="E610" s="91"/>
    </row>
    <row r="611">
      <c r="A611" s="90"/>
      <c r="B611" s="90"/>
      <c r="C611" s="91"/>
      <c r="D611" s="90"/>
      <c r="E611" s="91"/>
    </row>
    <row r="612">
      <c r="A612" s="90"/>
      <c r="B612" s="90"/>
      <c r="C612" s="91"/>
      <c r="D612" s="90"/>
      <c r="E612" s="91"/>
    </row>
    <row r="613">
      <c r="A613" s="90"/>
      <c r="B613" s="90"/>
      <c r="C613" s="91"/>
      <c r="D613" s="90"/>
      <c r="E613" s="91"/>
    </row>
    <row r="614">
      <c r="A614" s="90"/>
      <c r="B614" s="90"/>
      <c r="C614" s="91"/>
      <c r="D614" s="90"/>
      <c r="E614" s="91"/>
    </row>
    <row r="615">
      <c r="A615" s="90"/>
      <c r="B615" s="90"/>
      <c r="C615" s="91"/>
      <c r="D615" s="90"/>
      <c r="E615" s="91"/>
    </row>
    <row r="616">
      <c r="A616" s="90"/>
      <c r="B616" s="90"/>
      <c r="C616" s="91"/>
      <c r="D616" s="90"/>
      <c r="E616" s="91"/>
    </row>
    <row r="617">
      <c r="A617" s="90"/>
      <c r="B617" s="90"/>
      <c r="C617" s="91"/>
      <c r="D617" s="90"/>
      <c r="E617" s="91"/>
    </row>
    <row r="618">
      <c r="A618" s="90"/>
      <c r="B618" s="90"/>
      <c r="C618" s="91"/>
      <c r="D618" s="90"/>
      <c r="E618" s="91"/>
    </row>
    <row r="619">
      <c r="A619" s="90"/>
      <c r="B619" s="90"/>
      <c r="C619" s="91"/>
      <c r="D619" s="90"/>
      <c r="E619" s="91"/>
    </row>
    <row r="620">
      <c r="A620" s="90"/>
      <c r="B620" s="90"/>
      <c r="C620" s="91"/>
      <c r="D620" s="90"/>
      <c r="E620" s="91"/>
    </row>
    <row r="621">
      <c r="A621" s="90"/>
      <c r="B621" s="90"/>
      <c r="C621" s="91"/>
      <c r="D621" s="90"/>
      <c r="E621" s="91"/>
    </row>
    <row r="622">
      <c r="A622" s="90"/>
      <c r="B622" s="90"/>
      <c r="C622" s="91"/>
      <c r="D622" s="90"/>
      <c r="E622" s="91"/>
    </row>
    <row r="623">
      <c r="A623" s="90"/>
      <c r="B623" s="90"/>
      <c r="C623" s="91"/>
      <c r="D623" s="90"/>
      <c r="E623" s="91"/>
    </row>
    <row r="624">
      <c r="A624" s="90"/>
      <c r="B624" s="90"/>
      <c r="C624" s="91"/>
      <c r="D624" s="90"/>
      <c r="E624" s="91"/>
    </row>
    <row r="625">
      <c r="A625" s="90"/>
      <c r="B625" s="90"/>
      <c r="C625" s="91"/>
      <c r="D625" s="90"/>
      <c r="E625" s="91"/>
    </row>
    <row r="626">
      <c r="A626" s="90"/>
      <c r="B626" s="90"/>
      <c r="C626" s="91"/>
      <c r="D626" s="90"/>
      <c r="E626" s="91"/>
    </row>
    <row r="627">
      <c r="A627" s="90"/>
      <c r="B627" s="90"/>
      <c r="C627" s="91"/>
      <c r="D627" s="90"/>
      <c r="E627" s="91"/>
    </row>
    <row r="628">
      <c r="A628" s="90"/>
      <c r="B628" s="90"/>
      <c r="C628" s="91"/>
      <c r="D628" s="90"/>
      <c r="E628" s="91"/>
    </row>
    <row r="629">
      <c r="A629" s="90"/>
      <c r="B629" s="90"/>
      <c r="C629" s="91"/>
      <c r="D629" s="90"/>
      <c r="E629" s="91"/>
    </row>
    <row r="630">
      <c r="A630" s="90"/>
      <c r="B630" s="90"/>
      <c r="C630" s="91"/>
      <c r="D630" s="90"/>
      <c r="E630" s="91"/>
    </row>
    <row r="631">
      <c r="A631" s="90"/>
      <c r="B631" s="90"/>
      <c r="C631" s="91"/>
      <c r="D631" s="90"/>
      <c r="E631" s="91"/>
    </row>
    <row r="632">
      <c r="A632" s="90"/>
      <c r="B632" s="90"/>
      <c r="C632" s="91"/>
      <c r="D632" s="90"/>
      <c r="E632" s="91"/>
    </row>
    <row r="633">
      <c r="A633" s="90"/>
      <c r="B633" s="90"/>
      <c r="C633" s="91"/>
      <c r="D633" s="90"/>
      <c r="E633" s="91"/>
    </row>
    <row r="634">
      <c r="A634" s="90"/>
      <c r="B634" s="90"/>
      <c r="C634" s="91"/>
      <c r="D634" s="90"/>
      <c r="E634" s="91"/>
    </row>
    <row r="635">
      <c r="A635" s="90"/>
      <c r="B635" s="90"/>
      <c r="C635" s="91"/>
      <c r="D635" s="90"/>
      <c r="E635" s="91"/>
    </row>
    <row r="636">
      <c r="A636" s="90"/>
      <c r="B636" s="90"/>
      <c r="C636" s="91"/>
      <c r="D636" s="90"/>
      <c r="E636" s="91"/>
    </row>
    <row r="637">
      <c r="A637" s="90"/>
      <c r="B637" s="90"/>
      <c r="C637" s="91"/>
      <c r="D637" s="90"/>
      <c r="E637" s="91"/>
    </row>
    <row r="638">
      <c r="A638" s="90"/>
      <c r="B638" s="90"/>
      <c r="C638" s="91"/>
      <c r="D638" s="90"/>
      <c r="E638" s="91"/>
    </row>
    <row r="639">
      <c r="A639" s="90"/>
      <c r="B639" s="90"/>
      <c r="C639" s="91"/>
      <c r="D639" s="90"/>
      <c r="E639" s="91"/>
    </row>
    <row r="640">
      <c r="A640" s="90"/>
      <c r="B640" s="90"/>
      <c r="C640" s="91"/>
      <c r="D640" s="90"/>
      <c r="E640" s="91"/>
    </row>
    <row r="641">
      <c r="A641" s="90"/>
      <c r="B641" s="90"/>
      <c r="C641" s="91"/>
      <c r="D641" s="90"/>
      <c r="E641" s="91"/>
    </row>
    <row r="642">
      <c r="A642" s="90"/>
      <c r="B642" s="90"/>
      <c r="C642" s="91"/>
      <c r="D642" s="90"/>
      <c r="E642" s="91"/>
    </row>
    <row r="643">
      <c r="A643" s="90"/>
      <c r="B643" s="90"/>
      <c r="C643" s="91"/>
      <c r="D643" s="90"/>
      <c r="E643" s="91"/>
    </row>
    <row r="644">
      <c r="A644" s="90"/>
      <c r="B644" s="90"/>
      <c r="C644" s="91"/>
      <c r="D644" s="90"/>
      <c r="E644" s="91"/>
    </row>
    <row r="645">
      <c r="A645" s="90"/>
      <c r="B645" s="90"/>
      <c r="C645" s="91"/>
      <c r="D645" s="90"/>
      <c r="E645" s="91"/>
    </row>
    <row r="646">
      <c r="A646" s="90"/>
      <c r="B646" s="90"/>
      <c r="C646" s="91"/>
      <c r="D646" s="90"/>
      <c r="E646" s="91"/>
    </row>
    <row r="647">
      <c r="A647" s="90"/>
      <c r="B647" s="90"/>
      <c r="C647" s="91"/>
      <c r="D647" s="90"/>
      <c r="E647" s="91"/>
    </row>
    <row r="648">
      <c r="A648" s="90"/>
      <c r="B648" s="90"/>
      <c r="C648" s="91"/>
      <c r="D648" s="90"/>
      <c r="E648" s="91"/>
    </row>
    <row r="649">
      <c r="A649" s="90"/>
      <c r="B649" s="90"/>
      <c r="C649" s="91"/>
      <c r="D649" s="90"/>
      <c r="E649" s="91"/>
    </row>
    <row r="650">
      <c r="A650" s="90"/>
      <c r="B650" s="90"/>
      <c r="C650" s="91"/>
      <c r="D650" s="90"/>
      <c r="E650" s="91"/>
    </row>
    <row r="651">
      <c r="A651" s="90"/>
      <c r="B651" s="90"/>
      <c r="C651" s="91"/>
      <c r="D651" s="90"/>
      <c r="E651" s="91"/>
    </row>
    <row r="652">
      <c r="A652" s="90"/>
      <c r="B652" s="90"/>
      <c r="C652" s="91"/>
      <c r="D652" s="90"/>
      <c r="E652" s="91"/>
    </row>
    <row r="653">
      <c r="A653" s="90"/>
      <c r="B653" s="90"/>
      <c r="C653" s="91"/>
      <c r="D653" s="90"/>
      <c r="E653" s="91"/>
    </row>
    <row r="654">
      <c r="A654" s="90"/>
      <c r="B654" s="90"/>
      <c r="C654" s="91"/>
      <c r="D654" s="90"/>
      <c r="E654" s="91"/>
    </row>
    <row r="655">
      <c r="A655" s="90"/>
      <c r="B655" s="90"/>
      <c r="C655" s="91"/>
      <c r="D655" s="90"/>
      <c r="E655" s="91"/>
    </row>
    <row r="656">
      <c r="A656" s="90"/>
      <c r="B656" s="90"/>
      <c r="C656" s="91"/>
      <c r="D656" s="90"/>
      <c r="E656" s="91"/>
    </row>
    <row r="657">
      <c r="A657" s="90"/>
      <c r="B657" s="90"/>
      <c r="C657" s="91"/>
      <c r="D657" s="90"/>
      <c r="E657" s="91"/>
    </row>
    <row r="658">
      <c r="A658" s="90"/>
      <c r="B658" s="90"/>
      <c r="C658" s="91"/>
      <c r="D658" s="90"/>
      <c r="E658" s="91"/>
    </row>
    <row r="659">
      <c r="A659" s="90"/>
      <c r="B659" s="90"/>
      <c r="C659" s="91"/>
      <c r="D659" s="90"/>
      <c r="E659" s="91"/>
    </row>
    <row r="660">
      <c r="A660" s="90"/>
      <c r="B660" s="90"/>
      <c r="C660" s="91"/>
      <c r="D660" s="90"/>
      <c r="E660" s="91"/>
    </row>
    <row r="661">
      <c r="A661" s="90"/>
      <c r="B661" s="90"/>
      <c r="C661" s="91"/>
      <c r="D661" s="90"/>
      <c r="E661" s="91"/>
    </row>
    <row r="662">
      <c r="A662" s="90"/>
      <c r="B662" s="90"/>
      <c r="C662" s="91"/>
      <c r="D662" s="90"/>
      <c r="E662" s="91"/>
    </row>
    <row r="663">
      <c r="A663" s="90"/>
      <c r="B663" s="90"/>
      <c r="C663" s="91"/>
      <c r="D663" s="90"/>
      <c r="E663" s="91"/>
    </row>
    <row r="664">
      <c r="A664" s="90"/>
      <c r="B664" s="90"/>
      <c r="C664" s="91"/>
      <c r="D664" s="90"/>
      <c r="E664" s="91"/>
    </row>
    <row r="665">
      <c r="A665" s="90"/>
      <c r="B665" s="90"/>
      <c r="C665" s="91"/>
      <c r="D665" s="90"/>
      <c r="E665" s="91"/>
    </row>
    <row r="666">
      <c r="A666" s="90"/>
      <c r="B666" s="90"/>
      <c r="C666" s="91"/>
      <c r="D666" s="90"/>
      <c r="E666" s="91"/>
    </row>
    <row r="667">
      <c r="A667" s="90"/>
      <c r="B667" s="90"/>
      <c r="C667" s="91"/>
      <c r="D667" s="90"/>
      <c r="E667" s="91"/>
    </row>
    <row r="668">
      <c r="A668" s="90"/>
      <c r="B668" s="90"/>
      <c r="C668" s="91"/>
      <c r="D668" s="90"/>
      <c r="E668" s="91"/>
    </row>
    <row r="669">
      <c r="A669" s="90"/>
      <c r="B669" s="90"/>
      <c r="C669" s="91"/>
      <c r="D669" s="90"/>
      <c r="E669" s="91"/>
    </row>
    <row r="670">
      <c r="A670" s="90"/>
      <c r="B670" s="90"/>
      <c r="C670" s="91"/>
      <c r="D670" s="90"/>
      <c r="E670" s="91"/>
    </row>
    <row r="671">
      <c r="A671" s="90"/>
      <c r="B671" s="90"/>
      <c r="C671" s="91"/>
      <c r="D671" s="90"/>
      <c r="E671" s="91"/>
    </row>
    <row r="672">
      <c r="A672" s="90"/>
      <c r="B672" s="90"/>
      <c r="C672" s="91"/>
      <c r="D672" s="90"/>
      <c r="E672" s="91"/>
    </row>
    <row r="673">
      <c r="A673" s="90"/>
      <c r="B673" s="90"/>
      <c r="C673" s="91"/>
      <c r="D673" s="90"/>
      <c r="E673" s="91"/>
    </row>
    <row r="674">
      <c r="A674" s="90"/>
      <c r="B674" s="90"/>
      <c r="C674" s="91"/>
      <c r="D674" s="90"/>
      <c r="E674" s="91"/>
    </row>
    <row r="675">
      <c r="A675" s="90"/>
      <c r="B675" s="90"/>
      <c r="C675" s="91"/>
      <c r="D675" s="90"/>
      <c r="E675" s="91"/>
    </row>
    <row r="676">
      <c r="A676" s="90"/>
      <c r="B676" s="90"/>
      <c r="C676" s="91"/>
      <c r="D676" s="90"/>
      <c r="E676" s="91"/>
    </row>
    <row r="677">
      <c r="A677" s="90"/>
      <c r="B677" s="90"/>
      <c r="C677" s="91"/>
      <c r="D677" s="90"/>
      <c r="E677" s="91"/>
    </row>
    <row r="678">
      <c r="A678" s="90"/>
      <c r="B678" s="90"/>
      <c r="C678" s="91"/>
      <c r="D678" s="90"/>
      <c r="E678" s="91"/>
    </row>
    <row r="679">
      <c r="A679" s="90"/>
      <c r="B679" s="90"/>
      <c r="C679" s="91"/>
      <c r="D679" s="90"/>
      <c r="E679" s="91"/>
    </row>
    <row r="680">
      <c r="A680" s="90"/>
      <c r="B680" s="90"/>
      <c r="C680" s="91"/>
      <c r="D680" s="90"/>
      <c r="E680" s="91"/>
    </row>
    <row r="681">
      <c r="A681" s="90"/>
      <c r="B681" s="90"/>
      <c r="C681" s="91"/>
      <c r="D681" s="90"/>
      <c r="E681" s="91"/>
    </row>
    <row r="682">
      <c r="A682" s="90"/>
      <c r="B682" s="90"/>
      <c r="C682" s="91"/>
      <c r="D682" s="90"/>
      <c r="E682" s="91"/>
    </row>
    <row r="683">
      <c r="A683" s="90"/>
      <c r="B683" s="90"/>
      <c r="C683" s="91"/>
      <c r="D683" s="90"/>
      <c r="E683" s="91"/>
    </row>
    <row r="684">
      <c r="A684" s="90"/>
      <c r="B684" s="90"/>
      <c r="C684" s="91"/>
      <c r="D684" s="90"/>
      <c r="E684" s="91"/>
    </row>
    <row r="685">
      <c r="A685" s="90"/>
      <c r="B685" s="90"/>
      <c r="C685" s="91"/>
      <c r="D685" s="90"/>
      <c r="E685" s="91"/>
    </row>
    <row r="686">
      <c r="A686" s="90"/>
      <c r="B686" s="90"/>
      <c r="C686" s="91"/>
      <c r="D686" s="90"/>
      <c r="E686" s="91"/>
    </row>
    <row r="687">
      <c r="A687" s="90"/>
      <c r="B687" s="90"/>
      <c r="C687" s="91"/>
      <c r="D687" s="90"/>
      <c r="E687" s="91"/>
    </row>
    <row r="688">
      <c r="A688" s="90"/>
      <c r="B688" s="90"/>
      <c r="C688" s="91"/>
      <c r="D688" s="90"/>
      <c r="E688" s="91"/>
    </row>
    <row r="689">
      <c r="A689" s="90"/>
      <c r="B689" s="90"/>
      <c r="C689" s="91"/>
      <c r="D689" s="90"/>
      <c r="E689" s="91"/>
    </row>
    <row r="690">
      <c r="A690" s="90"/>
      <c r="B690" s="90"/>
      <c r="C690" s="91"/>
      <c r="D690" s="90"/>
      <c r="E690" s="91"/>
    </row>
    <row r="691">
      <c r="A691" s="90"/>
      <c r="B691" s="90"/>
      <c r="C691" s="91"/>
      <c r="D691" s="90"/>
      <c r="E691" s="91"/>
    </row>
    <row r="692">
      <c r="A692" s="90"/>
      <c r="B692" s="90"/>
      <c r="C692" s="91"/>
      <c r="D692" s="90"/>
      <c r="E692" s="91"/>
    </row>
    <row r="693">
      <c r="A693" s="90"/>
      <c r="B693" s="90"/>
      <c r="C693" s="91"/>
      <c r="D693" s="90"/>
      <c r="E693" s="91"/>
    </row>
    <row r="694">
      <c r="A694" s="90"/>
      <c r="B694" s="90"/>
      <c r="C694" s="91"/>
      <c r="D694" s="90"/>
      <c r="E694" s="91"/>
    </row>
    <row r="695">
      <c r="A695" s="90"/>
      <c r="B695" s="90"/>
      <c r="C695" s="91"/>
      <c r="D695" s="90"/>
      <c r="E695" s="91"/>
    </row>
    <row r="696">
      <c r="A696" s="90"/>
      <c r="B696" s="90"/>
      <c r="C696" s="91"/>
      <c r="D696" s="90"/>
      <c r="E696" s="91"/>
    </row>
    <row r="697">
      <c r="A697" s="90"/>
      <c r="B697" s="90"/>
      <c r="C697" s="91"/>
      <c r="D697" s="90"/>
      <c r="E697" s="91"/>
    </row>
    <row r="698">
      <c r="A698" s="90"/>
      <c r="B698" s="90"/>
      <c r="C698" s="91"/>
      <c r="D698" s="90"/>
      <c r="E698" s="91"/>
    </row>
    <row r="699">
      <c r="A699" s="90"/>
      <c r="B699" s="90"/>
      <c r="C699" s="91"/>
      <c r="D699" s="90"/>
      <c r="E699" s="91"/>
    </row>
    <row r="700">
      <c r="A700" s="90"/>
      <c r="B700" s="90"/>
      <c r="C700" s="91"/>
      <c r="D700" s="90"/>
      <c r="E700" s="91"/>
    </row>
    <row r="701">
      <c r="A701" s="90"/>
      <c r="B701" s="90"/>
      <c r="C701" s="91"/>
      <c r="D701" s="90"/>
      <c r="E701" s="91"/>
    </row>
    <row r="702">
      <c r="A702" s="90"/>
      <c r="B702" s="90"/>
      <c r="C702" s="91"/>
      <c r="D702" s="90"/>
      <c r="E702" s="91"/>
    </row>
    <row r="703">
      <c r="A703" s="90"/>
      <c r="B703" s="90"/>
      <c r="C703" s="91"/>
      <c r="D703" s="90"/>
      <c r="E703" s="91"/>
    </row>
    <row r="704">
      <c r="A704" s="90"/>
      <c r="B704" s="90"/>
      <c r="C704" s="91"/>
      <c r="D704" s="90"/>
      <c r="E704" s="91"/>
    </row>
    <row r="705">
      <c r="A705" s="90"/>
      <c r="B705" s="90"/>
      <c r="C705" s="91"/>
      <c r="D705" s="90"/>
      <c r="E705" s="91"/>
    </row>
    <row r="706">
      <c r="A706" s="90"/>
      <c r="B706" s="90"/>
      <c r="C706" s="91"/>
      <c r="D706" s="90"/>
      <c r="E706" s="91"/>
    </row>
    <row r="707">
      <c r="A707" s="90"/>
      <c r="B707" s="90"/>
      <c r="C707" s="91"/>
      <c r="D707" s="90"/>
      <c r="E707" s="91"/>
    </row>
    <row r="708">
      <c r="A708" s="90"/>
      <c r="B708" s="90"/>
      <c r="C708" s="91"/>
      <c r="D708" s="90"/>
      <c r="E708" s="91"/>
    </row>
    <row r="709">
      <c r="A709" s="90"/>
      <c r="B709" s="90"/>
      <c r="C709" s="91"/>
      <c r="D709" s="90"/>
      <c r="E709" s="91"/>
    </row>
    <row r="710">
      <c r="A710" s="90"/>
      <c r="B710" s="90"/>
      <c r="C710" s="91"/>
      <c r="D710" s="90"/>
      <c r="E710" s="91"/>
    </row>
    <row r="711">
      <c r="A711" s="90"/>
      <c r="B711" s="90"/>
      <c r="C711" s="91"/>
      <c r="D711" s="90"/>
      <c r="E711" s="91"/>
    </row>
    <row r="712">
      <c r="A712" s="90"/>
      <c r="B712" s="90"/>
      <c r="C712" s="91"/>
      <c r="D712" s="90"/>
      <c r="E712" s="91"/>
    </row>
    <row r="713">
      <c r="A713" s="90"/>
      <c r="B713" s="90"/>
      <c r="C713" s="91"/>
      <c r="D713" s="90"/>
      <c r="E713" s="91"/>
    </row>
    <row r="714">
      <c r="A714" s="90"/>
      <c r="B714" s="90"/>
      <c r="C714" s="91"/>
      <c r="D714" s="90"/>
      <c r="E714" s="91"/>
    </row>
    <row r="715">
      <c r="A715" s="90"/>
      <c r="B715" s="90"/>
      <c r="C715" s="91"/>
      <c r="D715" s="90"/>
      <c r="E715" s="91"/>
    </row>
    <row r="716">
      <c r="A716" s="90"/>
      <c r="B716" s="90"/>
      <c r="C716" s="91"/>
      <c r="D716" s="90"/>
      <c r="E716" s="91"/>
    </row>
    <row r="717">
      <c r="A717" s="90"/>
      <c r="B717" s="90"/>
      <c r="C717" s="91"/>
      <c r="D717" s="90"/>
      <c r="E717" s="91"/>
    </row>
    <row r="718">
      <c r="A718" s="90"/>
      <c r="B718" s="90"/>
      <c r="C718" s="91"/>
      <c r="D718" s="90"/>
      <c r="E718" s="91"/>
    </row>
    <row r="719">
      <c r="A719" s="90"/>
      <c r="B719" s="90"/>
      <c r="C719" s="91"/>
      <c r="D719" s="90"/>
      <c r="E719" s="91"/>
    </row>
    <row r="720">
      <c r="A720" s="90"/>
      <c r="B720" s="90"/>
      <c r="C720" s="91"/>
      <c r="D720" s="90"/>
      <c r="E720" s="91"/>
    </row>
    <row r="721">
      <c r="A721" s="90"/>
      <c r="B721" s="90"/>
      <c r="C721" s="91"/>
      <c r="D721" s="90"/>
      <c r="E721" s="91"/>
    </row>
    <row r="722">
      <c r="A722" s="90"/>
      <c r="B722" s="90"/>
      <c r="C722" s="91"/>
      <c r="D722" s="90"/>
      <c r="E722" s="91"/>
    </row>
    <row r="723">
      <c r="A723" s="90"/>
      <c r="B723" s="90"/>
      <c r="C723" s="91"/>
      <c r="D723" s="90"/>
      <c r="E723" s="91"/>
    </row>
    <row r="724">
      <c r="A724" s="90"/>
      <c r="B724" s="90"/>
      <c r="C724" s="91"/>
      <c r="D724" s="90"/>
      <c r="E724" s="91"/>
    </row>
    <row r="725">
      <c r="A725" s="90"/>
      <c r="B725" s="90"/>
      <c r="C725" s="91"/>
      <c r="D725" s="90"/>
      <c r="E725" s="91"/>
    </row>
    <row r="726">
      <c r="A726" s="90"/>
      <c r="B726" s="90"/>
      <c r="C726" s="91"/>
      <c r="D726" s="90"/>
      <c r="E726" s="91"/>
    </row>
    <row r="727">
      <c r="A727" s="90"/>
      <c r="B727" s="90"/>
      <c r="C727" s="91"/>
      <c r="D727" s="90"/>
      <c r="E727" s="91"/>
    </row>
    <row r="728">
      <c r="A728" s="90"/>
      <c r="B728" s="90"/>
      <c r="C728" s="91"/>
      <c r="D728" s="90"/>
      <c r="E728" s="91"/>
    </row>
    <row r="729">
      <c r="A729" s="90"/>
      <c r="B729" s="90"/>
      <c r="C729" s="91"/>
      <c r="D729" s="90"/>
      <c r="E729" s="91"/>
    </row>
    <row r="730">
      <c r="A730" s="90"/>
      <c r="B730" s="90"/>
      <c r="C730" s="91"/>
      <c r="D730" s="90"/>
      <c r="E730" s="91"/>
    </row>
    <row r="731">
      <c r="A731" s="90"/>
      <c r="B731" s="90"/>
      <c r="C731" s="91"/>
      <c r="D731" s="90"/>
      <c r="E731" s="91"/>
    </row>
    <row r="732">
      <c r="A732" s="90"/>
      <c r="B732" s="90"/>
      <c r="C732" s="91"/>
      <c r="D732" s="90"/>
      <c r="E732" s="91"/>
    </row>
    <row r="733">
      <c r="A733" s="90"/>
      <c r="B733" s="90"/>
      <c r="C733" s="91"/>
      <c r="D733" s="90"/>
      <c r="E733" s="91"/>
    </row>
    <row r="734">
      <c r="A734" s="90"/>
      <c r="B734" s="90"/>
      <c r="C734" s="91"/>
      <c r="D734" s="90"/>
      <c r="E734" s="91"/>
    </row>
    <row r="735">
      <c r="A735" s="90"/>
      <c r="B735" s="90"/>
      <c r="C735" s="91"/>
      <c r="D735" s="90"/>
      <c r="E735" s="91"/>
    </row>
    <row r="736">
      <c r="A736" s="90"/>
      <c r="B736" s="90"/>
      <c r="C736" s="91"/>
      <c r="D736" s="90"/>
      <c r="E736" s="91"/>
    </row>
    <row r="737">
      <c r="A737" s="90"/>
      <c r="B737" s="90"/>
      <c r="C737" s="91"/>
      <c r="D737" s="90"/>
      <c r="E737" s="91"/>
    </row>
    <row r="738">
      <c r="A738" s="90"/>
      <c r="B738" s="90"/>
      <c r="C738" s="91"/>
      <c r="D738" s="90"/>
      <c r="E738" s="91"/>
    </row>
    <row r="739">
      <c r="A739" s="90"/>
      <c r="B739" s="90"/>
      <c r="C739" s="91"/>
      <c r="D739" s="90"/>
      <c r="E739" s="91"/>
    </row>
    <row r="740">
      <c r="A740" s="90"/>
      <c r="B740" s="90"/>
      <c r="C740" s="91"/>
      <c r="D740" s="90"/>
      <c r="E740" s="91"/>
    </row>
    <row r="741">
      <c r="A741" s="90"/>
      <c r="B741" s="90"/>
      <c r="C741" s="91"/>
      <c r="D741" s="90"/>
      <c r="E741" s="91"/>
    </row>
    <row r="742">
      <c r="A742" s="90"/>
      <c r="B742" s="90"/>
      <c r="C742" s="91"/>
      <c r="D742" s="90"/>
      <c r="E742" s="91"/>
    </row>
    <row r="743">
      <c r="A743" s="90"/>
      <c r="B743" s="90"/>
      <c r="C743" s="91"/>
      <c r="D743" s="90"/>
      <c r="E743" s="91"/>
    </row>
    <row r="744">
      <c r="A744" s="90"/>
      <c r="B744" s="90"/>
      <c r="C744" s="91"/>
      <c r="D744" s="90"/>
      <c r="E744" s="91"/>
    </row>
    <row r="745">
      <c r="A745" s="90"/>
      <c r="B745" s="90"/>
      <c r="C745" s="91"/>
      <c r="D745" s="90"/>
      <c r="E745" s="91"/>
    </row>
    <row r="746">
      <c r="A746" s="90"/>
      <c r="B746" s="90"/>
      <c r="C746" s="91"/>
      <c r="D746" s="90"/>
      <c r="E746" s="91"/>
    </row>
    <row r="747">
      <c r="A747" s="90"/>
      <c r="B747" s="90"/>
      <c r="C747" s="91"/>
      <c r="D747" s="90"/>
      <c r="E747" s="91"/>
    </row>
    <row r="748">
      <c r="A748" s="90"/>
      <c r="B748" s="90"/>
      <c r="C748" s="91"/>
      <c r="D748" s="90"/>
      <c r="E748" s="91"/>
    </row>
    <row r="749">
      <c r="A749" s="90"/>
      <c r="B749" s="90"/>
      <c r="C749" s="91"/>
      <c r="D749" s="90"/>
      <c r="E749" s="91"/>
    </row>
    <row r="750">
      <c r="A750" s="90"/>
      <c r="B750" s="90"/>
      <c r="C750" s="91"/>
      <c r="D750" s="90"/>
      <c r="E750" s="91"/>
    </row>
    <row r="751">
      <c r="A751" s="90"/>
      <c r="B751" s="90"/>
      <c r="C751" s="91"/>
      <c r="D751" s="90"/>
      <c r="E751" s="91"/>
    </row>
    <row r="752">
      <c r="A752" s="90"/>
      <c r="B752" s="90"/>
      <c r="C752" s="91"/>
      <c r="D752" s="90"/>
      <c r="E752" s="91"/>
    </row>
    <row r="753">
      <c r="A753" s="90"/>
      <c r="B753" s="90"/>
      <c r="C753" s="91"/>
      <c r="D753" s="90"/>
      <c r="E753" s="91"/>
    </row>
    <row r="754">
      <c r="A754" s="90"/>
      <c r="B754" s="90"/>
      <c r="C754" s="91"/>
      <c r="D754" s="90"/>
      <c r="E754" s="91"/>
    </row>
    <row r="755">
      <c r="A755" s="90"/>
      <c r="B755" s="90"/>
      <c r="C755" s="91"/>
      <c r="D755" s="90"/>
      <c r="E755" s="91"/>
    </row>
    <row r="756">
      <c r="A756" s="90"/>
      <c r="B756" s="90"/>
      <c r="C756" s="91"/>
      <c r="D756" s="90"/>
      <c r="E756" s="91"/>
    </row>
    <row r="757">
      <c r="A757" s="90"/>
      <c r="B757" s="90"/>
      <c r="C757" s="91"/>
      <c r="D757" s="90"/>
      <c r="E757" s="91"/>
    </row>
    <row r="758">
      <c r="A758" s="90"/>
      <c r="B758" s="90"/>
      <c r="C758" s="91"/>
      <c r="D758" s="90"/>
      <c r="E758" s="91"/>
    </row>
    <row r="759">
      <c r="A759" s="90"/>
      <c r="B759" s="90"/>
      <c r="C759" s="91"/>
      <c r="D759" s="90"/>
      <c r="E759" s="91"/>
    </row>
    <row r="760">
      <c r="A760" s="90"/>
      <c r="B760" s="90"/>
      <c r="C760" s="91"/>
      <c r="D760" s="90"/>
      <c r="E760" s="91"/>
    </row>
    <row r="761">
      <c r="A761" s="90"/>
      <c r="B761" s="90"/>
      <c r="C761" s="91"/>
      <c r="D761" s="90"/>
      <c r="E761" s="91"/>
    </row>
    <row r="762">
      <c r="A762" s="90"/>
      <c r="B762" s="90"/>
      <c r="C762" s="91"/>
      <c r="D762" s="90"/>
      <c r="E762" s="91"/>
    </row>
    <row r="763">
      <c r="A763" s="90"/>
      <c r="B763" s="90"/>
      <c r="C763" s="91"/>
      <c r="D763" s="90"/>
      <c r="E763" s="91"/>
    </row>
    <row r="764">
      <c r="A764" s="90"/>
      <c r="B764" s="90"/>
      <c r="C764" s="91"/>
      <c r="D764" s="90"/>
      <c r="E764" s="91"/>
    </row>
    <row r="765">
      <c r="A765" s="90"/>
      <c r="B765" s="90"/>
      <c r="C765" s="91"/>
      <c r="D765" s="90"/>
      <c r="E765" s="91"/>
    </row>
    <row r="766">
      <c r="A766" s="90"/>
      <c r="B766" s="90"/>
      <c r="C766" s="91"/>
      <c r="D766" s="90"/>
      <c r="E766" s="91"/>
    </row>
    <row r="767">
      <c r="A767" s="90"/>
      <c r="B767" s="90"/>
      <c r="C767" s="91"/>
      <c r="D767" s="90"/>
      <c r="E767" s="91"/>
    </row>
    <row r="768">
      <c r="A768" s="90"/>
      <c r="B768" s="90"/>
      <c r="C768" s="91"/>
      <c r="D768" s="90"/>
      <c r="E768" s="91"/>
    </row>
    <row r="769">
      <c r="A769" s="90"/>
      <c r="B769" s="90"/>
      <c r="C769" s="91"/>
      <c r="D769" s="90"/>
      <c r="E769" s="91"/>
    </row>
    <row r="770">
      <c r="A770" s="90"/>
      <c r="B770" s="90"/>
      <c r="C770" s="91"/>
      <c r="D770" s="90"/>
      <c r="E770" s="91"/>
    </row>
    <row r="771">
      <c r="A771" s="90"/>
      <c r="B771" s="90"/>
      <c r="C771" s="91"/>
      <c r="D771" s="90"/>
      <c r="E771" s="91"/>
    </row>
    <row r="772">
      <c r="A772" s="90"/>
      <c r="B772" s="90"/>
      <c r="C772" s="91"/>
      <c r="D772" s="90"/>
      <c r="E772" s="91"/>
    </row>
    <row r="773">
      <c r="A773" s="90"/>
      <c r="B773" s="90"/>
      <c r="C773" s="91"/>
      <c r="D773" s="90"/>
      <c r="E773" s="91"/>
    </row>
    <row r="774">
      <c r="A774" s="90"/>
      <c r="B774" s="90"/>
      <c r="C774" s="91"/>
      <c r="D774" s="90"/>
      <c r="E774" s="91"/>
    </row>
    <row r="775">
      <c r="A775" s="90"/>
      <c r="B775" s="90"/>
      <c r="C775" s="91"/>
      <c r="D775" s="90"/>
      <c r="E775" s="91"/>
    </row>
    <row r="776">
      <c r="A776" s="90"/>
      <c r="B776" s="90"/>
      <c r="C776" s="91"/>
      <c r="D776" s="90"/>
      <c r="E776" s="91"/>
    </row>
    <row r="777">
      <c r="A777" s="90"/>
      <c r="B777" s="90"/>
      <c r="C777" s="91"/>
      <c r="D777" s="90"/>
      <c r="E777" s="91"/>
    </row>
    <row r="778">
      <c r="A778" s="90"/>
      <c r="B778" s="90"/>
      <c r="C778" s="91"/>
      <c r="D778" s="90"/>
      <c r="E778" s="91"/>
    </row>
    <row r="779">
      <c r="A779" s="90"/>
      <c r="B779" s="90"/>
      <c r="C779" s="91"/>
      <c r="D779" s="90"/>
      <c r="E779" s="91"/>
    </row>
    <row r="780">
      <c r="A780" s="90"/>
      <c r="B780" s="90"/>
      <c r="C780" s="91"/>
      <c r="D780" s="90"/>
      <c r="E780" s="91"/>
    </row>
    <row r="781">
      <c r="A781" s="90"/>
      <c r="B781" s="90"/>
      <c r="C781" s="91"/>
      <c r="D781" s="90"/>
      <c r="E781" s="91"/>
    </row>
    <row r="782">
      <c r="A782" s="90"/>
      <c r="B782" s="90"/>
      <c r="C782" s="91"/>
      <c r="D782" s="90"/>
      <c r="E782" s="91"/>
    </row>
    <row r="783">
      <c r="A783" s="90"/>
      <c r="B783" s="90"/>
      <c r="C783" s="91"/>
      <c r="D783" s="90"/>
      <c r="E783" s="91"/>
    </row>
    <row r="784">
      <c r="A784" s="90"/>
      <c r="B784" s="90"/>
      <c r="C784" s="91"/>
      <c r="D784" s="90"/>
      <c r="E784" s="91"/>
    </row>
    <row r="785">
      <c r="A785" s="90"/>
      <c r="B785" s="90"/>
      <c r="C785" s="91"/>
      <c r="D785" s="90"/>
      <c r="E785" s="91"/>
    </row>
    <row r="786">
      <c r="A786" s="90"/>
      <c r="B786" s="90"/>
      <c r="C786" s="91"/>
      <c r="D786" s="90"/>
      <c r="E786" s="91"/>
    </row>
    <row r="787">
      <c r="A787" s="90"/>
      <c r="B787" s="90"/>
      <c r="C787" s="91"/>
      <c r="D787" s="90"/>
      <c r="E787" s="91"/>
    </row>
    <row r="788">
      <c r="A788" s="90"/>
      <c r="B788" s="90"/>
      <c r="C788" s="91"/>
      <c r="D788" s="90"/>
      <c r="E788" s="91"/>
    </row>
    <row r="789">
      <c r="A789" s="90"/>
      <c r="B789" s="90"/>
      <c r="C789" s="91"/>
      <c r="D789" s="90"/>
      <c r="E789" s="91"/>
    </row>
    <row r="790">
      <c r="A790" s="90"/>
      <c r="B790" s="90"/>
      <c r="C790" s="91"/>
      <c r="D790" s="90"/>
      <c r="E790" s="91"/>
    </row>
    <row r="791">
      <c r="A791" s="90"/>
      <c r="B791" s="90"/>
      <c r="C791" s="91"/>
      <c r="D791" s="90"/>
      <c r="E791" s="91"/>
    </row>
    <row r="792">
      <c r="A792" s="90"/>
      <c r="B792" s="90"/>
      <c r="C792" s="91"/>
      <c r="D792" s="90"/>
      <c r="E792" s="91"/>
    </row>
    <row r="793">
      <c r="A793" s="90"/>
      <c r="B793" s="90"/>
      <c r="C793" s="91"/>
      <c r="D793" s="90"/>
      <c r="E793" s="91"/>
    </row>
    <row r="794">
      <c r="A794" s="90"/>
      <c r="B794" s="90"/>
      <c r="C794" s="91"/>
      <c r="D794" s="90"/>
      <c r="E794" s="91"/>
    </row>
    <row r="795">
      <c r="A795" s="90"/>
      <c r="B795" s="90"/>
      <c r="C795" s="91"/>
      <c r="D795" s="90"/>
      <c r="E795" s="91"/>
    </row>
    <row r="796">
      <c r="A796" s="90"/>
      <c r="B796" s="90"/>
      <c r="C796" s="91"/>
      <c r="D796" s="90"/>
      <c r="E796" s="91"/>
    </row>
    <row r="797">
      <c r="A797" s="90"/>
      <c r="B797" s="90"/>
      <c r="C797" s="91"/>
      <c r="D797" s="90"/>
      <c r="E797" s="91"/>
    </row>
    <row r="798">
      <c r="A798" s="90"/>
      <c r="B798" s="90"/>
      <c r="C798" s="91"/>
      <c r="D798" s="90"/>
      <c r="E798" s="91"/>
    </row>
    <row r="799">
      <c r="A799" s="90"/>
      <c r="B799" s="90"/>
      <c r="C799" s="91"/>
      <c r="D799" s="90"/>
      <c r="E799" s="91"/>
    </row>
    <row r="800">
      <c r="A800" s="90"/>
      <c r="B800" s="90"/>
      <c r="C800" s="91"/>
      <c r="D800" s="90"/>
      <c r="E800" s="91"/>
    </row>
    <row r="801">
      <c r="A801" s="90"/>
      <c r="B801" s="90"/>
      <c r="C801" s="91"/>
      <c r="D801" s="90"/>
      <c r="E801" s="91"/>
    </row>
    <row r="802">
      <c r="A802" s="90"/>
      <c r="B802" s="90"/>
      <c r="C802" s="91"/>
      <c r="D802" s="90"/>
      <c r="E802" s="91"/>
    </row>
    <row r="803">
      <c r="A803" s="90"/>
      <c r="B803" s="90"/>
      <c r="C803" s="91"/>
      <c r="D803" s="90"/>
      <c r="E803" s="91"/>
    </row>
    <row r="804">
      <c r="A804" s="90"/>
      <c r="B804" s="90"/>
      <c r="C804" s="91"/>
      <c r="D804" s="90"/>
      <c r="E804" s="91"/>
    </row>
    <row r="805">
      <c r="A805" s="90"/>
      <c r="B805" s="90"/>
      <c r="C805" s="91"/>
      <c r="D805" s="90"/>
      <c r="E805" s="91"/>
    </row>
    <row r="806">
      <c r="A806" s="90"/>
      <c r="B806" s="90"/>
      <c r="C806" s="91"/>
      <c r="D806" s="90"/>
      <c r="E806" s="91"/>
    </row>
    <row r="807">
      <c r="A807" s="90"/>
      <c r="B807" s="90"/>
      <c r="C807" s="91"/>
      <c r="D807" s="90"/>
      <c r="E807" s="91"/>
    </row>
    <row r="808">
      <c r="A808" s="90"/>
      <c r="B808" s="90"/>
      <c r="C808" s="91"/>
      <c r="D808" s="90"/>
      <c r="E808" s="91"/>
    </row>
    <row r="809">
      <c r="A809" s="90"/>
      <c r="B809" s="90"/>
      <c r="C809" s="91"/>
      <c r="D809" s="90"/>
      <c r="E809" s="91"/>
    </row>
    <row r="810">
      <c r="A810" s="90"/>
      <c r="B810" s="90"/>
      <c r="C810" s="91"/>
      <c r="D810" s="90"/>
      <c r="E810" s="91"/>
    </row>
    <row r="811">
      <c r="A811" s="90"/>
      <c r="B811" s="90"/>
      <c r="C811" s="91"/>
      <c r="D811" s="90"/>
      <c r="E811" s="91"/>
    </row>
    <row r="812">
      <c r="A812" s="90"/>
      <c r="B812" s="90"/>
      <c r="C812" s="91"/>
      <c r="D812" s="90"/>
      <c r="E812" s="91"/>
    </row>
    <row r="813">
      <c r="A813" s="90"/>
      <c r="B813" s="90"/>
      <c r="C813" s="91"/>
      <c r="D813" s="90"/>
      <c r="E813" s="91"/>
    </row>
    <row r="814">
      <c r="A814" s="90"/>
      <c r="B814" s="90"/>
      <c r="C814" s="91"/>
      <c r="D814" s="90"/>
      <c r="E814" s="91"/>
    </row>
    <row r="815">
      <c r="A815" s="90"/>
      <c r="B815" s="90"/>
      <c r="C815" s="91"/>
      <c r="D815" s="90"/>
      <c r="E815" s="91"/>
    </row>
    <row r="816">
      <c r="A816" s="90"/>
      <c r="B816" s="90"/>
      <c r="C816" s="91"/>
      <c r="D816" s="90"/>
      <c r="E816" s="91"/>
    </row>
    <row r="817">
      <c r="A817" s="90"/>
      <c r="B817" s="90"/>
      <c r="C817" s="91"/>
      <c r="D817" s="90"/>
      <c r="E817" s="91"/>
    </row>
    <row r="818">
      <c r="A818" s="90"/>
      <c r="B818" s="90"/>
      <c r="C818" s="91"/>
      <c r="D818" s="90"/>
      <c r="E818" s="91"/>
    </row>
    <row r="819">
      <c r="A819" s="90"/>
      <c r="B819" s="90"/>
      <c r="C819" s="91"/>
      <c r="D819" s="90"/>
      <c r="E819" s="91"/>
    </row>
    <row r="820">
      <c r="A820" s="90"/>
      <c r="B820" s="90"/>
      <c r="C820" s="91"/>
      <c r="D820" s="90"/>
      <c r="E820" s="91"/>
    </row>
    <row r="821">
      <c r="A821" s="90"/>
      <c r="B821" s="90"/>
      <c r="C821" s="91"/>
      <c r="D821" s="90"/>
      <c r="E821" s="91"/>
    </row>
    <row r="822">
      <c r="A822" s="90"/>
      <c r="B822" s="90"/>
      <c r="C822" s="91"/>
      <c r="D822" s="90"/>
      <c r="E822" s="91"/>
    </row>
    <row r="823">
      <c r="A823" s="90"/>
      <c r="B823" s="90"/>
      <c r="C823" s="91"/>
      <c r="D823" s="90"/>
      <c r="E823" s="91"/>
    </row>
    <row r="824">
      <c r="A824" s="90"/>
      <c r="B824" s="90"/>
      <c r="C824" s="91"/>
      <c r="D824" s="90"/>
      <c r="E824" s="91"/>
    </row>
    <row r="825">
      <c r="A825" s="90"/>
      <c r="B825" s="90"/>
      <c r="C825" s="91"/>
      <c r="D825" s="90"/>
      <c r="E825" s="91"/>
    </row>
    <row r="826">
      <c r="A826" s="90"/>
      <c r="B826" s="90"/>
      <c r="C826" s="91"/>
      <c r="D826" s="90"/>
      <c r="E826" s="91"/>
    </row>
    <row r="827">
      <c r="A827" s="90"/>
      <c r="B827" s="90"/>
      <c r="C827" s="91"/>
      <c r="D827" s="90"/>
      <c r="E827" s="91"/>
    </row>
    <row r="828">
      <c r="A828" s="90"/>
      <c r="B828" s="90"/>
      <c r="C828" s="91"/>
      <c r="D828" s="90"/>
      <c r="E828" s="91"/>
    </row>
    <row r="829">
      <c r="A829" s="90"/>
      <c r="B829" s="90"/>
      <c r="C829" s="91"/>
      <c r="D829" s="90"/>
      <c r="E829" s="91"/>
    </row>
    <row r="830">
      <c r="A830" s="90"/>
      <c r="B830" s="90"/>
      <c r="C830" s="91"/>
      <c r="D830" s="90"/>
      <c r="E830" s="91"/>
    </row>
    <row r="831">
      <c r="A831" s="90"/>
      <c r="B831" s="90"/>
      <c r="C831" s="91"/>
      <c r="D831" s="90"/>
      <c r="E831" s="91"/>
    </row>
    <row r="832">
      <c r="A832" s="90"/>
      <c r="B832" s="90"/>
      <c r="C832" s="91"/>
      <c r="D832" s="90"/>
      <c r="E832" s="91"/>
    </row>
    <row r="833">
      <c r="A833" s="90"/>
      <c r="B833" s="90"/>
      <c r="C833" s="91"/>
      <c r="D833" s="90"/>
      <c r="E833" s="91"/>
    </row>
    <row r="834">
      <c r="A834" s="90"/>
      <c r="B834" s="90"/>
      <c r="C834" s="91"/>
      <c r="D834" s="90"/>
      <c r="E834" s="91"/>
    </row>
    <row r="835">
      <c r="A835" s="90"/>
      <c r="B835" s="90"/>
      <c r="C835" s="91"/>
      <c r="D835" s="90"/>
      <c r="E835" s="91"/>
    </row>
    <row r="836">
      <c r="A836" s="90"/>
      <c r="B836" s="90"/>
      <c r="C836" s="91"/>
      <c r="D836" s="90"/>
      <c r="E836" s="91"/>
    </row>
    <row r="837">
      <c r="A837" s="90"/>
      <c r="B837" s="90"/>
      <c r="C837" s="91"/>
      <c r="D837" s="90"/>
      <c r="E837" s="91"/>
    </row>
    <row r="838">
      <c r="A838" s="90"/>
      <c r="B838" s="90"/>
      <c r="C838" s="91"/>
      <c r="D838" s="90"/>
      <c r="E838" s="91"/>
    </row>
    <row r="839">
      <c r="A839" s="90"/>
      <c r="B839" s="90"/>
      <c r="C839" s="91"/>
      <c r="D839" s="90"/>
      <c r="E839" s="91"/>
    </row>
    <row r="840">
      <c r="A840" s="90"/>
      <c r="B840" s="90"/>
      <c r="C840" s="91"/>
      <c r="D840" s="90"/>
      <c r="E840" s="91"/>
    </row>
    <row r="841">
      <c r="A841" s="90"/>
      <c r="B841" s="90"/>
      <c r="C841" s="91"/>
      <c r="D841" s="90"/>
      <c r="E841" s="91"/>
    </row>
    <row r="842">
      <c r="A842" s="90"/>
      <c r="B842" s="90"/>
      <c r="C842" s="91"/>
      <c r="D842" s="90"/>
      <c r="E842" s="91"/>
    </row>
    <row r="843">
      <c r="A843" s="90"/>
      <c r="B843" s="90"/>
      <c r="C843" s="91"/>
      <c r="D843" s="90"/>
      <c r="E843" s="91"/>
    </row>
    <row r="844">
      <c r="A844" s="90"/>
      <c r="B844" s="90"/>
      <c r="C844" s="91"/>
      <c r="D844" s="90"/>
      <c r="E844" s="91"/>
    </row>
    <row r="845">
      <c r="A845" s="90"/>
      <c r="B845" s="90"/>
      <c r="C845" s="91"/>
      <c r="D845" s="90"/>
      <c r="E845" s="91"/>
    </row>
    <row r="846">
      <c r="A846" s="90"/>
      <c r="B846" s="90"/>
      <c r="C846" s="91"/>
      <c r="D846" s="90"/>
      <c r="E846" s="91"/>
    </row>
    <row r="847">
      <c r="A847" s="90"/>
      <c r="B847" s="90"/>
      <c r="C847" s="91"/>
      <c r="D847" s="90"/>
      <c r="E847" s="91"/>
    </row>
    <row r="848">
      <c r="A848" s="90"/>
      <c r="B848" s="90"/>
      <c r="C848" s="91"/>
      <c r="D848" s="90"/>
      <c r="E848" s="91"/>
    </row>
    <row r="849">
      <c r="A849" s="90"/>
      <c r="B849" s="90"/>
      <c r="C849" s="91"/>
      <c r="D849" s="90"/>
      <c r="E849" s="91"/>
    </row>
    <row r="850">
      <c r="A850" s="90"/>
      <c r="B850" s="90"/>
      <c r="C850" s="91"/>
      <c r="D850" s="90"/>
      <c r="E850" s="91"/>
    </row>
    <row r="851">
      <c r="A851" s="90"/>
      <c r="B851" s="90"/>
      <c r="C851" s="91"/>
      <c r="D851" s="90"/>
      <c r="E851" s="91"/>
    </row>
    <row r="852">
      <c r="A852" s="90"/>
      <c r="B852" s="90"/>
      <c r="C852" s="91"/>
      <c r="D852" s="90"/>
      <c r="E852" s="91"/>
    </row>
    <row r="853">
      <c r="A853" s="90"/>
      <c r="B853" s="90"/>
      <c r="C853" s="91"/>
      <c r="D853" s="90"/>
      <c r="E853" s="91"/>
    </row>
    <row r="854">
      <c r="A854" s="90"/>
      <c r="B854" s="90"/>
      <c r="C854" s="91"/>
      <c r="D854" s="90"/>
      <c r="E854" s="91"/>
    </row>
    <row r="855">
      <c r="A855" s="90"/>
      <c r="B855" s="90"/>
      <c r="C855" s="91"/>
      <c r="D855" s="90"/>
      <c r="E855" s="91"/>
    </row>
    <row r="856">
      <c r="A856" s="90"/>
      <c r="B856" s="90"/>
      <c r="C856" s="91"/>
      <c r="D856" s="90"/>
      <c r="E856" s="91"/>
    </row>
    <row r="857">
      <c r="A857" s="90"/>
      <c r="B857" s="90"/>
      <c r="C857" s="91"/>
      <c r="D857" s="90"/>
      <c r="E857" s="91"/>
    </row>
    <row r="858">
      <c r="A858" s="90"/>
      <c r="B858" s="90"/>
      <c r="C858" s="91"/>
      <c r="D858" s="90"/>
      <c r="E858" s="91"/>
    </row>
    <row r="859">
      <c r="A859" s="90"/>
      <c r="B859" s="90"/>
      <c r="C859" s="91"/>
      <c r="D859" s="90"/>
      <c r="E859" s="91"/>
    </row>
    <row r="860">
      <c r="A860" s="90"/>
      <c r="B860" s="90"/>
      <c r="C860" s="91"/>
      <c r="D860" s="90"/>
      <c r="E860" s="91"/>
    </row>
    <row r="861">
      <c r="A861" s="90"/>
      <c r="B861" s="90"/>
      <c r="C861" s="91"/>
      <c r="D861" s="90"/>
      <c r="E861" s="91"/>
    </row>
    <row r="862">
      <c r="A862" s="90"/>
      <c r="B862" s="90"/>
      <c r="C862" s="91"/>
      <c r="D862" s="90"/>
      <c r="E862" s="91"/>
    </row>
    <row r="863">
      <c r="A863" s="90"/>
      <c r="B863" s="90"/>
      <c r="C863" s="91"/>
      <c r="D863" s="90"/>
      <c r="E863" s="91"/>
    </row>
    <row r="864">
      <c r="A864" s="90"/>
      <c r="B864" s="90"/>
      <c r="C864" s="91"/>
      <c r="D864" s="90"/>
      <c r="E864" s="91"/>
    </row>
    <row r="865">
      <c r="A865" s="90"/>
      <c r="B865" s="90"/>
      <c r="C865" s="91"/>
      <c r="D865" s="90"/>
      <c r="E865" s="91"/>
    </row>
    <row r="866">
      <c r="A866" s="90"/>
      <c r="B866" s="90"/>
      <c r="C866" s="91"/>
      <c r="D866" s="90"/>
      <c r="E866" s="91"/>
    </row>
    <row r="867">
      <c r="A867" s="90"/>
      <c r="B867" s="90"/>
      <c r="C867" s="91"/>
      <c r="D867" s="90"/>
      <c r="E867" s="91"/>
    </row>
    <row r="868">
      <c r="A868" s="90"/>
      <c r="B868" s="90"/>
      <c r="C868" s="91"/>
      <c r="D868" s="90"/>
      <c r="E868" s="91"/>
    </row>
    <row r="869">
      <c r="A869" s="90"/>
      <c r="B869" s="90"/>
      <c r="C869" s="91"/>
      <c r="D869" s="90"/>
      <c r="E869" s="91"/>
    </row>
    <row r="870">
      <c r="A870" s="90"/>
      <c r="B870" s="90"/>
      <c r="C870" s="91"/>
      <c r="D870" s="90"/>
      <c r="E870" s="91"/>
    </row>
    <row r="871">
      <c r="A871" s="90"/>
      <c r="B871" s="90"/>
      <c r="C871" s="91"/>
      <c r="D871" s="90"/>
      <c r="E871" s="91"/>
    </row>
    <row r="872">
      <c r="A872" s="90"/>
      <c r="B872" s="90"/>
      <c r="C872" s="91"/>
      <c r="D872" s="90"/>
      <c r="E872" s="91"/>
    </row>
    <row r="873">
      <c r="A873" s="90"/>
      <c r="B873" s="90"/>
      <c r="C873" s="91"/>
      <c r="D873" s="90"/>
      <c r="E873" s="91"/>
    </row>
    <row r="874">
      <c r="A874" s="90"/>
      <c r="B874" s="90"/>
      <c r="C874" s="91"/>
      <c r="D874" s="90"/>
      <c r="E874" s="91"/>
    </row>
    <row r="875">
      <c r="A875" s="90"/>
      <c r="B875" s="90"/>
      <c r="C875" s="91"/>
      <c r="D875" s="90"/>
      <c r="E875" s="91"/>
    </row>
    <row r="876">
      <c r="A876" s="90"/>
      <c r="B876" s="90"/>
      <c r="C876" s="91"/>
      <c r="D876" s="90"/>
      <c r="E876" s="91"/>
    </row>
    <row r="877">
      <c r="A877" s="90"/>
      <c r="B877" s="90"/>
      <c r="C877" s="91"/>
      <c r="D877" s="90"/>
      <c r="E877" s="91"/>
    </row>
    <row r="878">
      <c r="A878" s="90"/>
      <c r="B878" s="90"/>
      <c r="C878" s="91"/>
      <c r="D878" s="90"/>
      <c r="E878" s="91"/>
    </row>
    <row r="879">
      <c r="A879" s="90"/>
      <c r="B879" s="90"/>
      <c r="C879" s="91"/>
      <c r="D879" s="90"/>
      <c r="E879" s="91"/>
    </row>
    <row r="880">
      <c r="A880" s="90"/>
      <c r="B880" s="90"/>
      <c r="C880" s="91"/>
      <c r="D880" s="90"/>
      <c r="E880" s="91"/>
    </row>
    <row r="881">
      <c r="A881" s="90"/>
      <c r="B881" s="90"/>
      <c r="C881" s="91"/>
      <c r="D881" s="90"/>
      <c r="E881" s="91"/>
    </row>
    <row r="882">
      <c r="A882" s="90"/>
      <c r="B882" s="90"/>
      <c r="C882" s="91"/>
      <c r="D882" s="90"/>
      <c r="E882" s="91"/>
    </row>
    <row r="883">
      <c r="A883" s="90"/>
      <c r="B883" s="90"/>
      <c r="C883" s="91"/>
      <c r="D883" s="90"/>
      <c r="E883" s="91"/>
    </row>
    <row r="884">
      <c r="A884" s="90"/>
      <c r="B884" s="90"/>
      <c r="C884" s="91"/>
      <c r="D884" s="90"/>
      <c r="E884" s="91"/>
    </row>
    <row r="885">
      <c r="A885" s="90"/>
      <c r="B885" s="90"/>
      <c r="C885" s="91"/>
      <c r="D885" s="90"/>
      <c r="E885" s="91"/>
    </row>
    <row r="886">
      <c r="A886" s="90"/>
      <c r="B886" s="90"/>
      <c r="C886" s="91"/>
      <c r="D886" s="90"/>
      <c r="E886" s="91"/>
    </row>
    <row r="887">
      <c r="A887" s="90"/>
      <c r="B887" s="90"/>
      <c r="C887" s="91"/>
      <c r="D887" s="90"/>
      <c r="E887" s="91"/>
    </row>
    <row r="888">
      <c r="A888" s="90"/>
      <c r="B888" s="90"/>
      <c r="C888" s="91"/>
      <c r="D888" s="90"/>
      <c r="E888" s="91"/>
    </row>
    <row r="889">
      <c r="A889" s="90"/>
      <c r="B889" s="90"/>
      <c r="C889" s="91"/>
      <c r="D889" s="90"/>
      <c r="E889" s="91"/>
    </row>
    <row r="890">
      <c r="A890" s="90"/>
      <c r="B890" s="90"/>
      <c r="C890" s="91"/>
      <c r="D890" s="90"/>
      <c r="E890" s="91"/>
    </row>
    <row r="891">
      <c r="A891" s="90"/>
      <c r="B891" s="90"/>
      <c r="C891" s="91"/>
      <c r="D891" s="90"/>
      <c r="E891" s="91"/>
    </row>
    <row r="892">
      <c r="A892" s="90"/>
      <c r="B892" s="90"/>
      <c r="C892" s="91"/>
      <c r="D892" s="90"/>
      <c r="E892" s="91"/>
    </row>
    <row r="893">
      <c r="A893" s="90"/>
      <c r="B893" s="90"/>
      <c r="C893" s="91"/>
      <c r="D893" s="90"/>
      <c r="E893" s="91"/>
    </row>
    <row r="894">
      <c r="A894" s="90"/>
      <c r="B894" s="90"/>
      <c r="C894" s="91"/>
      <c r="D894" s="90"/>
      <c r="E894" s="91"/>
    </row>
    <row r="895">
      <c r="A895" s="90"/>
      <c r="B895" s="90"/>
      <c r="C895" s="91"/>
      <c r="D895" s="90"/>
      <c r="E895" s="91"/>
    </row>
    <row r="896">
      <c r="A896" s="90"/>
      <c r="B896" s="90"/>
      <c r="C896" s="91"/>
      <c r="D896" s="90"/>
      <c r="E896" s="91"/>
    </row>
    <row r="897">
      <c r="A897" s="90"/>
      <c r="B897" s="90"/>
      <c r="C897" s="91"/>
      <c r="D897" s="90"/>
      <c r="E897" s="91"/>
    </row>
    <row r="898">
      <c r="A898" s="90"/>
      <c r="B898" s="90"/>
      <c r="C898" s="91"/>
      <c r="D898" s="90"/>
      <c r="E898" s="91"/>
    </row>
    <row r="899">
      <c r="A899" s="90"/>
      <c r="B899" s="90"/>
      <c r="C899" s="91"/>
      <c r="D899" s="90"/>
      <c r="E899" s="91"/>
    </row>
    <row r="900">
      <c r="A900" s="90"/>
      <c r="B900" s="90"/>
      <c r="C900" s="91"/>
      <c r="D900" s="90"/>
      <c r="E900" s="91"/>
    </row>
    <row r="901">
      <c r="A901" s="90"/>
      <c r="B901" s="90"/>
      <c r="C901" s="91"/>
      <c r="D901" s="90"/>
      <c r="E901" s="91"/>
    </row>
    <row r="902">
      <c r="A902" s="90"/>
      <c r="B902" s="90"/>
      <c r="C902" s="91"/>
      <c r="D902" s="90"/>
      <c r="E902" s="91"/>
    </row>
    <row r="903">
      <c r="A903" s="90"/>
      <c r="B903" s="90"/>
      <c r="C903" s="91"/>
      <c r="D903" s="90"/>
      <c r="E903" s="91"/>
    </row>
    <row r="904">
      <c r="A904" s="90"/>
      <c r="B904" s="90"/>
      <c r="C904" s="91"/>
      <c r="D904" s="90"/>
      <c r="E904" s="91"/>
    </row>
    <row r="905">
      <c r="A905" s="90"/>
      <c r="B905" s="90"/>
      <c r="C905" s="91"/>
      <c r="D905" s="90"/>
      <c r="E905" s="91"/>
    </row>
    <row r="906">
      <c r="A906" s="90"/>
      <c r="B906" s="90"/>
      <c r="C906" s="91"/>
      <c r="D906" s="90"/>
      <c r="E906" s="91"/>
    </row>
    <row r="907">
      <c r="A907" s="90"/>
      <c r="B907" s="90"/>
      <c r="C907" s="91"/>
      <c r="D907" s="90"/>
      <c r="E907" s="91"/>
    </row>
    <row r="908">
      <c r="A908" s="90"/>
      <c r="B908" s="90"/>
      <c r="C908" s="91"/>
      <c r="D908" s="90"/>
      <c r="E908" s="91"/>
    </row>
    <row r="909">
      <c r="A909" s="90"/>
      <c r="B909" s="90"/>
      <c r="C909" s="91"/>
      <c r="D909" s="90"/>
      <c r="E909" s="91"/>
    </row>
    <row r="910">
      <c r="A910" s="90"/>
      <c r="B910" s="90"/>
      <c r="C910" s="91"/>
      <c r="D910" s="90"/>
      <c r="E910" s="91"/>
    </row>
    <row r="911">
      <c r="A911" s="90"/>
      <c r="B911" s="90"/>
      <c r="C911" s="91"/>
      <c r="D911" s="90"/>
      <c r="E911" s="91"/>
    </row>
    <row r="912">
      <c r="A912" s="90"/>
      <c r="B912" s="90"/>
      <c r="C912" s="91"/>
      <c r="D912" s="90"/>
      <c r="E912" s="91"/>
    </row>
    <row r="913">
      <c r="A913" s="90"/>
      <c r="B913" s="90"/>
      <c r="C913" s="91"/>
      <c r="D913" s="90"/>
      <c r="E913" s="91"/>
    </row>
    <row r="914">
      <c r="A914" s="90"/>
      <c r="B914" s="90"/>
      <c r="C914" s="91"/>
      <c r="D914" s="90"/>
      <c r="E914" s="91"/>
    </row>
    <row r="915">
      <c r="A915" s="90"/>
      <c r="B915" s="90"/>
      <c r="C915" s="91"/>
      <c r="D915" s="90"/>
      <c r="E915" s="91"/>
    </row>
    <row r="916">
      <c r="A916" s="90"/>
      <c r="B916" s="90"/>
      <c r="C916" s="91"/>
      <c r="D916" s="90"/>
      <c r="E916" s="91"/>
    </row>
    <row r="917">
      <c r="A917" s="90"/>
      <c r="B917" s="90"/>
      <c r="C917" s="91"/>
      <c r="D917" s="90"/>
      <c r="E917" s="91"/>
    </row>
    <row r="918">
      <c r="A918" s="90"/>
      <c r="B918" s="90"/>
      <c r="C918" s="91"/>
      <c r="D918" s="90"/>
      <c r="E918" s="91"/>
    </row>
    <row r="919">
      <c r="A919" s="90"/>
      <c r="B919" s="90"/>
      <c r="C919" s="91"/>
      <c r="D919" s="90"/>
      <c r="E919" s="91"/>
    </row>
    <row r="920">
      <c r="A920" s="90"/>
      <c r="B920" s="90"/>
      <c r="C920" s="91"/>
      <c r="D920" s="90"/>
      <c r="E920" s="91"/>
    </row>
    <row r="921">
      <c r="A921" s="90"/>
      <c r="B921" s="90"/>
      <c r="C921" s="91"/>
      <c r="D921" s="90"/>
      <c r="E921" s="91"/>
    </row>
    <row r="922">
      <c r="A922" s="90"/>
      <c r="B922" s="90"/>
      <c r="C922" s="91"/>
      <c r="D922" s="90"/>
      <c r="E922" s="91"/>
    </row>
    <row r="923">
      <c r="A923" s="90"/>
      <c r="B923" s="90"/>
      <c r="C923" s="91"/>
      <c r="D923" s="90"/>
      <c r="E923" s="91"/>
    </row>
    <row r="924">
      <c r="A924" s="90"/>
      <c r="B924" s="90"/>
      <c r="C924" s="91"/>
      <c r="D924" s="90"/>
      <c r="E924" s="91"/>
    </row>
    <row r="925">
      <c r="A925" s="90"/>
      <c r="B925" s="90"/>
      <c r="C925" s="91"/>
      <c r="D925" s="90"/>
      <c r="E925" s="91"/>
    </row>
    <row r="926">
      <c r="A926" s="90"/>
      <c r="B926" s="90"/>
      <c r="C926" s="91"/>
      <c r="D926" s="90"/>
      <c r="E926" s="91"/>
    </row>
    <row r="927">
      <c r="A927" s="90"/>
      <c r="B927" s="90"/>
      <c r="C927" s="91"/>
      <c r="D927" s="90"/>
      <c r="E927" s="91"/>
    </row>
    <row r="928">
      <c r="A928" s="90"/>
      <c r="B928" s="90"/>
      <c r="C928" s="91"/>
      <c r="D928" s="90"/>
      <c r="E928" s="91"/>
    </row>
    <row r="929">
      <c r="A929" s="90"/>
      <c r="B929" s="90"/>
      <c r="C929" s="91"/>
      <c r="D929" s="90"/>
      <c r="E929" s="91"/>
    </row>
    <row r="930">
      <c r="A930" s="90"/>
      <c r="B930" s="90"/>
      <c r="C930" s="91"/>
      <c r="D930" s="90"/>
      <c r="E930" s="91"/>
    </row>
    <row r="931">
      <c r="A931" s="90"/>
      <c r="B931" s="90"/>
      <c r="C931" s="91"/>
      <c r="D931" s="90"/>
      <c r="E931" s="91"/>
    </row>
    <row r="932">
      <c r="A932" s="90"/>
      <c r="B932" s="90"/>
      <c r="C932" s="91"/>
      <c r="D932" s="90"/>
      <c r="E932" s="91"/>
    </row>
    <row r="933">
      <c r="A933" s="90"/>
      <c r="B933" s="90"/>
      <c r="C933" s="91"/>
      <c r="D933" s="90"/>
      <c r="E933" s="91"/>
    </row>
    <row r="934">
      <c r="A934" s="90"/>
      <c r="B934" s="90"/>
      <c r="C934" s="91"/>
      <c r="D934" s="90"/>
      <c r="E934" s="91"/>
    </row>
    <row r="935">
      <c r="A935" s="90"/>
      <c r="B935" s="90"/>
      <c r="C935" s="91"/>
      <c r="D935" s="90"/>
      <c r="E935" s="91"/>
    </row>
    <row r="936">
      <c r="A936" s="90"/>
      <c r="B936" s="90"/>
      <c r="C936" s="91"/>
      <c r="D936" s="90"/>
      <c r="E936" s="91"/>
    </row>
    <row r="937">
      <c r="A937" s="90"/>
      <c r="B937" s="90"/>
      <c r="C937" s="91"/>
      <c r="D937" s="90"/>
      <c r="E937" s="91"/>
    </row>
    <row r="938">
      <c r="A938" s="90"/>
      <c r="B938" s="90"/>
      <c r="C938" s="91"/>
      <c r="D938" s="90"/>
      <c r="E938" s="91"/>
    </row>
    <row r="939">
      <c r="A939" s="90"/>
      <c r="B939" s="90"/>
      <c r="C939" s="91"/>
      <c r="D939" s="90"/>
      <c r="E939" s="91"/>
    </row>
    <row r="940">
      <c r="A940" s="90"/>
      <c r="B940" s="90"/>
      <c r="C940" s="91"/>
      <c r="D940" s="90"/>
      <c r="E940" s="91"/>
    </row>
    <row r="941">
      <c r="A941" s="90"/>
      <c r="B941" s="90"/>
      <c r="C941" s="91"/>
      <c r="D941" s="90"/>
      <c r="E941" s="91"/>
    </row>
    <row r="942">
      <c r="A942" s="90"/>
      <c r="B942" s="90"/>
      <c r="C942" s="91"/>
      <c r="D942" s="90"/>
      <c r="E942" s="91"/>
    </row>
    <row r="943">
      <c r="A943" s="90"/>
      <c r="B943" s="90"/>
      <c r="C943" s="91"/>
      <c r="D943" s="90"/>
      <c r="E943" s="91"/>
    </row>
    <row r="944">
      <c r="A944" s="90"/>
      <c r="B944" s="90"/>
      <c r="C944" s="91"/>
      <c r="D944" s="90"/>
      <c r="E944" s="91"/>
    </row>
    <row r="945">
      <c r="A945" s="90"/>
      <c r="B945" s="90"/>
      <c r="C945" s="91"/>
      <c r="D945" s="90"/>
      <c r="E945" s="91"/>
    </row>
    <row r="946">
      <c r="A946" s="90"/>
      <c r="B946" s="90"/>
      <c r="C946" s="91"/>
      <c r="D946" s="90"/>
      <c r="E946" s="91"/>
    </row>
    <row r="947">
      <c r="A947" s="90"/>
      <c r="B947" s="90"/>
      <c r="C947" s="91"/>
      <c r="D947" s="90"/>
      <c r="E947" s="91"/>
    </row>
    <row r="948">
      <c r="A948" s="90"/>
      <c r="B948" s="90"/>
      <c r="C948" s="91"/>
      <c r="D948" s="90"/>
      <c r="E948" s="91"/>
    </row>
    <row r="949">
      <c r="A949" s="90"/>
      <c r="B949" s="90"/>
      <c r="C949" s="91"/>
      <c r="D949" s="90"/>
      <c r="E949" s="91"/>
    </row>
    <row r="950">
      <c r="A950" s="90"/>
      <c r="B950" s="90"/>
      <c r="C950" s="91"/>
      <c r="D950" s="90"/>
      <c r="E950" s="91"/>
    </row>
    <row r="951">
      <c r="A951" s="90"/>
      <c r="B951" s="90"/>
      <c r="C951" s="91"/>
      <c r="D951" s="90"/>
      <c r="E951" s="91"/>
    </row>
    <row r="952">
      <c r="A952" s="90"/>
      <c r="B952" s="90"/>
      <c r="C952" s="91"/>
      <c r="D952" s="90"/>
      <c r="E952" s="91"/>
    </row>
    <row r="953">
      <c r="A953" s="90"/>
      <c r="B953" s="90"/>
      <c r="C953" s="91"/>
      <c r="D953" s="90"/>
      <c r="E953" s="91"/>
    </row>
    <row r="954">
      <c r="A954" s="90"/>
      <c r="B954" s="90"/>
      <c r="C954" s="91"/>
      <c r="D954" s="90"/>
      <c r="E954" s="91"/>
    </row>
    <row r="955">
      <c r="A955" s="90"/>
      <c r="B955" s="90"/>
      <c r="C955" s="91"/>
      <c r="D955" s="90"/>
      <c r="E955" s="91"/>
    </row>
    <row r="956">
      <c r="A956" s="90"/>
      <c r="B956" s="90"/>
      <c r="C956" s="91"/>
      <c r="D956" s="90"/>
      <c r="E956" s="91"/>
    </row>
    <row r="957">
      <c r="A957" s="90"/>
      <c r="B957" s="90"/>
      <c r="C957" s="91"/>
      <c r="D957" s="90"/>
      <c r="E957" s="91"/>
    </row>
    <row r="958">
      <c r="A958" s="90"/>
      <c r="B958" s="90"/>
      <c r="C958" s="91"/>
      <c r="D958" s="90"/>
      <c r="E958" s="91"/>
    </row>
    <row r="959">
      <c r="A959" s="90"/>
      <c r="B959" s="90"/>
      <c r="C959" s="91"/>
      <c r="D959" s="90"/>
      <c r="E959" s="91"/>
    </row>
    <row r="960">
      <c r="A960" s="90"/>
      <c r="B960" s="90"/>
      <c r="C960" s="91"/>
      <c r="D960" s="90"/>
      <c r="E960" s="91"/>
    </row>
    <row r="961">
      <c r="A961" s="90"/>
      <c r="B961" s="90"/>
      <c r="C961" s="91"/>
      <c r="D961" s="90"/>
      <c r="E961" s="91"/>
    </row>
    <row r="962">
      <c r="A962" s="90"/>
      <c r="B962" s="90"/>
      <c r="C962" s="91"/>
      <c r="D962" s="90"/>
      <c r="E962" s="91"/>
    </row>
    <row r="963">
      <c r="A963" s="90"/>
      <c r="B963" s="90"/>
      <c r="C963" s="91"/>
      <c r="D963" s="90"/>
      <c r="E963" s="91"/>
    </row>
    <row r="964">
      <c r="A964" s="90"/>
      <c r="B964" s="90"/>
      <c r="C964" s="91"/>
      <c r="D964" s="90"/>
      <c r="E964" s="91"/>
    </row>
    <row r="965">
      <c r="A965" s="90"/>
      <c r="B965" s="90"/>
      <c r="C965" s="91"/>
      <c r="D965" s="90"/>
      <c r="E965" s="91"/>
    </row>
    <row r="966">
      <c r="A966" s="90"/>
      <c r="B966" s="90"/>
      <c r="C966" s="91"/>
      <c r="D966" s="90"/>
      <c r="E966" s="91"/>
    </row>
    <row r="967">
      <c r="A967" s="90"/>
      <c r="B967" s="90"/>
      <c r="C967" s="91"/>
      <c r="D967" s="90"/>
      <c r="E967" s="91"/>
    </row>
    <row r="968">
      <c r="A968" s="90"/>
      <c r="B968" s="90"/>
      <c r="C968" s="91"/>
      <c r="D968" s="90"/>
      <c r="E968" s="91"/>
    </row>
    <row r="969">
      <c r="A969" s="90"/>
      <c r="B969" s="90"/>
      <c r="C969" s="91"/>
      <c r="D969" s="90"/>
      <c r="E969" s="91"/>
    </row>
    <row r="970">
      <c r="A970" s="90"/>
      <c r="B970" s="90"/>
      <c r="C970" s="91"/>
      <c r="D970" s="90"/>
      <c r="E970" s="91"/>
    </row>
    <row r="971">
      <c r="A971" s="90"/>
      <c r="B971" s="90"/>
      <c r="C971" s="91"/>
      <c r="D971" s="90"/>
      <c r="E971" s="91"/>
    </row>
    <row r="972">
      <c r="A972" s="90"/>
      <c r="B972" s="90"/>
      <c r="C972" s="91"/>
      <c r="D972" s="90"/>
      <c r="E972" s="91"/>
    </row>
    <row r="973">
      <c r="A973" s="90"/>
      <c r="B973" s="90"/>
      <c r="C973" s="91"/>
      <c r="D973" s="90"/>
      <c r="E973" s="91"/>
    </row>
    <row r="974">
      <c r="A974" s="90"/>
      <c r="B974" s="90"/>
      <c r="C974" s="91"/>
      <c r="D974" s="90"/>
      <c r="E974" s="91"/>
    </row>
    <row r="975">
      <c r="A975" s="90"/>
      <c r="B975" s="90"/>
      <c r="C975" s="91"/>
      <c r="D975" s="90"/>
      <c r="E975" s="91"/>
    </row>
    <row r="976">
      <c r="A976" s="90"/>
      <c r="B976" s="90"/>
      <c r="C976" s="91"/>
      <c r="D976" s="90"/>
      <c r="E976" s="91"/>
    </row>
    <row r="977">
      <c r="A977" s="90"/>
      <c r="B977" s="90"/>
      <c r="C977" s="91"/>
      <c r="D977" s="90"/>
      <c r="E977" s="91"/>
    </row>
    <row r="978">
      <c r="A978" s="90"/>
      <c r="B978" s="90"/>
      <c r="C978" s="91"/>
      <c r="D978" s="90"/>
      <c r="E978" s="91"/>
    </row>
    <row r="979">
      <c r="A979" s="90"/>
      <c r="B979" s="90"/>
      <c r="C979" s="91"/>
      <c r="D979" s="90"/>
      <c r="E979" s="91"/>
    </row>
    <row r="980">
      <c r="A980" s="90"/>
      <c r="B980" s="90"/>
      <c r="C980" s="91"/>
      <c r="D980" s="90"/>
      <c r="E980" s="91"/>
    </row>
    <row r="981">
      <c r="A981" s="90"/>
      <c r="B981" s="90"/>
      <c r="C981" s="91"/>
      <c r="D981" s="90"/>
      <c r="E981" s="91"/>
    </row>
    <row r="982">
      <c r="A982" s="90"/>
      <c r="B982" s="90"/>
      <c r="C982" s="91"/>
      <c r="D982" s="90"/>
      <c r="E982" s="91"/>
    </row>
    <row r="983">
      <c r="A983" s="90"/>
      <c r="B983" s="90"/>
      <c r="C983" s="91"/>
      <c r="D983" s="90"/>
      <c r="E983" s="91"/>
    </row>
    <row r="984">
      <c r="A984" s="90"/>
      <c r="B984" s="90"/>
      <c r="C984" s="91"/>
      <c r="D984" s="90"/>
      <c r="E984" s="91"/>
    </row>
    <row r="985">
      <c r="A985" s="90"/>
      <c r="B985" s="90"/>
      <c r="C985" s="91"/>
      <c r="D985" s="90"/>
      <c r="E985" s="91"/>
    </row>
    <row r="986">
      <c r="A986" s="90"/>
      <c r="B986" s="90"/>
      <c r="C986" s="91"/>
      <c r="D986" s="90"/>
      <c r="E986" s="91"/>
    </row>
    <row r="987">
      <c r="A987" s="90"/>
      <c r="B987" s="90"/>
      <c r="C987" s="91"/>
      <c r="D987" s="90"/>
      <c r="E987" s="91"/>
    </row>
    <row r="988">
      <c r="A988" s="90"/>
      <c r="B988" s="90"/>
      <c r="C988" s="91"/>
      <c r="D988" s="90"/>
      <c r="E988" s="91"/>
    </row>
    <row r="989">
      <c r="A989" s="90"/>
      <c r="B989" s="90"/>
      <c r="C989" s="91"/>
      <c r="D989" s="90"/>
      <c r="E989" s="91"/>
    </row>
    <row r="990">
      <c r="A990" s="90"/>
      <c r="B990" s="90"/>
      <c r="C990" s="91"/>
      <c r="D990" s="90"/>
      <c r="E990" s="91"/>
    </row>
    <row r="991">
      <c r="A991" s="90"/>
      <c r="B991" s="90"/>
      <c r="C991" s="91"/>
      <c r="D991" s="90"/>
      <c r="E991" s="91"/>
    </row>
    <row r="992">
      <c r="A992" s="90"/>
      <c r="B992" s="90"/>
      <c r="C992" s="91"/>
      <c r="D992" s="90"/>
      <c r="E992" s="91"/>
    </row>
    <row r="993">
      <c r="A993" s="90"/>
      <c r="B993" s="90"/>
      <c r="C993" s="91"/>
      <c r="D993" s="90"/>
      <c r="E993" s="91"/>
    </row>
    <row r="994">
      <c r="A994" s="90"/>
      <c r="B994" s="90"/>
      <c r="C994" s="91"/>
      <c r="D994" s="90"/>
      <c r="E994" s="91"/>
    </row>
    <row r="995">
      <c r="A995" s="90"/>
      <c r="B995" s="90"/>
      <c r="C995" s="91"/>
      <c r="D995" s="90"/>
      <c r="E995" s="91"/>
    </row>
    <row r="996">
      <c r="A996" s="90"/>
      <c r="B996" s="90"/>
      <c r="C996" s="91"/>
      <c r="D996" s="90"/>
      <c r="E996" s="91"/>
    </row>
    <row r="997">
      <c r="A997" s="90"/>
      <c r="B997" s="90"/>
      <c r="C997" s="91"/>
      <c r="D997" s="90"/>
      <c r="E997" s="91"/>
    </row>
    <row r="998">
      <c r="A998" s="90"/>
      <c r="B998" s="90"/>
      <c r="C998" s="91"/>
      <c r="D998" s="90"/>
      <c r="E998" s="91"/>
    </row>
    <row r="999">
      <c r="A999" s="90"/>
      <c r="B999" s="90"/>
      <c r="C999" s="91"/>
      <c r="D999" s="90"/>
      <c r="E999" s="91"/>
    </row>
    <row r="1000">
      <c r="A1000" s="90"/>
      <c r="B1000" s="90"/>
      <c r="C1000" s="91"/>
      <c r="D1000" s="90"/>
      <c r="E1000" s="91"/>
    </row>
    <row r="1001">
      <c r="A1001" s="90"/>
      <c r="B1001" s="90"/>
      <c r="C1001" s="91"/>
      <c r="D1001" s="90"/>
      <c r="E1001" s="91"/>
    </row>
    <row r="1002">
      <c r="A1002" s="90"/>
      <c r="B1002" s="90"/>
      <c r="C1002" s="91"/>
      <c r="D1002" s="90"/>
      <c r="E1002" s="91"/>
    </row>
    <row r="1003">
      <c r="A1003" s="90"/>
      <c r="B1003" s="90"/>
      <c r="C1003" s="91"/>
      <c r="D1003" s="90"/>
      <c r="E1003" s="91"/>
    </row>
    <row r="1004">
      <c r="A1004" s="90"/>
      <c r="B1004" s="90"/>
      <c r="C1004" s="91"/>
      <c r="D1004" s="90"/>
      <c r="E1004" s="91"/>
    </row>
    <row r="1005">
      <c r="A1005" s="90"/>
      <c r="B1005" s="90"/>
      <c r="C1005" s="91"/>
      <c r="D1005" s="90"/>
      <c r="E1005" s="91"/>
    </row>
    <row r="1006">
      <c r="A1006" s="90"/>
      <c r="B1006" s="90"/>
      <c r="C1006" s="91"/>
      <c r="D1006" s="90"/>
      <c r="E1006" s="91"/>
    </row>
  </sheetData>
  <mergeCells count="3">
    <mergeCell ref="A1:F2"/>
    <mergeCell ref="H1:K2"/>
    <mergeCell ref="H7:K7"/>
  </mergeCells>
  <conditionalFormatting sqref="A4:F104">
    <cfRule type="expression" dxfId="3" priority="1" stopIfTrue="1">
      <formula>$E4="Reserved"</formula>
    </cfRule>
  </conditionalFormatting>
  <conditionalFormatting sqref="A3:F3">
    <cfRule type="notContainsBlanks" dxfId="4" priority="2">
      <formula>LEN(TRIM(A3))&gt;0</formula>
    </cfRule>
  </conditionalFormatting>
  <conditionalFormatting sqref="G3">
    <cfRule type="notContainsBlanks" dxfId="5" priority="3">
      <formula>LEN(TRIM(G3))&gt;0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4.0"/>
    <col customWidth="1" min="2" max="2" width="10.63"/>
    <col customWidth="1" min="3" max="3" width="7.88"/>
    <col customWidth="1" min="4" max="4" width="17.5"/>
    <col customWidth="1" hidden="1" min="5" max="5" width="15.13"/>
    <col customWidth="1" min="6" max="6" width="11.63"/>
    <col customWidth="1" min="7" max="7" width="10.13"/>
    <col customWidth="1" min="8" max="8" width="12.13"/>
    <col customWidth="1" hidden="1" min="9" max="9" width="12.63"/>
    <col customWidth="1" min="10" max="12" width="12.63"/>
    <col customWidth="1" min="13" max="13" width="18.88"/>
  </cols>
  <sheetData>
    <row r="1" ht="28.5" customHeight="1">
      <c r="A1" s="92" t="s">
        <v>160</v>
      </c>
      <c r="C1" s="92"/>
      <c r="D1" s="92"/>
      <c r="E1" s="92"/>
      <c r="F1" s="92"/>
      <c r="G1" s="92"/>
      <c r="H1" s="93"/>
      <c r="I1" s="93"/>
      <c r="J1" s="93"/>
      <c r="K1" s="93"/>
      <c r="L1" s="93"/>
      <c r="M1" s="93"/>
    </row>
    <row r="2" ht="28.5" customHeight="1">
      <c r="A2" s="94"/>
      <c r="B2" s="95"/>
      <c r="C2" s="96" t="s">
        <v>6</v>
      </c>
      <c r="D2" s="97" t="s">
        <v>82</v>
      </c>
      <c r="E2" s="94"/>
      <c r="F2" s="98"/>
      <c r="G2" s="99"/>
      <c r="H2" s="98"/>
      <c r="I2" s="98"/>
      <c r="J2" s="98"/>
      <c r="K2" s="98"/>
      <c r="L2" s="98"/>
      <c r="M2" s="94"/>
    </row>
    <row r="3" ht="28.5" customHeight="1">
      <c r="A3" s="100" t="s">
        <v>161</v>
      </c>
      <c r="B3" s="101" t="s">
        <v>162</v>
      </c>
      <c r="C3" s="100" t="s">
        <v>163</v>
      </c>
      <c r="D3" s="100" t="s">
        <v>17</v>
      </c>
      <c r="E3" s="100" t="s">
        <v>19</v>
      </c>
      <c r="F3" s="102" t="s">
        <v>164</v>
      </c>
      <c r="G3" s="103" t="s">
        <v>21</v>
      </c>
      <c r="H3" s="102" t="s">
        <v>165</v>
      </c>
      <c r="I3" s="102" t="s">
        <v>166</v>
      </c>
      <c r="J3" s="100" t="s">
        <v>167</v>
      </c>
      <c r="K3" s="100" t="str">
        <f t="array" ref="K3:K999">{"Accumulated Total"; IFERROR(IF(F4:F999="","", IF(J4:J999="","", F4:F999 * MONTH(J4:J999 &amp; " 1"))), "")}</f>
        <v>Accumulated Total</v>
      </c>
      <c r="L3" s="102" t="str">
        <f t="array" ref="L3:L999">{"Total Balance"; IFERROR(IF(B4:B999="", "", IF((D4:D999="Vacant")+(D4:D999="Reserved"), 0, IF(((MONTH(TODAY())*F4:F999)+N(H4:H999)-K4:K999) &lt; 0, 0, (MONTH(TODAY())*F4:F999)+N(H4:H999)-K4:K999))), "")}</f>
        <v>Total Balance</v>
      </c>
      <c r="M3" s="100" t="str">
        <f t="array" ref="M3:M999">{"Billing Status"; IF(D4:D999="", "", IF(D4:D999="Vacant", "Vacant", IF(L4:L999&lt;=0, "✅ Paid / Secured", IF((L4:L999&gt;F4:F999) + (TODAY() &gt; DATE(YEAR(TODAY()), MONTH(TODAY()), DAY(G4:G999)) + 5), "❌ OVERDUE / UNPAID", IF(TODAY() &gt;= DATE(YEAR(TODAY()), MONTH(TODAY()), DAY(G4:G999)), "⏳ Grace Period", "🟢 Open Window")))))}</f>
        <v>Billing Status</v>
      </c>
    </row>
    <row r="4">
      <c r="A4" s="104">
        <f t="array" ref="A4:A57">SEQUENCE(COUNTA(B4:B999),1)</f>
        <v>1</v>
      </c>
      <c r="B4" s="105" t="s">
        <v>114</v>
      </c>
      <c r="C4" s="106" t="str">
        <f>IFERROR(VLOOKUP($B4, 'Master Roster'!$A:$C, 3, FALSE), "")</f>
        <v>ANX</v>
      </c>
      <c r="D4" s="106" t="str">
        <f>IFERROR(VLOOKUP($B4, 'Master Roster'!$A:$E, 5, FALSE), "")</f>
        <v>Samantha Musako (Kakompe)</v>
      </c>
      <c r="E4" s="107">
        <f>IFERROR(VLOOKUP($B4, 'Master Roster'!$A:$F, 6, FALSE), "")</f>
        <v>260977227794</v>
      </c>
      <c r="F4" s="108">
        <f>IFERROR(VLOOKUP($B4, 'Master Roster'!$A:$H, 8, FALSE), "")</f>
        <v>1200</v>
      </c>
      <c r="G4" s="109">
        <f>IFERROR(VLOOKUP($B4, 'Master Roster'!$A:$G, 7, FALSE), "")</f>
        <v>46199</v>
      </c>
      <c r="H4" s="108"/>
      <c r="I4" s="110"/>
      <c r="J4" s="111" t="s">
        <v>168</v>
      </c>
      <c r="K4" s="108">
        <v>9600.0</v>
      </c>
      <c r="L4" s="108">
        <v>1200.0</v>
      </c>
      <c r="M4" s="106" t="s">
        <v>169</v>
      </c>
    </row>
    <row r="5">
      <c r="A5" s="112">
        <v>2.0</v>
      </c>
      <c r="B5" s="113" t="s">
        <v>117</v>
      </c>
      <c r="C5" s="114" t="str">
        <f>IFERROR(VLOOKUP($B5, 'Master Roster'!$A:$C, 3, FALSE), "")</f>
        <v>ANX</v>
      </c>
      <c r="D5" s="114" t="str">
        <f>IFERROR(VLOOKUP($B5, 'Master Roster'!$A:$E, 5, FALSE), "")</f>
        <v>Chanda Lutashima</v>
      </c>
      <c r="E5" s="115">
        <f>IFERROR(VLOOKUP($B5, 'Master Roster'!$A:$F, 6, FALSE), "")</f>
        <v>260977951894</v>
      </c>
      <c r="F5" s="116">
        <f>IFERROR(VLOOKUP($B5, 'Master Roster'!$A:$H, 8, FALSE), "")</f>
        <v>1200</v>
      </c>
      <c r="G5" s="117">
        <f>IFERROR(VLOOKUP($B5, 'Master Roster'!$A:$G, 7, FALSE), "")</f>
        <v>46180</v>
      </c>
      <c r="H5" s="116"/>
      <c r="I5" s="118"/>
      <c r="J5" s="119" t="s">
        <v>170</v>
      </c>
      <c r="K5" s="116">
        <v>10800.0</v>
      </c>
      <c r="L5" s="116">
        <v>0.0</v>
      </c>
      <c r="M5" s="114" t="s">
        <v>171</v>
      </c>
    </row>
    <row r="6">
      <c r="A6" s="104">
        <v>3.0</v>
      </c>
      <c r="B6" s="105" t="s">
        <v>118</v>
      </c>
      <c r="C6" s="106" t="str">
        <f>IFERROR(VLOOKUP($B6, 'Master Roster'!$A:$C, 3, FALSE), "")</f>
        <v>ANX</v>
      </c>
      <c r="D6" s="106" t="str">
        <f>IFERROR(VLOOKUP($B6, 'Master Roster'!$A:$E, 5, FALSE), "")</f>
        <v>Josephine Nyirenda </v>
      </c>
      <c r="E6" s="107">
        <f>IFERROR(VLOOKUP($B6, 'Master Roster'!$A:$F, 6, FALSE), "")</f>
        <v>260779841908</v>
      </c>
      <c r="F6" s="108">
        <f>IFERROR(VLOOKUP($B6, 'Master Roster'!$A:$H, 8, FALSE), "")</f>
        <v>1200</v>
      </c>
      <c r="G6" s="109">
        <f>IFERROR(VLOOKUP($B6, 'Master Roster'!$A:$G, 7, FALSE), "")</f>
        <v>46148</v>
      </c>
      <c r="H6" s="108"/>
      <c r="I6" s="110"/>
      <c r="J6" s="111" t="s">
        <v>168</v>
      </c>
      <c r="K6" s="108">
        <v>9600.0</v>
      </c>
      <c r="L6" s="108">
        <v>1200.0</v>
      </c>
      <c r="M6" s="106" t="s">
        <v>172</v>
      </c>
    </row>
    <row r="7">
      <c r="A7" s="120">
        <v>4.0</v>
      </c>
      <c r="B7" s="113" t="s">
        <v>120</v>
      </c>
      <c r="C7" s="114" t="str">
        <f>IFERROR(VLOOKUP($B7, 'Master Roster'!$A:$C, 3, FALSE), "")</f>
        <v>ANX</v>
      </c>
      <c r="D7" s="114" t="str">
        <f>IFERROR(VLOOKUP($B7, 'Master Roster'!$A:$E, 5, FALSE), "")</f>
        <v>Lubono Ruthendo</v>
      </c>
      <c r="E7" s="115">
        <f>IFERROR(VLOOKUP($B7, 'Master Roster'!$A:$F, 6, FALSE), "")</f>
        <v>260953618278</v>
      </c>
      <c r="F7" s="116">
        <f>IFERROR(VLOOKUP($B7, 'Master Roster'!$A:$H, 8, FALSE), "")</f>
        <v>1200</v>
      </c>
      <c r="G7" s="117">
        <f>IFERROR(VLOOKUP($B7, 'Master Roster'!$A:$G, 7, FALSE), "")</f>
        <v>46207</v>
      </c>
      <c r="H7" s="119"/>
      <c r="I7" s="121"/>
      <c r="J7" s="119" t="s">
        <v>170</v>
      </c>
      <c r="K7" s="119">
        <v>10800.0</v>
      </c>
      <c r="L7" s="116">
        <v>0.0</v>
      </c>
      <c r="M7" s="114" t="s">
        <v>171</v>
      </c>
    </row>
    <row r="8">
      <c r="A8" s="104">
        <v>5.0</v>
      </c>
      <c r="B8" s="105" t="s">
        <v>122</v>
      </c>
      <c r="C8" s="106" t="str">
        <f>IFERROR(VLOOKUP($B8, 'Master Roster'!$A:$C, 3, FALSE), "")</f>
        <v>ANX</v>
      </c>
      <c r="D8" s="106" t="str">
        <f>IFERROR(VLOOKUP($B8, 'Master Roster'!$A:$E, 5, FALSE), "")</f>
        <v>Steven Musonda</v>
      </c>
      <c r="E8" s="107">
        <f>IFERROR(VLOOKUP($B8, 'Master Roster'!$A:$F, 6, FALSE), "")</f>
        <v>260975303236</v>
      </c>
      <c r="F8" s="108">
        <f>IFERROR(VLOOKUP($B8, 'Master Roster'!$A:$H, 8, FALSE), "")</f>
        <v>1400</v>
      </c>
      <c r="G8" s="109">
        <f>IFERROR(VLOOKUP($B8, 'Master Roster'!$A:$G, 7, FALSE), "")</f>
        <v>46178</v>
      </c>
      <c r="H8" s="111"/>
      <c r="I8" s="122"/>
      <c r="J8" s="111" t="s">
        <v>170</v>
      </c>
      <c r="K8" s="108">
        <v>12600.0</v>
      </c>
      <c r="L8" s="108">
        <v>0.0</v>
      </c>
      <c r="M8" s="106" t="s">
        <v>171</v>
      </c>
    </row>
    <row r="9">
      <c r="A9" s="120">
        <v>6.0</v>
      </c>
      <c r="B9" s="113" t="s">
        <v>24</v>
      </c>
      <c r="C9" s="114" t="str">
        <f>IFERROR(VLOOKUP($B9, 'Master Roster'!$A:$C, 3, FALSE), "")</f>
        <v>BBH</v>
      </c>
      <c r="D9" s="114" t="str">
        <f>IFERROR(VLOOKUP($B9, 'Master Roster'!$A:$E, 5, FALSE), "")</f>
        <v>Adrian mulale</v>
      </c>
      <c r="E9" s="115">
        <f>IFERROR(VLOOKUP($B9, 'Master Roster'!$A:$F, 6, FALSE), "")</f>
        <v>260977146630</v>
      </c>
      <c r="F9" s="116">
        <f>IFERROR(VLOOKUP($B9, 'Master Roster'!$A:$H, 8, FALSE), "")</f>
        <v>950</v>
      </c>
      <c r="G9" s="117">
        <f>IFERROR(VLOOKUP($B9, 'Master Roster'!$A:$G, 7, FALSE), "")</f>
        <v>46203</v>
      </c>
      <c r="H9" s="116"/>
      <c r="I9" s="118"/>
      <c r="J9" s="119" t="s">
        <v>168</v>
      </c>
      <c r="K9" s="116">
        <v>7600.0</v>
      </c>
      <c r="L9" s="116">
        <v>950.0</v>
      </c>
      <c r="M9" s="114" t="s">
        <v>169</v>
      </c>
    </row>
    <row r="10">
      <c r="A10" s="104">
        <v>7.0</v>
      </c>
      <c r="B10" s="105" t="s">
        <v>33</v>
      </c>
      <c r="C10" s="106" t="str">
        <f>IFERROR(VLOOKUP($B10, 'Master Roster'!$A:$C, 3, FALSE), "")</f>
        <v>BBH</v>
      </c>
      <c r="D10" s="106" t="str">
        <f>IFERROR(VLOOKUP($B10, 'Master Roster'!$A:$E, 5, FALSE), "")</f>
        <v>Wisdom Bwani</v>
      </c>
      <c r="E10" s="107" t="str">
        <f>IFERROR(VLOOKUP($B10, 'Master Roster'!$A:$F, 6, FALSE), "")</f>
        <v>260776960320</v>
      </c>
      <c r="F10" s="108">
        <f>IFERROR(VLOOKUP($B10, 'Master Roster'!$A:$H, 8, FALSE), "")</f>
        <v>900</v>
      </c>
      <c r="G10" s="109">
        <f>IFERROR(VLOOKUP($B10, 'Master Roster'!$A:$G, 7, FALSE), "")</f>
        <v>46178</v>
      </c>
      <c r="H10" s="111"/>
      <c r="I10" s="122"/>
      <c r="J10" s="111" t="s">
        <v>168</v>
      </c>
      <c r="K10" s="108">
        <v>7200.0</v>
      </c>
      <c r="L10" s="108">
        <v>900.0</v>
      </c>
      <c r="M10" s="106" t="s">
        <v>172</v>
      </c>
    </row>
    <row r="11">
      <c r="A11" s="112">
        <v>8.0</v>
      </c>
      <c r="B11" s="113" t="s">
        <v>37</v>
      </c>
      <c r="C11" s="114" t="str">
        <f>IFERROR(VLOOKUP($B11, 'Master Roster'!$A:$C, 3, FALSE), "")</f>
        <v>BBH</v>
      </c>
      <c r="D11" s="114" t="str">
        <f>IFERROR(VLOOKUP($B11, 'Master Roster'!$A:$E, 5, FALSE), "")</f>
        <v>Jackson Mwanza</v>
      </c>
      <c r="E11" s="115" t="str">
        <f>IFERROR(VLOOKUP($B11, 'Master Roster'!$A:$F, 6, FALSE), "")</f>
        <v>260976625656</v>
      </c>
      <c r="F11" s="116">
        <f>IFERROR(VLOOKUP($B11, 'Master Roster'!$A:$H, 8, FALSE), "")</f>
        <v>900</v>
      </c>
      <c r="G11" s="117">
        <f>IFERROR(VLOOKUP($B11, 'Master Roster'!$A:$G, 7, FALSE), "")</f>
        <v>46181</v>
      </c>
      <c r="H11" s="119">
        <v>-600.0</v>
      </c>
      <c r="I11" s="121"/>
      <c r="J11" s="119" t="s">
        <v>177</v>
      </c>
      <c r="K11" s="119">
        <v>6300.0</v>
      </c>
      <c r="L11" s="116">
        <v>1200.0</v>
      </c>
      <c r="M11" s="114" t="s">
        <v>179</v>
      </c>
    </row>
    <row r="12">
      <c r="A12" s="104">
        <v>9.0</v>
      </c>
      <c r="B12" s="105" t="s">
        <v>41</v>
      </c>
      <c r="C12" s="106" t="str">
        <f>IFERROR(VLOOKUP($B12, 'Master Roster'!$A:$C, 3, FALSE), "")</f>
        <v>BBH</v>
      </c>
      <c r="D12" s="106" t="str">
        <f>IFERROR(VLOOKUP($B12, 'Master Roster'!$A:$E, 5, FALSE), "")</f>
        <v>Prosper Kalayi</v>
      </c>
      <c r="E12" s="107">
        <f>IFERROR(VLOOKUP($B12, 'Master Roster'!$A:$F, 6, FALSE), "")</f>
        <v>260970522913</v>
      </c>
      <c r="F12" s="108">
        <f>IFERROR(VLOOKUP($B12, 'Master Roster'!$A:$H, 8, FALSE), "")</f>
        <v>900</v>
      </c>
      <c r="G12" s="109">
        <f>IFERROR(VLOOKUP($B12, 'Master Roster'!$A:$G, 7, FALSE), "")</f>
        <v>46186</v>
      </c>
      <c r="H12" s="108"/>
      <c r="I12" s="110"/>
      <c r="J12" s="111" t="s">
        <v>168</v>
      </c>
      <c r="K12" s="108">
        <v>7200.0</v>
      </c>
      <c r="L12" s="108">
        <v>900.0</v>
      </c>
      <c r="M12" s="106" t="s">
        <v>169</v>
      </c>
    </row>
    <row r="13">
      <c r="A13" s="112">
        <v>10.0</v>
      </c>
      <c r="B13" s="113" t="s">
        <v>44</v>
      </c>
      <c r="C13" s="114" t="str">
        <f>IFERROR(VLOOKUP($B13, 'Master Roster'!$A:$C, 3, FALSE), "")</f>
        <v>BBH</v>
      </c>
      <c r="D13" s="139" t="str">
        <f>IFERROR(VLOOKUP($B13, 'Master Roster'!$A:$E, 5, FALSE), "")</f>
        <v>Shadrach Munganini</v>
      </c>
      <c r="E13" s="115">
        <f>IFERROR(VLOOKUP($B13, 'Master Roster'!$A:$F, 6, FALSE), "")</f>
        <v>260979567550</v>
      </c>
      <c r="F13" s="116">
        <f>IFERROR(VLOOKUP($B13, 'Master Roster'!$A:$H, 8, FALSE), "")</f>
        <v>900</v>
      </c>
      <c r="G13" s="117">
        <f>IFERROR(VLOOKUP($B13, 'Master Roster'!$A:$G, 7, FALSE), "")</f>
        <v>46228</v>
      </c>
      <c r="H13" s="116"/>
      <c r="I13" s="118"/>
      <c r="J13" s="119" t="s">
        <v>168</v>
      </c>
      <c r="K13" s="116">
        <v>7200.0</v>
      </c>
      <c r="L13" s="116">
        <v>900.0</v>
      </c>
      <c r="M13" s="114" t="s">
        <v>169</v>
      </c>
    </row>
    <row r="14">
      <c r="A14" s="104">
        <v>11.0</v>
      </c>
      <c r="B14" s="105" t="s">
        <v>47</v>
      </c>
      <c r="C14" s="106" t="str">
        <f>IFERROR(VLOOKUP($B14, 'Master Roster'!$A:$C, 3, FALSE), "")</f>
        <v>BBH</v>
      </c>
      <c r="D14" s="106" t="str">
        <f>IFERROR(VLOOKUP($B14, 'Master Roster'!$A:$E, 5, FALSE), "")</f>
        <v>Collins Mubanga</v>
      </c>
      <c r="E14" s="107">
        <f>IFERROR(VLOOKUP($B14, 'Master Roster'!$A:$F, 6, FALSE), "")</f>
        <v>260777237029</v>
      </c>
      <c r="F14" s="108">
        <f>IFERROR(VLOOKUP($B14, 'Master Roster'!$A:$H, 8, FALSE), "")</f>
        <v>900</v>
      </c>
      <c r="G14" s="109">
        <f>IFERROR(VLOOKUP($B14, 'Master Roster'!$A:$G, 7, FALSE), "")</f>
        <v>46176</v>
      </c>
      <c r="H14" s="108"/>
      <c r="I14" s="110"/>
      <c r="J14" s="111" t="s">
        <v>168</v>
      </c>
      <c r="K14" s="108">
        <v>7200.0</v>
      </c>
      <c r="L14" s="108">
        <v>900.0</v>
      </c>
      <c r="M14" s="106" t="s">
        <v>172</v>
      </c>
    </row>
    <row r="15">
      <c r="A15" s="120">
        <v>12.0</v>
      </c>
      <c r="B15" s="113" t="s">
        <v>50</v>
      </c>
      <c r="C15" s="114" t="str">
        <f>IFERROR(VLOOKUP($B15, 'Master Roster'!$A:$C, 3, FALSE), "")</f>
        <v>BBH</v>
      </c>
      <c r="D15" s="114" t="str">
        <f>IFERROR(VLOOKUP($B15, 'Master Roster'!$A:$E, 5, FALSE), "")</f>
        <v>Himalikiti Saviour</v>
      </c>
      <c r="E15" s="115">
        <f>IFERROR(VLOOKUP($B15, 'Master Roster'!$A:$F, 6, FALSE), "")</f>
        <v>260975547126</v>
      </c>
      <c r="F15" s="116">
        <f>IFERROR(VLOOKUP($B15, 'Master Roster'!$A:$H, 8, FALSE), "")</f>
        <v>950</v>
      </c>
      <c r="G15" s="117">
        <f>IFERROR(VLOOKUP($B15, 'Master Roster'!$A:$G, 7, FALSE), "")</f>
        <v>46195</v>
      </c>
      <c r="H15" s="116"/>
      <c r="I15" s="118"/>
      <c r="J15" s="119" t="s">
        <v>177</v>
      </c>
      <c r="K15" s="116">
        <v>6650.0</v>
      </c>
      <c r="L15" s="116">
        <v>1900.0</v>
      </c>
      <c r="M15" s="114" t="s">
        <v>179</v>
      </c>
    </row>
    <row r="16">
      <c r="A16" s="104">
        <v>13.0</v>
      </c>
      <c r="B16" s="105" t="s">
        <v>53</v>
      </c>
      <c r="C16" s="106" t="str">
        <f>IFERROR(VLOOKUP($B16, 'Master Roster'!$A:$C, 3, FALSE), "")</f>
        <v>BBH</v>
      </c>
      <c r="D16" s="148" t="str">
        <f>IFERROR(VLOOKUP($B16, 'Master Roster'!$A:$E, 5, FALSE), "")</f>
        <v>Wampa </v>
      </c>
      <c r="E16" s="107">
        <f>IFERROR(VLOOKUP($B16, 'Master Roster'!$A:$F, 6, FALSE), "")</f>
        <v>260971071877</v>
      </c>
      <c r="F16" s="108">
        <f>IFERROR(VLOOKUP($B16, 'Master Roster'!$A:$H, 8, FALSE), "")</f>
        <v>0</v>
      </c>
      <c r="G16" s="109">
        <f>IFERROR(VLOOKUP($B16, 'Master Roster'!$A:$G, 7, FALSE), "")</f>
        <v>46225</v>
      </c>
      <c r="H16" s="111"/>
      <c r="I16" s="149" t="s">
        <v>187</v>
      </c>
      <c r="J16" s="111" t="s">
        <v>177</v>
      </c>
      <c r="K16" s="108">
        <v>0.0</v>
      </c>
      <c r="L16" s="108">
        <v>0.0</v>
      </c>
      <c r="M16" s="106" t="s">
        <v>171</v>
      </c>
    </row>
    <row r="17">
      <c r="A17" s="112">
        <v>14.0</v>
      </c>
      <c r="B17" s="113" t="s">
        <v>55</v>
      </c>
      <c r="C17" s="114" t="str">
        <f>IFERROR(VLOOKUP($B17, 'Master Roster'!$A:$C, 3, FALSE), "")</f>
        <v>BBH</v>
      </c>
      <c r="D17" s="114" t="str">
        <f>IFERROR(VLOOKUP($B17, 'Master Roster'!$A:$E, 5, FALSE), "")</f>
        <v>McDonald</v>
      </c>
      <c r="E17" s="115">
        <f>IFERROR(VLOOKUP($B17, 'Master Roster'!$A:$F, 6, FALSE), "")</f>
        <v>260773456119</v>
      </c>
      <c r="F17" s="116">
        <f>IFERROR(VLOOKUP($B17, 'Master Roster'!$A:$H, 8, FALSE), "")</f>
        <v>900</v>
      </c>
      <c r="G17" s="117">
        <f>IFERROR(VLOOKUP($B17, 'Master Roster'!$A:$G, 7, FALSE), "")</f>
        <v>46174</v>
      </c>
      <c r="H17" s="119">
        <v>-1000.0</v>
      </c>
      <c r="I17" s="121" t="s">
        <v>188</v>
      </c>
      <c r="J17" s="119" t="s">
        <v>189</v>
      </c>
      <c r="K17" s="119">
        <v>4500.0</v>
      </c>
      <c r="L17" s="116">
        <v>2600.0</v>
      </c>
      <c r="M17" s="114" t="s">
        <v>179</v>
      </c>
    </row>
    <row r="18">
      <c r="A18" s="152">
        <v>15.0</v>
      </c>
      <c r="B18" s="105" t="s">
        <v>58</v>
      </c>
      <c r="C18" s="106" t="str">
        <f>IFERROR(VLOOKUP($B18, 'Master Roster'!$A:$C, 3, FALSE), "")</f>
        <v>BBH</v>
      </c>
      <c r="D18" s="106" t="str">
        <f>IFERROR(VLOOKUP($B18, 'Master Roster'!$A:$E, 5, FALSE), "")</f>
        <v>Nanga Obrien</v>
      </c>
      <c r="E18" s="107">
        <f>IFERROR(VLOOKUP($B18, 'Master Roster'!$A:$F, 6, FALSE), "")</f>
        <v>260770838758</v>
      </c>
      <c r="F18" s="108">
        <f>IFERROR(VLOOKUP($B18, 'Master Roster'!$A:$H, 8, FALSE), "")</f>
        <v>900</v>
      </c>
      <c r="G18" s="109">
        <f>IFERROR(VLOOKUP($B18, 'Master Roster'!$A:$G, 7, FALSE), "")</f>
        <v>46048</v>
      </c>
      <c r="H18" s="111"/>
      <c r="I18" s="122"/>
      <c r="J18" s="111" t="s">
        <v>189</v>
      </c>
      <c r="K18" s="111">
        <v>4500.0</v>
      </c>
      <c r="L18" s="108">
        <v>3600.0</v>
      </c>
      <c r="M18" s="106" t="s">
        <v>179</v>
      </c>
    </row>
    <row r="19">
      <c r="A19" s="112">
        <v>16.0</v>
      </c>
      <c r="B19" s="113" t="s">
        <v>61</v>
      </c>
      <c r="C19" s="114" t="str">
        <f>IFERROR(VLOOKUP($B19, 'Master Roster'!$A:$C, 3, FALSE), "")</f>
        <v>BBH</v>
      </c>
      <c r="D19" s="114" t="str">
        <f>IFERROR(VLOOKUP($B19, 'Master Roster'!$A:$E, 5, FALSE), "")</f>
        <v>Zick Phiri</v>
      </c>
      <c r="E19" s="115">
        <f>IFERROR(VLOOKUP($B19, 'Master Roster'!$A:$F, 6, FALSE), "")</f>
        <v>260973072762</v>
      </c>
      <c r="F19" s="116">
        <f>IFERROR(VLOOKUP($B19, 'Master Roster'!$A:$H, 8, FALSE), "")</f>
        <v>900</v>
      </c>
      <c r="G19" s="117">
        <f>IFERROR(VLOOKUP($B19, 'Master Roster'!$A:$G, 7, FALSE), "")</f>
        <v>46184</v>
      </c>
      <c r="H19" s="116"/>
      <c r="I19" s="118"/>
      <c r="J19" s="119" t="s">
        <v>168</v>
      </c>
      <c r="K19" s="116">
        <v>7200.0</v>
      </c>
      <c r="L19" s="116">
        <v>900.0</v>
      </c>
      <c r="M19" s="114" t="s">
        <v>169</v>
      </c>
    </row>
    <row r="20">
      <c r="A20" s="104">
        <v>17.0</v>
      </c>
      <c r="B20" s="105" t="s">
        <v>63</v>
      </c>
      <c r="C20" s="106" t="str">
        <f>IFERROR(VLOOKUP($B20, 'Master Roster'!$A:$C, 3, FALSE), "")</f>
        <v>BBH</v>
      </c>
      <c r="D20" s="106" t="str">
        <f>IFERROR(VLOOKUP($B20, 'Master Roster'!$A:$E, 5, FALSE), "")</f>
        <v>Funny Muyamina</v>
      </c>
      <c r="E20" s="107" t="str">
        <f>IFERROR(VLOOKUP($B20, 'Master Roster'!$A:$F, 6, FALSE), "")</f>
        <v>260771096585</v>
      </c>
      <c r="F20" s="108">
        <f>IFERROR(VLOOKUP($B20, 'Master Roster'!$A:$H, 8, FALSE), "")</f>
        <v>900</v>
      </c>
      <c r="G20" s="109">
        <f>IFERROR(VLOOKUP($B20, 'Master Roster'!$A:$G, 7, FALSE), "")</f>
        <v>46178</v>
      </c>
      <c r="H20" s="108"/>
      <c r="I20" s="110"/>
      <c r="J20" s="111" t="s">
        <v>168</v>
      </c>
      <c r="K20" s="108">
        <v>7200.0</v>
      </c>
      <c r="L20" s="108">
        <v>900.0</v>
      </c>
      <c r="M20" s="106" t="s">
        <v>172</v>
      </c>
    </row>
    <row r="21">
      <c r="A21" s="112">
        <v>18.0</v>
      </c>
      <c r="B21" s="113" t="s">
        <v>66</v>
      </c>
      <c r="C21" s="114" t="str">
        <f>IFERROR(VLOOKUP($B21, 'Master Roster'!$A:$C, 3, FALSE), "")</f>
        <v>BBH</v>
      </c>
      <c r="D21" s="114" t="str">
        <f>IFERROR(VLOOKUP($B21, 'Master Roster'!$A:$E, 5, FALSE), "")</f>
        <v>Treasure Simeenda</v>
      </c>
      <c r="E21" s="115" t="str">
        <f>IFERROR(VLOOKUP($B21, 'Master Roster'!$A:$F, 6, FALSE), "")</f>
        <v>260772393278</v>
      </c>
      <c r="F21" s="116">
        <f>IFERROR(VLOOKUP($B21, 'Master Roster'!$A:$H, 8, FALSE), "")</f>
        <v>900</v>
      </c>
      <c r="G21" s="117">
        <f>IFERROR(VLOOKUP($B21, 'Master Roster'!$A:$G, 7, FALSE), "")</f>
        <v>46178</v>
      </c>
      <c r="H21" s="116"/>
      <c r="I21" s="118"/>
      <c r="J21" s="119" t="s">
        <v>168</v>
      </c>
      <c r="K21" s="116">
        <v>7200.0</v>
      </c>
      <c r="L21" s="116">
        <v>900.0</v>
      </c>
      <c r="M21" s="114" t="s">
        <v>172</v>
      </c>
    </row>
    <row r="22">
      <c r="A22" s="104">
        <v>19.0</v>
      </c>
      <c r="B22" s="105" t="s">
        <v>70</v>
      </c>
      <c r="C22" s="106" t="str">
        <f>IFERROR(VLOOKUP($B22, 'Master Roster'!$A:$C, 3, FALSE), "")</f>
        <v>BBH</v>
      </c>
      <c r="D22" s="106" t="str">
        <f>IFERROR(VLOOKUP($B22, 'Master Roster'!$A:$E, 5, FALSE), "")</f>
        <v>Vacant</v>
      </c>
      <c r="E22" s="107" t="str">
        <f>IFERROR(VLOOKUP($B22, 'Master Roster'!$A:$F, 6, FALSE), "")</f>
        <v/>
      </c>
      <c r="F22" s="108">
        <f>IFERROR(VLOOKUP($B22, 'Master Roster'!$A:$H, 8, FALSE), "")</f>
        <v>900</v>
      </c>
      <c r="G22" s="109" t="str">
        <f>IFERROR(VLOOKUP($B22, 'Master Roster'!$A:$G, 7, FALSE), "")</f>
        <v/>
      </c>
      <c r="H22" s="111"/>
      <c r="I22" s="122"/>
      <c r="J22" s="111" t="s">
        <v>190</v>
      </c>
      <c r="K22" s="108">
        <v>5400.0</v>
      </c>
      <c r="L22" s="108">
        <v>0.0</v>
      </c>
      <c r="M22" s="106" t="s">
        <v>13</v>
      </c>
    </row>
    <row r="23">
      <c r="A23" s="112">
        <v>20.0</v>
      </c>
      <c r="B23" s="113" t="s">
        <v>72</v>
      </c>
      <c r="C23" s="114" t="str">
        <f>IFERROR(VLOOKUP($B23, 'Master Roster'!$A:$C, 3, FALSE), "")</f>
        <v>BBH</v>
      </c>
      <c r="D23" s="114" t="str">
        <f>IFERROR(VLOOKUP($B23, 'Master Roster'!$A:$E, 5, FALSE), "")</f>
        <v>Kangwa Kunda</v>
      </c>
      <c r="E23" s="115">
        <f>IFERROR(VLOOKUP($B23, 'Master Roster'!$A:$F, 6, FALSE), "")</f>
        <v>260972024337</v>
      </c>
      <c r="F23" s="116">
        <f>IFERROR(VLOOKUP($B23, 'Master Roster'!$A:$H, 8, FALSE), "")</f>
        <v>900</v>
      </c>
      <c r="G23" s="117">
        <f>IFERROR(VLOOKUP($B23, 'Master Roster'!$A:$G, 7, FALSE), "")</f>
        <v>46198</v>
      </c>
      <c r="H23" s="116"/>
      <c r="I23" s="118"/>
      <c r="J23" s="119" t="s">
        <v>168</v>
      </c>
      <c r="K23" s="116">
        <v>7200.0</v>
      </c>
      <c r="L23" s="116">
        <v>900.0</v>
      </c>
      <c r="M23" s="114" t="s">
        <v>169</v>
      </c>
    </row>
    <row r="24">
      <c r="A24" s="152">
        <v>21.0</v>
      </c>
      <c r="B24" s="105" t="s">
        <v>74</v>
      </c>
      <c r="C24" s="106" t="str">
        <f>IFERROR(VLOOKUP($B24, 'Master Roster'!$A:$C, 3, FALSE), "")</f>
        <v>BBH</v>
      </c>
      <c r="D24" s="106" t="str">
        <f>IFERROR(VLOOKUP($B24, 'Master Roster'!$A:$E, 5, FALSE), "")</f>
        <v>Vacant</v>
      </c>
      <c r="E24" s="107" t="str">
        <f>IFERROR(VLOOKUP($B24, 'Master Roster'!$A:$F, 6, FALSE), "")</f>
        <v/>
      </c>
      <c r="F24" s="108">
        <f>IFERROR(VLOOKUP($B24, 'Master Roster'!$A:$H, 8, FALSE), "")</f>
        <v>900</v>
      </c>
      <c r="G24" s="109" t="str">
        <f>IFERROR(VLOOKUP($B24, 'Master Roster'!$A:$G, 7, FALSE), "")</f>
        <v/>
      </c>
      <c r="H24" s="108"/>
      <c r="I24" s="110"/>
      <c r="J24" s="111" t="s">
        <v>190</v>
      </c>
      <c r="K24" s="108">
        <v>5400.0</v>
      </c>
      <c r="L24" s="108">
        <v>0.0</v>
      </c>
      <c r="M24" s="106" t="s">
        <v>13</v>
      </c>
    </row>
    <row r="25">
      <c r="A25" s="112">
        <v>22.0</v>
      </c>
      <c r="B25" s="113" t="s">
        <v>75</v>
      </c>
      <c r="C25" s="114" t="str">
        <f>IFERROR(VLOOKUP($B25, 'Master Roster'!$A:$C, 3, FALSE), "")</f>
        <v>BBH</v>
      </c>
      <c r="D25" s="114" t="str">
        <f>IFERROR(VLOOKUP($B25, 'Master Roster'!$A:$E, 5, FALSE), "")</f>
        <v>Felistus Mweemba</v>
      </c>
      <c r="E25" s="115">
        <f>IFERROR(VLOOKUP($B25, 'Master Roster'!$A:$F, 6, FALSE), "")</f>
        <v>260764785030</v>
      </c>
      <c r="F25" s="116">
        <f>IFERROR(VLOOKUP($B25, 'Master Roster'!$A:$H, 8, FALSE), "")</f>
        <v>900</v>
      </c>
      <c r="G25" s="117">
        <f>IFERROR(VLOOKUP($B25, 'Master Roster'!$A:$G, 7, FALSE), "")</f>
        <v>46182</v>
      </c>
      <c r="H25" s="116"/>
      <c r="I25" s="118"/>
      <c r="J25" s="119" t="s">
        <v>168</v>
      </c>
      <c r="K25" s="116">
        <v>7200.0</v>
      </c>
      <c r="L25" s="116">
        <v>900.0</v>
      </c>
      <c r="M25" s="114" t="s">
        <v>169</v>
      </c>
    </row>
    <row r="26">
      <c r="A26" s="152">
        <v>23.0</v>
      </c>
      <c r="B26" s="105" t="s">
        <v>77</v>
      </c>
      <c r="C26" s="106" t="str">
        <f>IFERROR(VLOOKUP($B26, 'Master Roster'!$A:$C, 3, FALSE), "")</f>
        <v>BBH</v>
      </c>
      <c r="D26" s="106" t="str">
        <f>IFERROR(VLOOKUP($B26, 'Master Roster'!$A:$E, 5, FALSE), "")</f>
        <v>Wendy Mpakise</v>
      </c>
      <c r="E26" s="107">
        <f>IFERROR(VLOOKUP($B26, 'Master Roster'!$A:$F, 6, FALSE), "")</f>
        <v>260971977845</v>
      </c>
      <c r="F26" s="108">
        <f>IFERROR(VLOOKUP($B26, 'Master Roster'!$A:$H, 8, FALSE), "")</f>
        <v>900</v>
      </c>
      <c r="G26" s="109">
        <f>IFERROR(VLOOKUP($B26, 'Master Roster'!$A:$G, 7, FALSE), "")</f>
        <v>46200</v>
      </c>
      <c r="H26" s="108"/>
      <c r="I26" s="110"/>
      <c r="J26" s="111" t="s">
        <v>177</v>
      </c>
      <c r="K26" s="108">
        <v>6300.0</v>
      </c>
      <c r="L26" s="108">
        <v>1800.0</v>
      </c>
      <c r="M26" s="106" t="s">
        <v>179</v>
      </c>
    </row>
    <row r="27">
      <c r="A27" s="112">
        <v>24.0</v>
      </c>
      <c r="B27" s="113" t="s">
        <v>79</v>
      </c>
      <c r="C27" s="114" t="str">
        <f>IFERROR(VLOOKUP($B27, 'Master Roster'!$A:$C, 3, FALSE), "")</f>
        <v>BBH</v>
      </c>
      <c r="D27" s="114" t="str">
        <f>IFERROR(VLOOKUP($B27, 'Master Roster'!$A:$E, 5, FALSE), "")</f>
        <v>Vacant</v>
      </c>
      <c r="E27" s="115" t="str">
        <f>IFERROR(VLOOKUP($B27, 'Master Roster'!$A:$F, 6, FALSE), "")</f>
        <v/>
      </c>
      <c r="F27" s="116">
        <f>IFERROR(VLOOKUP($B27, 'Master Roster'!$A:$H, 8, FALSE), "")</f>
        <v>900</v>
      </c>
      <c r="G27" s="117" t="str">
        <f>IFERROR(VLOOKUP($B27, 'Master Roster'!$A:$G, 7, FALSE), "")</f>
        <v/>
      </c>
      <c r="H27" s="116"/>
      <c r="I27" s="118"/>
      <c r="J27" s="119" t="s">
        <v>177</v>
      </c>
      <c r="K27" s="116">
        <v>6300.0</v>
      </c>
      <c r="L27" s="116">
        <v>0.0</v>
      </c>
      <c r="M27" s="114" t="s">
        <v>13</v>
      </c>
    </row>
    <row r="28">
      <c r="A28" s="104">
        <v>25.0</v>
      </c>
      <c r="B28" s="105" t="s">
        <v>105</v>
      </c>
      <c r="C28" s="106" t="str">
        <f>IFERROR(VLOOKUP($B28, 'Master Roster'!$A:$C, 3, FALSE), "")</f>
        <v>CRV</v>
      </c>
      <c r="D28" s="106" t="str">
        <f>IFERROR(VLOOKUP($B28, 'Master Roster'!$A:$E, 5, FALSE), "")</f>
        <v>Vacant</v>
      </c>
      <c r="E28" s="107">
        <f>IFERROR(VLOOKUP($B28, 'Master Roster'!$A:$F, 6, FALSE), "")</f>
        <v>20772046008</v>
      </c>
      <c r="F28" s="108">
        <f>IFERROR(VLOOKUP($B28, 'Master Roster'!$A:$H, 8, FALSE), "")</f>
        <v>0</v>
      </c>
      <c r="G28" s="109">
        <f>IFERROR(VLOOKUP($B28, 'Master Roster'!$A:$G, 7, FALSE), "")</f>
        <v>46223</v>
      </c>
      <c r="H28" s="108"/>
      <c r="I28" s="110"/>
      <c r="J28" s="111" t="s">
        <v>168</v>
      </c>
      <c r="K28" s="108">
        <v>0.0</v>
      </c>
      <c r="L28" s="108">
        <v>0.0</v>
      </c>
      <c r="M28" s="106" t="s">
        <v>13</v>
      </c>
    </row>
    <row r="29">
      <c r="A29" s="112">
        <v>26.0</v>
      </c>
      <c r="B29" s="113" t="s">
        <v>107</v>
      </c>
      <c r="C29" s="114" t="str">
        <f>IFERROR(VLOOKUP($B29, 'Master Roster'!$A:$C, 3, FALSE), "")</f>
        <v>CRV</v>
      </c>
      <c r="D29" s="114" t="str">
        <f>IFERROR(VLOOKUP($B29, 'Master Roster'!$A:$E, 5, FALSE), "")</f>
        <v>Ackim Siamafuko</v>
      </c>
      <c r="E29" s="115">
        <f>IFERROR(VLOOKUP($B29, 'Master Roster'!$A:$F, 6, FALSE), "")</f>
        <v>20772046008</v>
      </c>
      <c r="F29" s="116">
        <f>IFERROR(VLOOKUP($B29, 'Master Roster'!$A:$H, 8, FALSE), "")</f>
        <v>1200</v>
      </c>
      <c r="G29" s="117">
        <f>IFERROR(VLOOKUP($B29, 'Master Roster'!$A:$G, 7, FALSE), "")</f>
        <v>46223</v>
      </c>
      <c r="H29" s="116"/>
      <c r="I29" s="118"/>
      <c r="J29" s="119" t="s">
        <v>168</v>
      </c>
      <c r="K29" s="116">
        <v>9600.0</v>
      </c>
      <c r="L29" s="116">
        <v>1200.0</v>
      </c>
      <c r="M29" s="114" t="s">
        <v>169</v>
      </c>
    </row>
    <row r="30">
      <c r="A30" s="104">
        <v>27.0</v>
      </c>
      <c r="B30" s="105" t="s">
        <v>109</v>
      </c>
      <c r="C30" s="106" t="str">
        <f>IFERROR(VLOOKUP($B30, 'Master Roster'!$A:$C, 3, FALSE), "")</f>
        <v>CRV</v>
      </c>
      <c r="D30" s="106" t="str">
        <f>IFERROR(VLOOKUP($B30, 'Master Roster'!$A:$E, 5, FALSE), "")</f>
        <v>Kwitu Khalu</v>
      </c>
      <c r="E30" s="107" t="str">
        <f>IFERROR(VLOOKUP($B30, 'Master Roster'!$A:$F, 6, FALSE), "")</f>
        <v>260960785114</v>
      </c>
      <c r="F30" s="108">
        <f>IFERROR(VLOOKUP($B30, 'Master Roster'!$A:$H, 8, FALSE), "")</f>
        <v>900</v>
      </c>
      <c r="G30" s="109">
        <f>IFERROR(VLOOKUP($B30, 'Master Roster'!$A:$G, 7, FALSE), "")</f>
        <v>46175</v>
      </c>
      <c r="H30" s="108"/>
      <c r="I30" s="110"/>
      <c r="J30" s="111" t="s">
        <v>170</v>
      </c>
      <c r="K30" s="108">
        <v>8100.0</v>
      </c>
      <c r="L30" s="108">
        <v>0.0</v>
      </c>
      <c r="M30" s="106" t="s">
        <v>171</v>
      </c>
    </row>
    <row r="31">
      <c r="A31" s="112">
        <v>28.0</v>
      </c>
      <c r="B31" s="113" t="s">
        <v>112</v>
      </c>
      <c r="C31" s="114" t="str">
        <f>IFERROR(VLOOKUP($B31, 'Master Roster'!$A:$C, 3, FALSE), "")</f>
        <v>CRV</v>
      </c>
      <c r="D31" s="114" t="str">
        <f>IFERROR(VLOOKUP($B31, 'Master Roster'!$A:$E, 5, FALSE), "")</f>
        <v>Christopher Tambule</v>
      </c>
      <c r="E31" s="115">
        <f>IFERROR(VLOOKUP($B31, 'Master Roster'!$A:$F, 6, FALSE), "")</f>
        <v>260972108866</v>
      </c>
      <c r="F31" s="116">
        <f>IFERROR(VLOOKUP($B31, 'Master Roster'!$A:$H, 8, FALSE), "")</f>
        <v>1200</v>
      </c>
      <c r="G31" s="117">
        <f>IFERROR(VLOOKUP($B31, 'Master Roster'!$A:$G, 7, FALSE), "")</f>
        <v>46190</v>
      </c>
      <c r="H31" s="116"/>
      <c r="I31" s="118"/>
      <c r="J31" s="119" t="s">
        <v>168</v>
      </c>
      <c r="K31" s="116">
        <v>9600.0</v>
      </c>
      <c r="L31" s="116">
        <v>1200.0</v>
      </c>
      <c r="M31" s="114" t="s">
        <v>169</v>
      </c>
    </row>
    <row r="32">
      <c r="A32" s="104">
        <v>29.0</v>
      </c>
      <c r="B32" s="105" t="s">
        <v>124</v>
      </c>
      <c r="C32" s="106" t="str">
        <f>IFERROR(VLOOKUP($B32, 'Master Roster'!$A:$C, 3, FALSE), "")</f>
        <v>NWG</v>
      </c>
      <c r="D32" s="106" t="str">
        <f>IFERROR(VLOOKUP($B32, 'Master Roster'!$A:$E, 5, FALSE), "")</f>
        <v>Lukundo Siame</v>
      </c>
      <c r="E32" s="107">
        <f>IFERROR(VLOOKUP($B32, 'Master Roster'!$A:$F, 6, FALSE), "")</f>
        <v>260760833629</v>
      </c>
      <c r="F32" s="108">
        <f>IFERROR(VLOOKUP($B32, 'Master Roster'!$A:$H, 8, FALSE), "")</f>
        <v>1200</v>
      </c>
      <c r="G32" s="109">
        <f>IFERROR(VLOOKUP($B32, 'Master Roster'!$A:$G, 7, FALSE), "")</f>
        <v>46191</v>
      </c>
      <c r="H32" s="111">
        <v>-1150.0</v>
      </c>
      <c r="I32" s="110"/>
      <c r="J32" s="111" t="s">
        <v>177</v>
      </c>
      <c r="K32" s="108">
        <v>8400.0</v>
      </c>
      <c r="L32" s="108">
        <v>1250.0</v>
      </c>
      <c r="M32" s="106" t="s">
        <v>179</v>
      </c>
    </row>
    <row r="33">
      <c r="A33" s="112">
        <v>30.0</v>
      </c>
      <c r="B33" s="113" t="s">
        <v>127</v>
      </c>
      <c r="C33" s="114" t="str">
        <f>IFERROR(VLOOKUP($B33, 'Master Roster'!$A:$C, 3, FALSE), "")</f>
        <v>NWG</v>
      </c>
      <c r="D33" s="114" t="str">
        <f>IFERROR(VLOOKUP($B33, 'Master Roster'!$A:$E, 5, FALSE), "")</f>
        <v>Gabirel Kabwe</v>
      </c>
      <c r="E33" s="115">
        <f>IFERROR(VLOOKUP($B33, 'Master Roster'!$A:$F, 6, FALSE), "")</f>
        <v>260968723095</v>
      </c>
      <c r="F33" s="116">
        <f>IFERROR(VLOOKUP($B33, 'Master Roster'!$A:$H, 8, FALSE), "")</f>
        <v>1200</v>
      </c>
      <c r="G33" s="117">
        <f>IFERROR(VLOOKUP($B33, 'Master Roster'!$A:$G, 7, FALSE), "")</f>
        <v>46143</v>
      </c>
      <c r="H33" s="116"/>
      <c r="I33" s="118"/>
      <c r="J33" s="119" t="s">
        <v>168</v>
      </c>
      <c r="K33" s="116">
        <v>9600.0</v>
      </c>
      <c r="L33" s="116">
        <v>1200.0</v>
      </c>
      <c r="M33" s="114" t="s">
        <v>179</v>
      </c>
    </row>
    <row r="34">
      <c r="A34" s="104">
        <v>31.0</v>
      </c>
      <c r="B34" s="105" t="s">
        <v>129</v>
      </c>
      <c r="C34" s="106" t="str">
        <f>IFERROR(VLOOKUP($B34, 'Master Roster'!$A:$C, 3, FALSE), "")</f>
        <v>NWG</v>
      </c>
      <c r="D34" s="106" t="str">
        <f>IFERROR(VLOOKUP($B34, 'Master Roster'!$A:$E, 5, FALSE), "")</f>
        <v>Chama Kampamba</v>
      </c>
      <c r="E34" s="107">
        <f>IFERROR(VLOOKUP($B34, 'Master Roster'!$A:$F, 6, FALSE), "")</f>
        <v>260770055753</v>
      </c>
      <c r="F34" s="108">
        <f>IFERROR(VLOOKUP($B34, 'Master Roster'!$A:$H, 8, FALSE), "")</f>
        <v>1200</v>
      </c>
      <c r="G34" s="109">
        <f>IFERROR(VLOOKUP($B34, 'Master Roster'!$A:$G, 7, FALSE), "")</f>
        <v>46179</v>
      </c>
      <c r="H34" s="108"/>
      <c r="I34" s="110"/>
      <c r="J34" s="111" t="s">
        <v>177</v>
      </c>
      <c r="K34" s="108">
        <v>8400.0</v>
      </c>
      <c r="L34" s="108">
        <v>2400.0</v>
      </c>
      <c r="M34" s="106" t="s">
        <v>179</v>
      </c>
    </row>
    <row r="35">
      <c r="A35" s="112">
        <v>32.0</v>
      </c>
      <c r="B35" s="113" t="s">
        <v>131</v>
      </c>
      <c r="C35" s="114" t="str">
        <f>IFERROR(VLOOKUP($B35, 'Master Roster'!$A:$C, 3, FALSE), "")</f>
        <v>NWG</v>
      </c>
      <c r="D35" s="114" t="str">
        <f>IFERROR(VLOOKUP($B35, 'Master Roster'!$A:$E, 5, FALSE), "")</f>
        <v>Jairos Banda</v>
      </c>
      <c r="E35" s="115">
        <f>IFERROR(VLOOKUP($B35, 'Master Roster'!$A:$F, 6, FALSE), "")</f>
        <v>260776136398</v>
      </c>
      <c r="F35" s="116">
        <f>IFERROR(VLOOKUP($B35, 'Master Roster'!$A:$H, 8, FALSE), "")</f>
        <v>1200</v>
      </c>
      <c r="G35" s="117">
        <f>IFERROR(VLOOKUP($B35, 'Master Roster'!$A:$G, 7, FALSE), "")</f>
        <v>46174</v>
      </c>
      <c r="H35" s="116"/>
      <c r="I35" s="118"/>
      <c r="J35" s="119" t="s">
        <v>170</v>
      </c>
      <c r="K35" s="116">
        <v>10800.0</v>
      </c>
      <c r="L35" s="116">
        <v>0.0</v>
      </c>
      <c r="M35" s="114" t="s">
        <v>171</v>
      </c>
    </row>
    <row r="36">
      <c r="A36" s="152">
        <v>33.0</v>
      </c>
      <c r="B36" s="105" t="s">
        <v>133</v>
      </c>
      <c r="C36" s="106" t="str">
        <f>IFERROR(VLOOKUP($B36, 'Master Roster'!$A:$C, 3, FALSE), "")</f>
        <v>NWG</v>
      </c>
      <c r="D36" s="106" t="str">
        <f>IFERROR(VLOOKUP($B36, 'Master Roster'!$A:$E, 5, FALSE), "")</f>
        <v>Vacant</v>
      </c>
      <c r="E36" s="107" t="str">
        <f>IFERROR(VLOOKUP($B36, 'Master Roster'!$A:$F, 6, FALSE), "")</f>
        <v/>
      </c>
      <c r="F36" s="108">
        <f>IFERROR(VLOOKUP($B36, 'Master Roster'!$A:$H, 8, FALSE), "")</f>
        <v>1200</v>
      </c>
      <c r="G36" s="109" t="str">
        <f>IFERROR(VLOOKUP($B36, 'Master Roster'!$A:$G, 7, FALSE), "")</f>
        <v/>
      </c>
      <c r="H36" s="108"/>
      <c r="I36" s="110"/>
      <c r="J36" s="111" t="s">
        <v>190</v>
      </c>
      <c r="K36" s="108">
        <v>7200.0</v>
      </c>
      <c r="L36" s="108">
        <v>0.0</v>
      </c>
      <c r="M36" s="106" t="s">
        <v>13</v>
      </c>
    </row>
    <row r="37">
      <c r="A37" s="112">
        <v>34.0</v>
      </c>
      <c r="B37" s="156" t="s">
        <v>134</v>
      </c>
      <c r="C37" s="114" t="str">
        <f>IFERROR(VLOOKUP($B37, 'Master Roster'!$A:$C, 3, FALSE), "")</f>
        <v>NWG</v>
      </c>
      <c r="D37" s="114" t="str">
        <f>IFERROR(VLOOKUP($B37, 'Master Roster'!$A:$E, 5, FALSE), "")</f>
        <v>David Mulila</v>
      </c>
      <c r="E37" s="115">
        <f>IFERROR(VLOOKUP($B37, 'Master Roster'!$A:$F, 6, FALSE), "")</f>
        <v>260775161085</v>
      </c>
      <c r="F37" s="116">
        <f>IFERROR(VLOOKUP($B37, 'Master Roster'!$A:$H, 8, FALSE), "")</f>
        <v>1200</v>
      </c>
      <c r="G37" s="117">
        <f>IFERROR(VLOOKUP($B37, 'Master Roster'!$A:$G, 7, FALSE), "")</f>
        <v>46191</v>
      </c>
      <c r="H37" s="116"/>
      <c r="I37" s="118"/>
      <c r="J37" s="119" t="s">
        <v>168</v>
      </c>
      <c r="K37" s="116">
        <v>9600.0</v>
      </c>
      <c r="L37" s="116">
        <v>1200.0</v>
      </c>
      <c r="M37" s="114" t="s">
        <v>169</v>
      </c>
    </row>
    <row r="38">
      <c r="A38" s="104">
        <v>35.0</v>
      </c>
      <c r="B38" s="157" t="s">
        <v>136</v>
      </c>
      <c r="C38" s="106" t="str">
        <f>IFERROR(VLOOKUP($B38, 'Master Roster'!$A:$C, 3, FALSE), "")</f>
        <v>NWG</v>
      </c>
      <c r="D38" s="106" t="str">
        <f>IFERROR(VLOOKUP($B38, 'Master Roster'!$A:$E, 5, FALSE), "")</f>
        <v>Ongani Madaliso Gabriel </v>
      </c>
      <c r="E38" s="107">
        <f>IFERROR(VLOOKUP($B38, 'Master Roster'!$A:$F, 6, FALSE), "")</f>
        <v>260771736585</v>
      </c>
      <c r="F38" s="108">
        <f>IFERROR(VLOOKUP($B38, 'Master Roster'!$A:$H, 8, FALSE), "")</f>
        <v>1200</v>
      </c>
      <c r="G38" s="109">
        <f>IFERROR(VLOOKUP($B38, 'Master Roster'!$A:$G, 7, FALSE), "")</f>
        <v>46174</v>
      </c>
      <c r="H38" s="108"/>
      <c r="I38" s="110"/>
      <c r="J38" s="111" t="s">
        <v>170</v>
      </c>
      <c r="K38" s="108">
        <v>10800.0</v>
      </c>
      <c r="L38" s="108">
        <v>0.0</v>
      </c>
      <c r="M38" s="106" t="s">
        <v>171</v>
      </c>
    </row>
    <row r="39">
      <c r="A39" s="112">
        <v>36.0</v>
      </c>
      <c r="B39" s="156" t="s">
        <v>138</v>
      </c>
      <c r="C39" s="114" t="str">
        <f>IFERROR(VLOOKUP($B39, 'Master Roster'!$A:$C, 3, FALSE), "")</f>
        <v>NWG</v>
      </c>
      <c r="D39" s="114" t="str">
        <f>IFERROR(VLOOKUP($B39, 'Master Roster'!$A:$E, 5, FALSE), "")</f>
        <v>Christopher Phiri</v>
      </c>
      <c r="E39" s="115">
        <f>IFERROR(VLOOKUP($B39, 'Master Roster'!$A:$F, 6, FALSE), "")</f>
        <v>260772109688</v>
      </c>
      <c r="F39" s="116">
        <f>IFERROR(VLOOKUP($B39, 'Master Roster'!$A:$H, 8, FALSE), "")</f>
        <v>1200</v>
      </c>
      <c r="G39" s="117">
        <f>IFERROR(VLOOKUP($B39, 'Master Roster'!$A:$G, 7, FALSE), "")</f>
        <v>46176</v>
      </c>
      <c r="H39" s="116"/>
      <c r="I39" s="118"/>
      <c r="J39" s="119" t="s">
        <v>170</v>
      </c>
      <c r="K39" s="116">
        <v>10800.0</v>
      </c>
      <c r="L39" s="116">
        <v>0.0</v>
      </c>
      <c r="M39" s="114" t="s">
        <v>171</v>
      </c>
    </row>
    <row r="40">
      <c r="A40" s="104">
        <v>37.0</v>
      </c>
      <c r="B40" s="157" t="s">
        <v>140</v>
      </c>
      <c r="C40" s="106" t="str">
        <f>IFERROR(VLOOKUP($B40, 'Master Roster'!$A:$C, 3, FALSE), "")</f>
        <v>NWG</v>
      </c>
      <c r="D40" s="106" t="str">
        <f>IFERROR(VLOOKUP($B40, 'Master Roster'!$A:$E, 5, FALSE), "")</f>
        <v>Vacant</v>
      </c>
      <c r="E40" s="107">
        <f>IFERROR(VLOOKUP($B40, 'Master Roster'!$A:$F, 6, FALSE), "")</f>
        <v>260973131421</v>
      </c>
      <c r="F40" s="108">
        <f>IFERROR(VLOOKUP($B40, 'Master Roster'!$A:$H, 8, FALSE), "")</f>
        <v>1200</v>
      </c>
      <c r="G40" s="109">
        <f>IFERROR(VLOOKUP($B40, 'Master Roster'!$A:$G, 7, FALSE), "")</f>
        <v>46198</v>
      </c>
      <c r="H40" s="108"/>
      <c r="I40" s="110"/>
      <c r="J40" s="111" t="s">
        <v>177</v>
      </c>
      <c r="K40" s="108">
        <v>8400.0</v>
      </c>
      <c r="L40" s="108">
        <v>0.0</v>
      </c>
      <c r="M40" s="106" t="s">
        <v>13</v>
      </c>
    </row>
    <row r="41">
      <c r="A41" s="112">
        <v>38.0</v>
      </c>
      <c r="B41" s="156" t="s">
        <v>141</v>
      </c>
      <c r="C41" s="114" t="str">
        <f>IFERROR(VLOOKUP($B41, 'Master Roster'!$A:$C, 3, FALSE), "")</f>
        <v>NWG</v>
      </c>
      <c r="D41" s="114" t="str">
        <f>IFERROR(VLOOKUP($B41, 'Master Roster'!$A:$E, 5, FALSE), "")</f>
        <v>Catherine Mphande</v>
      </c>
      <c r="E41" s="115">
        <f>IFERROR(VLOOKUP($B41, 'Master Roster'!$A:$F, 6, FALSE), "")</f>
        <v>260963575803</v>
      </c>
      <c r="F41" s="116">
        <f>IFERROR(VLOOKUP($B41, 'Master Roster'!$A:$H, 8, FALSE), "")</f>
        <v>1200</v>
      </c>
      <c r="G41" s="117">
        <f>IFERROR(VLOOKUP($B41, 'Master Roster'!$A:$G, 7, FALSE), "")</f>
        <v>46187</v>
      </c>
      <c r="H41" s="116"/>
      <c r="I41" s="118"/>
      <c r="J41" s="119" t="s">
        <v>168</v>
      </c>
      <c r="K41" s="116">
        <v>9600.0</v>
      </c>
      <c r="L41" s="116">
        <v>1200.0</v>
      </c>
      <c r="M41" s="114" t="s">
        <v>169</v>
      </c>
    </row>
    <row r="42">
      <c r="A42" s="104">
        <v>39.0</v>
      </c>
      <c r="B42" s="157" t="s">
        <v>143</v>
      </c>
      <c r="C42" s="106" t="str">
        <f>IFERROR(VLOOKUP($B42, 'Master Roster'!$A:$C, 3, FALSE), "")</f>
        <v>NWG</v>
      </c>
      <c r="D42" s="106" t="str">
        <f>IFERROR(VLOOKUP($B42, 'Master Roster'!$A:$E, 5, FALSE), "")</f>
        <v>Grace Mwamba</v>
      </c>
      <c r="E42" s="107">
        <f>IFERROR(VLOOKUP($B42, 'Master Roster'!$A:$F, 6, FALSE), "")</f>
        <v>260957144512</v>
      </c>
      <c r="F42" s="108">
        <f>IFERROR(VLOOKUP($B42, 'Master Roster'!$A:$H, 8, FALSE), "")</f>
        <v>1200</v>
      </c>
      <c r="G42" s="109">
        <f>IFERROR(VLOOKUP($B42, 'Master Roster'!$A:$G, 7, FALSE), "")</f>
        <v>46184</v>
      </c>
      <c r="H42" s="108"/>
      <c r="I42" s="110"/>
      <c r="J42" s="111" t="s">
        <v>168</v>
      </c>
      <c r="K42" s="108">
        <v>9600.0</v>
      </c>
      <c r="L42" s="108">
        <v>1200.0</v>
      </c>
      <c r="M42" s="106" t="s">
        <v>169</v>
      </c>
    </row>
    <row r="43">
      <c r="A43" s="112">
        <v>40.0</v>
      </c>
      <c r="B43" s="156" t="s">
        <v>145</v>
      </c>
      <c r="C43" s="114" t="str">
        <f>IFERROR(VLOOKUP($B43, 'Master Roster'!$A:$C, 3, FALSE), "")</f>
        <v>NWG</v>
      </c>
      <c r="D43" s="114" t="str">
        <f>IFERROR(VLOOKUP($B43, 'Master Roster'!$A:$E, 5, FALSE), "")</f>
        <v>Lushomo gambwe</v>
      </c>
      <c r="E43" s="115">
        <f>IFERROR(VLOOKUP($B43, 'Master Roster'!$A:$F, 6, FALSE), "")</f>
        <v>260970183545</v>
      </c>
      <c r="F43" s="116">
        <f>IFERROR(VLOOKUP($B43, 'Master Roster'!$A:$H, 8, FALSE), "")</f>
        <v>1200</v>
      </c>
      <c r="G43" s="117">
        <f>IFERROR(VLOOKUP($B43, 'Master Roster'!$A:$G, 7, FALSE), "")</f>
        <v>46078</v>
      </c>
      <c r="H43" s="116"/>
      <c r="I43" s="118"/>
      <c r="J43" s="119" t="s">
        <v>168</v>
      </c>
      <c r="K43" s="116">
        <v>9600.0</v>
      </c>
      <c r="L43" s="116">
        <v>1200.0</v>
      </c>
      <c r="M43" s="114" t="s">
        <v>169</v>
      </c>
    </row>
    <row r="44">
      <c r="A44" s="104">
        <v>41.0</v>
      </c>
      <c r="B44" s="105" t="s">
        <v>147</v>
      </c>
      <c r="C44" s="106" t="str">
        <f>IFERROR(VLOOKUP($B44, 'Master Roster'!$A:$C, 3, FALSE), "")</f>
        <v>NWG</v>
      </c>
      <c r="D44" s="106" t="str">
        <f>IFERROR(VLOOKUP($B44, 'Master Roster'!$A:$E, 5, FALSE), "")</f>
        <v>Jacqueline Mwape</v>
      </c>
      <c r="E44" s="107">
        <f>IFERROR(VLOOKUP($B44, 'Master Roster'!$A:$F, 6, FALSE), "")</f>
        <v>260761423674</v>
      </c>
      <c r="F44" s="108">
        <f>IFERROR(VLOOKUP($B44, 'Master Roster'!$A:$H, 8, FALSE), "")</f>
        <v>1200</v>
      </c>
      <c r="G44" s="109">
        <f>IFERROR(VLOOKUP($B44, 'Master Roster'!$A:$G, 7, FALSE), "")</f>
        <v>46190</v>
      </c>
      <c r="H44" s="111"/>
      <c r="I44" s="122"/>
      <c r="J44" s="111" t="s">
        <v>168</v>
      </c>
      <c r="K44" s="111">
        <v>9600.0</v>
      </c>
      <c r="L44" s="108">
        <v>1200.0</v>
      </c>
      <c r="M44" s="106" t="s">
        <v>169</v>
      </c>
    </row>
    <row r="45">
      <c r="A45" s="112">
        <v>42.0</v>
      </c>
      <c r="B45" s="113" t="s">
        <v>150</v>
      </c>
      <c r="C45" s="114" t="str">
        <f>IFERROR(VLOOKUP($B45, 'Master Roster'!$A:$C, 3, FALSE), "")</f>
        <v>NWG</v>
      </c>
      <c r="D45" s="139" t="str">
        <f>IFERROR(VLOOKUP($B45, 'Master Roster'!$A:$E, 5, FALSE), "")</f>
        <v>Chami Soneka</v>
      </c>
      <c r="E45" s="115">
        <f t="array" ref="E45">_xlfn.XLOOKUP(B45, 'Master Roster'!A:A, 'Master Roster'!F:F, "")</f>
        <v>260969410900</v>
      </c>
      <c r="F45" s="116">
        <f>IFERROR(VLOOKUP($B45, 'Master Roster'!$A:$H, 8, FALSE), "")</f>
        <v>1200</v>
      </c>
      <c r="G45" s="117">
        <f>IFERROR(VLOOKUP($B45, 'Master Roster'!$A:$G, 7, FALSE), "")</f>
        <v>46235</v>
      </c>
      <c r="H45" s="119"/>
      <c r="I45" s="158"/>
      <c r="J45" s="119" t="s">
        <v>170</v>
      </c>
      <c r="K45" s="119">
        <v>10800.0</v>
      </c>
      <c r="L45" s="116">
        <v>0.0</v>
      </c>
      <c r="M45" s="114" t="s">
        <v>171</v>
      </c>
    </row>
    <row r="46">
      <c r="A46" s="104">
        <v>43.0</v>
      </c>
      <c r="B46" s="105" t="s">
        <v>152</v>
      </c>
      <c r="C46" s="106" t="str">
        <f>IFERROR(VLOOKUP($B46, 'Master Roster'!$A:$C, 3, FALSE), "")</f>
        <v>NWG</v>
      </c>
      <c r="D46" s="106" t="str">
        <f>IFERROR(VLOOKUP($B46, 'Master Roster'!$A:$E, 5, FALSE), "")</f>
        <v>Kuwunda Makondo</v>
      </c>
      <c r="E46" s="107">
        <f>IFERROR(VLOOKUP($B46, 'Master Roster'!$A:$F, 6, FALSE), "")</f>
        <v>260774614576</v>
      </c>
      <c r="F46" s="108">
        <f>IFERROR(VLOOKUP($B46, 'Master Roster'!$A:$H, 8, FALSE), "")</f>
        <v>1200</v>
      </c>
      <c r="G46" s="109">
        <f>IFERROR(VLOOKUP($B46, 'Master Roster'!$A:$G, 7, FALSE), "")</f>
        <v>46263</v>
      </c>
      <c r="H46" s="111"/>
      <c r="I46" s="122"/>
      <c r="J46" s="111" t="s">
        <v>168</v>
      </c>
      <c r="K46" s="111">
        <v>9600.0</v>
      </c>
      <c r="L46" s="108">
        <v>1200.0</v>
      </c>
      <c r="M46" s="106" t="s">
        <v>169</v>
      </c>
    </row>
    <row r="47">
      <c r="A47" s="112">
        <v>44.0</v>
      </c>
      <c r="B47" s="113" t="s">
        <v>155</v>
      </c>
      <c r="C47" s="114" t="str">
        <f>IFERROR(VLOOKUP($B47, 'Master Roster'!$A:$C, 3, FALSE), "")</f>
        <v>NWG</v>
      </c>
      <c r="D47" s="114" t="str">
        <f>IFERROR(VLOOKUP($B47, 'Master Roster'!$A:$E, 5, FALSE), "")</f>
        <v>Chansa Chinyama</v>
      </c>
      <c r="E47" s="115">
        <f>IFERROR(VLOOKUP($B47, 'Master Roster'!$A:$F, 6, FALSE), "")</f>
        <v>260974051468</v>
      </c>
      <c r="F47" s="116">
        <f>IFERROR(VLOOKUP($B47, 'Master Roster'!$A:$H, 8, FALSE), "")</f>
        <v>1200</v>
      </c>
      <c r="G47" s="117">
        <f>IFERROR(VLOOKUP($B47, 'Master Roster'!$A:$G, 7, FALSE), "")</f>
        <v>46189</v>
      </c>
      <c r="H47" s="119"/>
      <c r="I47" s="121"/>
      <c r="J47" s="119" t="s">
        <v>177</v>
      </c>
      <c r="K47" s="119">
        <v>8400.0</v>
      </c>
      <c r="L47" s="116">
        <v>2400.0</v>
      </c>
      <c r="M47" s="114" t="s">
        <v>179</v>
      </c>
    </row>
    <row r="48">
      <c r="A48" s="104">
        <v>45.0</v>
      </c>
      <c r="B48" s="105" t="s">
        <v>157</v>
      </c>
      <c r="C48" s="106" t="str">
        <f>IFERROR(VLOOKUP($B48, 'Master Roster'!$A:$C, 3, FALSE), "")</f>
        <v>NWG</v>
      </c>
      <c r="D48" s="106" t="str">
        <f>IFERROR(VLOOKUP($B48, 'Master Roster'!$A:$E, 5, FALSE), "")</f>
        <v>Kawina Florence</v>
      </c>
      <c r="E48" s="107">
        <f>IFERROR(VLOOKUP($B48, 'Master Roster'!$A:$F, 6, FALSE), "")</f>
        <v>260976534878</v>
      </c>
      <c r="F48" s="108">
        <f>IFERROR(VLOOKUP($B48, 'Master Roster'!$A:$H, 8, FALSE), "")</f>
        <v>1200</v>
      </c>
      <c r="G48" s="109">
        <f>IFERROR(VLOOKUP($B48, 'Master Roster'!$A:$G, 7, FALSE), "")</f>
        <v>46180</v>
      </c>
      <c r="H48" s="111"/>
      <c r="I48" s="122"/>
      <c r="J48" s="111" t="s">
        <v>190</v>
      </c>
      <c r="K48" s="111">
        <v>7200.0</v>
      </c>
      <c r="L48" s="108">
        <v>3600.0</v>
      </c>
      <c r="M48" s="106" t="s">
        <v>179</v>
      </c>
    </row>
    <row r="49">
      <c r="A49" s="112">
        <v>46.0</v>
      </c>
      <c r="B49" s="113" t="s">
        <v>80</v>
      </c>
      <c r="C49" s="114" t="str">
        <f>IFERROR(VLOOKUP($B49, 'Master Roster'!$A:$C, 3, FALSE), "")</f>
        <v>UPV</v>
      </c>
      <c r="D49" s="114" t="str">
        <f>IFERROR(VLOOKUP($B49, 'Master Roster'!$A:$E, 5, FALSE), "")</f>
        <v>Emely Mwale</v>
      </c>
      <c r="E49" s="115" t="str">
        <f>IFERROR(VLOOKUP($B49, 'Master Roster'!$A:$F, 6, FALSE), "")</f>
        <v>260777238633</v>
      </c>
      <c r="F49" s="116">
        <f>IFERROR(VLOOKUP($B49, 'Master Roster'!$A:$H, 8, FALSE), "")</f>
        <v>900</v>
      </c>
      <c r="G49" s="117">
        <f>IFERROR(VLOOKUP($B49, 'Master Roster'!$A:$G, 7, FALSE), "")</f>
        <v>46178</v>
      </c>
      <c r="H49" s="116"/>
      <c r="I49" s="118"/>
      <c r="J49" s="119" t="s">
        <v>170</v>
      </c>
      <c r="K49" s="116">
        <v>8100.0</v>
      </c>
      <c r="L49" s="116">
        <v>0.0</v>
      </c>
      <c r="M49" s="114" t="s">
        <v>171</v>
      </c>
    </row>
    <row r="50">
      <c r="A50" s="104">
        <v>47.0</v>
      </c>
      <c r="B50" s="105" t="s">
        <v>85</v>
      </c>
      <c r="C50" s="106" t="str">
        <f>IFERROR(VLOOKUP($B50, 'Master Roster'!$A:$C, 3, FALSE), "")</f>
        <v>UPV</v>
      </c>
      <c r="D50" s="106" t="str">
        <f>IFERROR(VLOOKUP($B50, 'Master Roster'!$A:$E, 5, FALSE), "")</f>
        <v>Melody Mumba</v>
      </c>
      <c r="E50" s="107">
        <f>IFERROR(VLOOKUP($B50, 'Master Roster'!$A:$F, 6, FALSE), "")</f>
        <v>260973551911</v>
      </c>
      <c r="F50" s="108">
        <f>IFERROR(VLOOKUP($B50, 'Master Roster'!$A:$H, 8, FALSE), "")</f>
        <v>900</v>
      </c>
      <c r="G50" s="109">
        <f>IFERROR(VLOOKUP($B50, 'Master Roster'!$A:$G, 7, FALSE), "")</f>
        <v>46186</v>
      </c>
      <c r="H50" s="108"/>
      <c r="I50" s="110"/>
      <c r="J50" s="111" t="s">
        <v>168</v>
      </c>
      <c r="K50" s="108">
        <v>7200.0</v>
      </c>
      <c r="L50" s="108">
        <v>900.0</v>
      </c>
      <c r="M50" s="106" t="s">
        <v>169</v>
      </c>
    </row>
    <row r="51">
      <c r="A51" s="112">
        <v>48.0</v>
      </c>
      <c r="B51" s="113" t="s">
        <v>87</v>
      </c>
      <c r="C51" s="114" t="str">
        <f>IFERROR(VLOOKUP($B51, 'Master Roster'!$A:$C, 3, FALSE), "")</f>
        <v>UPV</v>
      </c>
      <c r="D51" s="114" t="str">
        <f>IFERROR(VLOOKUP($B51, 'Master Roster'!$A:$E, 5, FALSE), "")</f>
        <v>Sara Matakala</v>
      </c>
      <c r="E51" s="115">
        <f>IFERROR(VLOOKUP($B51, 'Master Roster'!$A:$F, 6, FALSE), "")</f>
        <v>260970522825</v>
      </c>
      <c r="F51" s="116">
        <f>IFERROR(VLOOKUP($B51, 'Master Roster'!$A:$H, 8, FALSE), "")</f>
        <v>900</v>
      </c>
      <c r="G51" s="117">
        <f>IFERROR(VLOOKUP($B51, 'Master Roster'!$A:$G, 7, FALSE), "")</f>
        <v>46198</v>
      </c>
      <c r="H51" s="116"/>
      <c r="I51" s="118"/>
      <c r="J51" s="119" t="s">
        <v>168</v>
      </c>
      <c r="K51" s="116">
        <v>7200.0</v>
      </c>
      <c r="L51" s="116">
        <v>900.0</v>
      </c>
      <c r="M51" s="114" t="s">
        <v>169</v>
      </c>
    </row>
    <row r="52">
      <c r="A52" s="104">
        <v>49.0</v>
      </c>
      <c r="B52" s="105" t="s">
        <v>89</v>
      </c>
      <c r="C52" s="106" t="str">
        <f>IFERROR(VLOOKUP($B52, 'Master Roster'!$A:$C, 3, FALSE), "")</f>
        <v>UPV</v>
      </c>
      <c r="D52" s="106" t="str">
        <f>IFERROR(VLOOKUP($B52, 'Master Roster'!$A:$E, 5, FALSE), "")</f>
        <v>Vacant</v>
      </c>
      <c r="E52" s="107" t="str">
        <f>IFERROR(VLOOKUP($B52, 'Master Roster'!$A:$F, 6, FALSE), "")</f>
        <v/>
      </c>
      <c r="F52" s="108">
        <f>IFERROR(VLOOKUP($B52, 'Master Roster'!$A:$H, 8, FALSE), "")</f>
        <v>900</v>
      </c>
      <c r="G52" s="109" t="str">
        <f>IFERROR(VLOOKUP($B52, 'Master Roster'!$A:$G, 7, FALSE), "")</f>
        <v/>
      </c>
      <c r="H52" s="111"/>
      <c r="I52" s="122"/>
      <c r="J52" s="111" t="s">
        <v>190</v>
      </c>
      <c r="K52" s="108">
        <v>5400.0</v>
      </c>
      <c r="L52" s="108">
        <v>0.0</v>
      </c>
      <c r="M52" s="106" t="s">
        <v>13</v>
      </c>
    </row>
    <row r="53">
      <c r="A53" s="112">
        <v>50.0</v>
      </c>
      <c r="B53" s="113" t="s">
        <v>91</v>
      </c>
      <c r="C53" s="114" t="str">
        <f>IFERROR(VLOOKUP($B53, 'Master Roster'!$A:$C, 3, FALSE), "")</f>
        <v>UPV</v>
      </c>
      <c r="D53" s="114" t="str">
        <f>IFERROR(VLOOKUP($B53, 'Master Roster'!$A:$E, 5, FALSE), "")</f>
        <v>Gift Nankamba</v>
      </c>
      <c r="E53" s="115">
        <f>IFERROR(VLOOKUP($B53, 'Master Roster'!$A:$F, 6, FALSE), "")</f>
        <v>260970956759</v>
      </c>
      <c r="F53" s="116">
        <f>IFERROR(VLOOKUP($B53, 'Master Roster'!$A:$H, 8, FALSE), "")</f>
        <v>1000</v>
      </c>
      <c r="G53" s="117">
        <f>IFERROR(VLOOKUP($B53, 'Master Roster'!$A:$G, 7, FALSE), "")</f>
        <v>46178</v>
      </c>
      <c r="H53" s="116"/>
      <c r="I53" s="118"/>
      <c r="J53" s="119" t="s">
        <v>170</v>
      </c>
      <c r="K53" s="116">
        <v>9000.0</v>
      </c>
      <c r="L53" s="116">
        <v>0.0</v>
      </c>
      <c r="M53" s="114" t="s">
        <v>171</v>
      </c>
    </row>
    <row r="54">
      <c r="A54" s="104">
        <v>51.0</v>
      </c>
      <c r="B54" s="105" t="s">
        <v>93</v>
      </c>
      <c r="C54" s="106" t="str">
        <f>IFERROR(VLOOKUP($B54, 'Master Roster'!$A:$C, 3, FALSE), "")</f>
        <v>UPV</v>
      </c>
      <c r="D54" s="106" t="str">
        <f>IFERROR(VLOOKUP($B54, 'Master Roster'!$A:$E, 5, FALSE), "")</f>
        <v>chilulu chiliulu</v>
      </c>
      <c r="E54" s="107">
        <f>IFERROR(VLOOKUP($B54, 'Master Roster'!$A:$F, 6, FALSE), "")</f>
        <v>260975185330</v>
      </c>
      <c r="F54" s="108">
        <f>IFERROR(VLOOKUP($B54, 'Master Roster'!$A:$H, 8, FALSE), "")</f>
        <v>1600</v>
      </c>
      <c r="G54" s="109">
        <f>IFERROR(VLOOKUP($B54, 'Master Roster'!$A:$G, 7, FALSE), "")</f>
        <v>46182</v>
      </c>
      <c r="H54" s="108"/>
      <c r="I54" s="110"/>
      <c r="J54" s="111" t="s">
        <v>168</v>
      </c>
      <c r="K54" s="108">
        <v>12800.0</v>
      </c>
      <c r="L54" s="108">
        <v>1600.0</v>
      </c>
      <c r="M54" s="106" t="s">
        <v>169</v>
      </c>
    </row>
    <row r="55">
      <c r="A55" s="112">
        <v>52.0</v>
      </c>
      <c r="B55" s="113" t="s">
        <v>95</v>
      </c>
      <c r="C55" s="114" t="str">
        <f>IFERROR(VLOOKUP($B55, 'Master Roster'!$A:$C, 3, FALSE), "")</f>
        <v>UPV</v>
      </c>
      <c r="D55" s="114" t="str">
        <f>IFERROR(VLOOKUP($B55, 'Master Roster'!$A:$E, 5, FALSE), "")</f>
        <v>Chibesa Chisembe</v>
      </c>
      <c r="E55" s="115">
        <f>IFERROR(VLOOKUP($B55, 'Master Roster'!$A:$F, 6, FALSE), "")</f>
        <v>260970270037</v>
      </c>
      <c r="F55" s="116">
        <f>IFERROR(VLOOKUP($B55, 'Master Roster'!$A:$H, 8, FALSE), "")</f>
        <v>1800</v>
      </c>
      <c r="G55" s="117">
        <f>IFERROR(VLOOKUP($B55, 'Master Roster'!$A:$G, 7, FALSE), "")</f>
        <v>46175</v>
      </c>
      <c r="H55" s="116"/>
      <c r="I55" s="118"/>
      <c r="J55" s="119" t="s">
        <v>170</v>
      </c>
      <c r="K55" s="116">
        <v>16200.0</v>
      </c>
      <c r="L55" s="116">
        <v>0.0</v>
      </c>
      <c r="M55" s="114" t="s">
        <v>171</v>
      </c>
    </row>
    <row r="56">
      <c r="A56" s="104">
        <v>53.0</v>
      </c>
      <c r="B56" s="105" t="s">
        <v>98</v>
      </c>
      <c r="C56" s="106" t="str">
        <f>IFERROR(VLOOKUP($B56, 'Master Roster'!$A:$C, 3, FALSE), "")</f>
        <v>UPV</v>
      </c>
      <c r="D56" s="106" t="str">
        <f>IFERROR(VLOOKUP($B56, 'Master Roster'!$A:$E, 5, FALSE), "")</f>
        <v>Reuben Ngusulu</v>
      </c>
      <c r="E56" s="107">
        <f>IFERROR(VLOOKUP($B56, 'Master Roster'!$A:$F, 6, FALSE), "")</f>
        <v>260763503053</v>
      </c>
      <c r="F56" s="108">
        <f>IFERROR(VLOOKUP($B56, 'Master Roster'!$A:$H, 8, FALSE), "")</f>
        <v>950</v>
      </c>
      <c r="G56" s="109">
        <f>IFERROR(VLOOKUP($B56, 'Master Roster'!$A:$G, 7, FALSE), "")</f>
        <v>46184</v>
      </c>
      <c r="H56" s="108"/>
      <c r="I56" s="110"/>
      <c r="J56" s="111" t="s">
        <v>168</v>
      </c>
      <c r="K56" s="108">
        <v>7600.0</v>
      </c>
      <c r="L56" s="108">
        <v>950.0</v>
      </c>
      <c r="M56" s="106" t="s">
        <v>169</v>
      </c>
    </row>
    <row r="57">
      <c r="A57" s="112">
        <v>54.0</v>
      </c>
      <c r="B57" s="113" t="s">
        <v>101</v>
      </c>
      <c r="C57" s="114" t="str">
        <f>IFERROR(VLOOKUP($B57, 'Master Roster'!$A:$C, 3, FALSE), "")</f>
        <v>UPV</v>
      </c>
      <c r="D57" s="114" t="str">
        <f>IFERROR(VLOOKUP($B57, 'Master Roster'!$A:$E, 5, FALSE), "")</f>
        <v>Harriet nanyangwe</v>
      </c>
      <c r="E57" s="115" t="str">
        <f>IFERROR(VLOOKUP($B57, 'Master Roster'!$A:$F, 6, FALSE), "")</f>
        <v>260974130584</v>
      </c>
      <c r="F57" s="116">
        <f>IFERROR(VLOOKUP($B57, 'Master Roster'!$A:$H, 8, FALSE), "")</f>
        <v>1100</v>
      </c>
      <c r="G57" s="117">
        <f>IFERROR(VLOOKUP($B57, 'Master Roster'!$A:$G, 7, FALSE), "")</f>
        <v>46176</v>
      </c>
      <c r="H57" s="119">
        <v>-400.0</v>
      </c>
      <c r="I57" s="118"/>
      <c r="J57" s="119" t="s">
        <v>168</v>
      </c>
      <c r="K57" s="116">
        <v>8800.0</v>
      </c>
      <c r="L57" s="116">
        <v>700.0</v>
      </c>
      <c r="M57" s="114" t="s">
        <v>172</v>
      </c>
    </row>
    <row r="58">
      <c r="A58" s="159"/>
      <c r="B58" s="160"/>
      <c r="C58" s="161" t="str">
        <f>IFERROR(VLOOKUP($B58, 'Master Roster'!$A:$C, 3, FALSE), "")</f>
        <v/>
      </c>
      <c r="D58" s="161" t="str">
        <f>IFERROR(VLOOKUP($B58, 'Master Roster'!$A:$E, 5, FALSE), "")</f>
        <v/>
      </c>
      <c r="E58" s="159" t="str">
        <f>IFERROR(VLOOKUP($B58, 'Master Roster'!$A:$F, 6, FALSE), "")</f>
        <v/>
      </c>
      <c r="F58" s="161" t="str">
        <f>IFERROR(VLOOKUP($B58, 'Master Roster'!$A:$H, 8, FALSE), "")</f>
        <v/>
      </c>
      <c r="G58" s="162" t="str">
        <f>IFERROR(VLOOKUP($B58, 'Master Roster'!$A:$G, 7, FALSE), "")</f>
        <v/>
      </c>
      <c r="H58" s="161"/>
      <c r="I58" s="161"/>
      <c r="J58" s="161"/>
      <c r="K58" s="161" t="s">
        <v>175</v>
      </c>
      <c r="L58" s="161" t="s">
        <v>175</v>
      </c>
      <c r="M58" s="161" t="s">
        <v>175</v>
      </c>
    </row>
    <row r="59">
      <c r="A59" s="159"/>
      <c r="B59" s="160"/>
      <c r="C59" s="161" t="str">
        <f>IFERROR(VLOOKUP($B59, 'Master Roster'!$A:$C, 3, FALSE), "")</f>
        <v/>
      </c>
      <c r="D59" s="161" t="str">
        <f>IFERROR(VLOOKUP($B59, 'Master Roster'!$A:$E, 5, FALSE), "")</f>
        <v/>
      </c>
      <c r="E59" s="159" t="str">
        <f>IFERROR(VLOOKUP($B59, 'Master Roster'!$A:$F, 6, FALSE), "")</f>
        <v/>
      </c>
      <c r="F59" s="161" t="str">
        <f>IFERROR(VLOOKUP($B59, 'Master Roster'!$A:$H, 8, FALSE), "")</f>
        <v/>
      </c>
      <c r="G59" s="162" t="str">
        <f>IFERROR(VLOOKUP($B59, 'Master Roster'!$A:$G, 7, FALSE), "")</f>
        <v/>
      </c>
      <c r="H59" s="161"/>
      <c r="I59" s="161"/>
      <c r="J59" s="161"/>
      <c r="K59" s="161" t="s">
        <v>175</v>
      </c>
      <c r="L59" s="161" t="s">
        <v>175</v>
      </c>
      <c r="M59" s="161" t="s">
        <v>175</v>
      </c>
    </row>
    <row r="60">
      <c r="A60" s="159"/>
      <c r="B60" s="160"/>
      <c r="C60" s="161" t="str">
        <f>IFERROR(VLOOKUP($B60, 'Master Roster'!$A:$C, 3, FALSE), "")</f>
        <v/>
      </c>
      <c r="D60" s="161" t="str">
        <f>IFERROR(VLOOKUP($B60, 'Master Roster'!$A:$E, 5, FALSE), "")</f>
        <v/>
      </c>
      <c r="E60" s="159" t="str">
        <f>IFERROR(VLOOKUP($B60, 'Master Roster'!$A:$F, 6, FALSE), "")</f>
        <v/>
      </c>
      <c r="F60" s="161" t="str">
        <f>IFERROR(VLOOKUP($B60, 'Master Roster'!$A:$H, 8, FALSE), "")</f>
        <v/>
      </c>
      <c r="G60" s="162" t="str">
        <f>IFERROR(VLOOKUP($B60, 'Master Roster'!$A:$G, 7, FALSE), "")</f>
        <v/>
      </c>
      <c r="H60" s="161"/>
      <c r="I60" s="161"/>
      <c r="J60" s="161"/>
      <c r="K60" s="161" t="s">
        <v>175</v>
      </c>
      <c r="L60" s="161" t="s">
        <v>175</v>
      </c>
      <c r="M60" s="161" t="s">
        <v>175</v>
      </c>
    </row>
    <row r="61">
      <c r="A61" s="159"/>
      <c r="B61" s="160"/>
      <c r="C61" s="161" t="str">
        <f>IFERROR(VLOOKUP($B61, 'Master Roster'!$A:$C, 3, FALSE), "")</f>
        <v/>
      </c>
      <c r="D61" s="161" t="str">
        <f>IFERROR(VLOOKUP($B61, 'Master Roster'!$A:$E, 5, FALSE), "")</f>
        <v/>
      </c>
      <c r="E61" s="159" t="str">
        <f>IFERROR(VLOOKUP($B61, 'Master Roster'!$A:$F, 6, FALSE), "")</f>
        <v/>
      </c>
      <c r="F61" s="161" t="str">
        <f>IFERROR(VLOOKUP($B61, 'Master Roster'!$A:$H, 8, FALSE), "")</f>
        <v/>
      </c>
      <c r="G61" s="162" t="str">
        <f>IFERROR(VLOOKUP($B61, 'Master Roster'!$A:$G, 7, FALSE), "")</f>
        <v/>
      </c>
      <c r="H61" s="161"/>
      <c r="I61" s="161"/>
      <c r="J61" s="161"/>
      <c r="K61" s="161" t="s">
        <v>175</v>
      </c>
      <c r="L61" s="161" t="s">
        <v>175</v>
      </c>
      <c r="M61" s="161" t="s">
        <v>175</v>
      </c>
    </row>
    <row r="62">
      <c r="A62" s="159"/>
      <c r="B62" s="160"/>
      <c r="C62" s="161" t="str">
        <f>IFERROR(VLOOKUP($B62, 'Master Roster'!$A:$C, 3, FALSE), "")</f>
        <v/>
      </c>
      <c r="D62" s="161" t="str">
        <f>IFERROR(VLOOKUP($B62, 'Master Roster'!$A:$E, 5, FALSE), "")</f>
        <v/>
      </c>
      <c r="E62" s="159" t="str">
        <f>IFERROR(VLOOKUP($B62, 'Master Roster'!$A:$F, 6, FALSE), "")</f>
        <v/>
      </c>
      <c r="F62" s="161" t="str">
        <f>IFERROR(VLOOKUP($B62, 'Master Roster'!$A:$H, 8, FALSE), "")</f>
        <v/>
      </c>
      <c r="G62" s="162" t="str">
        <f>IFERROR(VLOOKUP($B62, 'Master Roster'!$A:$G, 7, FALSE), "")</f>
        <v/>
      </c>
      <c r="H62" s="161"/>
      <c r="I62" s="161"/>
      <c r="J62" s="161"/>
      <c r="K62" s="161" t="s">
        <v>175</v>
      </c>
      <c r="L62" s="161" t="s">
        <v>175</v>
      </c>
      <c r="M62" s="161" t="s">
        <v>175</v>
      </c>
    </row>
    <row r="63">
      <c r="A63" s="159"/>
      <c r="B63" s="160"/>
      <c r="C63" s="161" t="str">
        <f>IFERROR(VLOOKUP($B63, 'Master Roster'!$A:$C, 3, FALSE), "")</f>
        <v/>
      </c>
      <c r="D63" s="161" t="str">
        <f>IFERROR(VLOOKUP($B63, 'Master Roster'!$A:$E, 5, FALSE), "")</f>
        <v/>
      </c>
      <c r="E63" s="159" t="str">
        <f>IFERROR(VLOOKUP($B63, 'Master Roster'!$A:$F, 6, FALSE), "")</f>
        <v/>
      </c>
      <c r="F63" s="161" t="str">
        <f>IFERROR(VLOOKUP($B63, 'Master Roster'!$A:$H, 8, FALSE), "")</f>
        <v/>
      </c>
      <c r="G63" s="162" t="str">
        <f>IFERROR(VLOOKUP($B63, 'Master Roster'!$A:$G, 7, FALSE), "")</f>
        <v/>
      </c>
      <c r="H63" s="161"/>
      <c r="I63" s="161"/>
      <c r="J63" s="161"/>
      <c r="K63" s="161" t="s">
        <v>175</v>
      </c>
      <c r="L63" s="161" t="s">
        <v>175</v>
      </c>
      <c r="M63" s="161" t="s">
        <v>175</v>
      </c>
    </row>
    <row r="64">
      <c r="A64" s="159"/>
      <c r="B64" s="160"/>
      <c r="C64" s="161" t="str">
        <f>IFERROR(VLOOKUP($B64, 'Master Roster'!$A:$C, 3, FALSE), "")</f>
        <v/>
      </c>
      <c r="D64" s="161" t="str">
        <f>IFERROR(VLOOKUP($B64, 'Master Roster'!$A:$E, 5, FALSE), "")</f>
        <v/>
      </c>
      <c r="E64" s="159" t="str">
        <f>IFERROR(VLOOKUP($B64, 'Master Roster'!$A:$F, 6, FALSE), "")</f>
        <v/>
      </c>
      <c r="F64" s="161" t="str">
        <f>IFERROR(VLOOKUP($B64, 'Master Roster'!$A:$H, 8, FALSE), "")</f>
        <v/>
      </c>
      <c r="G64" s="162" t="str">
        <f>IFERROR(VLOOKUP($B64, 'Master Roster'!$A:$G, 7, FALSE), "")</f>
        <v/>
      </c>
      <c r="H64" s="161"/>
      <c r="I64" s="161"/>
      <c r="J64" s="161"/>
      <c r="K64" s="161" t="s">
        <v>175</v>
      </c>
      <c r="L64" s="161" t="s">
        <v>175</v>
      </c>
      <c r="M64" s="161" t="s">
        <v>175</v>
      </c>
    </row>
    <row r="65">
      <c r="A65" s="159"/>
      <c r="B65" s="160"/>
      <c r="C65" s="161" t="str">
        <f>IFERROR(VLOOKUP($B65, 'Master Roster'!$A:$C, 3, FALSE), "")</f>
        <v/>
      </c>
      <c r="D65" s="161" t="str">
        <f>IFERROR(VLOOKUP($B65, 'Master Roster'!$A:$E, 5, FALSE), "")</f>
        <v/>
      </c>
      <c r="E65" s="159" t="str">
        <f>IFERROR(VLOOKUP($B65, 'Master Roster'!$A:$F, 6, FALSE), "")</f>
        <v/>
      </c>
      <c r="F65" s="161" t="str">
        <f>IFERROR(VLOOKUP($B65, 'Master Roster'!$A:$H, 8, FALSE), "")</f>
        <v/>
      </c>
      <c r="G65" s="162" t="str">
        <f>IFERROR(VLOOKUP($B65, 'Master Roster'!$A:$G, 7, FALSE), "")</f>
        <v/>
      </c>
      <c r="H65" s="161"/>
      <c r="I65" s="161"/>
      <c r="J65" s="161"/>
      <c r="K65" s="161" t="s">
        <v>175</v>
      </c>
      <c r="L65" s="161" t="s">
        <v>175</v>
      </c>
      <c r="M65" s="161" t="s">
        <v>175</v>
      </c>
    </row>
    <row r="66">
      <c r="A66" s="159"/>
      <c r="B66" s="160"/>
      <c r="C66" s="161" t="str">
        <f>IFERROR(VLOOKUP($B66, 'Master Roster'!$A:$C, 3, FALSE), "")</f>
        <v/>
      </c>
      <c r="D66" s="161" t="str">
        <f>IFERROR(VLOOKUP($B66, 'Master Roster'!$A:$E, 5, FALSE), "")</f>
        <v/>
      </c>
      <c r="E66" s="159" t="str">
        <f>IFERROR(VLOOKUP($B66, 'Master Roster'!$A:$F, 6, FALSE), "")</f>
        <v/>
      </c>
      <c r="F66" s="161" t="str">
        <f>IFERROR(VLOOKUP($B66, 'Master Roster'!$A:$H, 8, FALSE), "")</f>
        <v/>
      </c>
      <c r="G66" s="162" t="str">
        <f>IFERROR(VLOOKUP($B66, 'Master Roster'!$A:$G, 7, FALSE), "")</f>
        <v/>
      </c>
      <c r="H66" s="161"/>
      <c r="I66" s="161"/>
      <c r="J66" s="161"/>
      <c r="K66" s="161" t="s">
        <v>175</v>
      </c>
      <c r="L66" s="161" t="s">
        <v>175</v>
      </c>
      <c r="M66" s="161" t="s">
        <v>175</v>
      </c>
    </row>
    <row r="67">
      <c r="A67" s="159"/>
      <c r="B67" s="160"/>
      <c r="C67" s="161" t="str">
        <f>IFERROR(VLOOKUP($B67, 'Master Roster'!$A:$C, 3, FALSE), "")</f>
        <v/>
      </c>
      <c r="D67" s="161" t="str">
        <f>IFERROR(VLOOKUP($B67, 'Master Roster'!$A:$E, 5, FALSE), "")</f>
        <v/>
      </c>
      <c r="E67" s="159" t="str">
        <f>IFERROR(VLOOKUP($B67, 'Master Roster'!$A:$F, 6, FALSE), "")</f>
        <v/>
      </c>
      <c r="F67" s="161" t="str">
        <f>IFERROR(VLOOKUP($B67, 'Master Roster'!$A:$H, 8, FALSE), "")</f>
        <v/>
      </c>
      <c r="G67" s="162" t="str">
        <f>IFERROR(VLOOKUP($B67, 'Master Roster'!$A:$G, 7, FALSE), "")</f>
        <v/>
      </c>
      <c r="H67" s="161"/>
      <c r="I67" s="161"/>
      <c r="J67" s="161"/>
      <c r="K67" s="161" t="s">
        <v>175</v>
      </c>
      <c r="L67" s="161" t="s">
        <v>175</v>
      </c>
      <c r="M67" s="161" t="s">
        <v>175</v>
      </c>
    </row>
    <row r="68">
      <c r="A68" s="159"/>
      <c r="B68" s="160"/>
      <c r="C68" s="161" t="str">
        <f>IFERROR(VLOOKUP($B68, 'Master Roster'!$A:$C, 3, FALSE), "")</f>
        <v/>
      </c>
      <c r="D68" s="161" t="str">
        <f>IFERROR(VLOOKUP($B68, 'Master Roster'!$A:$E, 5, FALSE), "")</f>
        <v/>
      </c>
      <c r="E68" s="159" t="str">
        <f>IFERROR(VLOOKUP($B68, 'Master Roster'!$A:$F, 6, FALSE), "")</f>
        <v/>
      </c>
      <c r="F68" s="161" t="str">
        <f>IFERROR(VLOOKUP($B68, 'Master Roster'!$A:$H, 8, FALSE), "")</f>
        <v/>
      </c>
      <c r="G68" s="162" t="str">
        <f>IFERROR(VLOOKUP($B68, 'Master Roster'!$A:$G, 7, FALSE), "")</f>
        <v/>
      </c>
      <c r="H68" s="161"/>
      <c r="I68" s="161"/>
      <c r="J68" s="161"/>
      <c r="K68" s="161" t="s">
        <v>175</v>
      </c>
      <c r="L68" s="161" t="s">
        <v>175</v>
      </c>
      <c r="M68" s="161" t="s">
        <v>175</v>
      </c>
    </row>
    <row r="69">
      <c r="A69" s="159"/>
      <c r="B69" s="160"/>
      <c r="C69" s="161" t="str">
        <f>IFERROR(VLOOKUP($B69, 'Master Roster'!$A:$C, 3, FALSE), "")</f>
        <v/>
      </c>
      <c r="D69" s="161" t="str">
        <f>IFERROR(VLOOKUP($B69, 'Master Roster'!$A:$E, 5, FALSE), "")</f>
        <v/>
      </c>
      <c r="E69" s="159" t="str">
        <f>IFERROR(VLOOKUP($B69, 'Master Roster'!$A:$F, 6, FALSE), "")</f>
        <v/>
      </c>
      <c r="F69" s="161" t="str">
        <f>IFERROR(VLOOKUP($B69, 'Master Roster'!$A:$H, 8, FALSE), "")</f>
        <v/>
      </c>
      <c r="G69" s="162" t="str">
        <f>IFERROR(VLOOKUP($B69, 'Master Roster'!$A:$G, 7, FALSE), "")</f>
        <v/>
      </c>
      <c r="H69" s="161"/>
      <c r="I69" s="161"/>
      <c r="J69" s="161"/>
      <c r="K69" s="161" t="s">
        <v>175</v>
      </c>
      <c r="L69" s="161" t="s">
        <v>175</v>
      </c>
      <c r="M69" s="161" t="s">
        <v>175</v>
      </c>
    </row>
    <row r="70">
      <c r="A70" s="159"/>
      <c r="B70" s="160"/>
      <c r="C70" s="161" t="str">
        <f>IFERROR(VLOOKUP($B70, 'Master Roster'!$A:$C, 3, FALSE), "")</f>
        <v/>
      </c>
      <c r="D70" s="161" t="str">
        <f>IFERROR(VLOOKUP($B70, 'Master Roster'!$A:$E, 5, FALSE), "")</f>
        <v/>
      </c>
      <c r="E70" s="159" t="str">
        <f>IFERROR(VLOOKUP($B70, 'Master Roster'!$A:$F, 6, FALSE), "")</f>
        <v/>
      </c>
      <c r="F70" s="161" t="str">
        <f>IFERROR(VLOOKUP($B70, 'Master Roster'!$A:$H, 8, FALSE), "")</f>
        <v/>
      </c>
      <c r="G70" s="162" t="str">
        <f>IFERROR(VLOOKUP($B70, 'Master Roster'!$A:$G, 7, FALSE), "")</f>
        <v/>
      </c>
      <c r="H70" s="161"/>
      <c r="I70" s="161"/>
      <c r="J70" s="161"/>
      <c r="K70" s="161" t="s">
        <v>175</v>
      </c>
      <c r="L70" s="161" t="s">
        <v>175</v>
      </c>
      <c r="M70" s="161" t="s">
        <v>175</v>
      </c>
    </row>
    <row r="71">
      <c r="A71" s="159"/>
      <c r="B71" s="160"/>
      <c r="C71" s="161" t="str">
        <f>IFERROR(VLOOKUP($B71, 'Master Roster'!$A:$C, 3, FALSE), "")</f>
        <v/>
      </c>
      <c r="D71" s="161" t="str">
        <f>IFERROR(VLOOKUP($B71, 'Master Roster'!$A:$E, 5, FALSE), "")</f>
        <v/>
      </c>
      <c r="E71" s="159" t="str">
        <f>IFERROR(VLOOKUP($B71, 'Master Roster'!$A:$F, 6, FALSE), "")</f>
        <v/>
      </c>
      <c r="F71" s="161" t="str">
        <f>IFERROR(VLOOKUP($B71, 'Master Roster'!$A:$H, 8, FALSE), "")</f>
        <v/>
      </c>
      <c r="G71" s="162" t="str">
        <f>IFERROR(VLOOKUP($B71, 'Master Roster'!$A:$G, 7, FALSE), "")</f>
        <v/>
      </c>
      <c r="H71" s="161"/>
      <c r="I71" s="161"/>
      <c r="J71" s="161"/>
      <c r="K71" s="161" t="s">
        <v>175</v>
      </c>
      <c r="L71" s="161" t="s">
        <v>175</v>
      </c>
      <c r="M71" s="161" t="s">
        <v>175</v>
      </c>
    </row>
    <row r="72">
      <c r="A72" s="159"/>
      <c r="B72" s="160"/>
      <c r="C72" s="161" t="str">
        <f>IFERROR(VLOOKUP($B72, 'Master Roster'!$A:$C, 3, FALSE), "")</f>
        <v/>
      </c>
      <c r="D72" s="161" t="str">
        <f>IFERROR(VLOOKUP($B72, 'Master Roster'!$A:$E, 5, FALSE), "")</f>
        <v/>
      </c>
      <c r="E72" s="159" t="str">
        <f>IFERROR(VLOOKUP($B72, 'Master Roster'!$A:$F, 6, FALSE), "")</f>
        <v/>
      </c>
      <c r="F72" s="161" t="str">
        <f>IFERROR(VLOOKUP($B72, 'Master Roster'!$A:$H, 8, FALSE), "")</f>
        <v/>
      </c>
      <c r="G72" s="162" t="str">
        <f>IFERROR(VLOOKUP($B72, 'Master Roster'!$A:$G, 7, FALSE), "")</f>
        <v/>
      </c>
      <c r="H72" s="161"/>
      <c r="I72" s="161"/>
      <c r="J72" s="161"/>
      <c r="K72" s="161" t="s">
        <v>175</v>
      </c>
      <c r="L72" s="161" t="s">
        <v>175</v>
      </c>
      <c r="M72" s="161" t="s">
        <v>175</v>
      </c>
    </row>
    <row r="73">
      <c r="A73" s="159"/>
      <c r="B73" s="160"/>
      <c r="C73" s="161" t="str">
        <f>IFERROR(VLOOKUP($B73, 'Master Roster'!$A:$C, 3, FALSE), "")</f>
        <v/>
      </c>
      <c r="D73" s="161" t="str">
        <f>IFERROR(VLOOKUP($B73, 'Master Roster'!$A:$E, 5, FALSE), "")</f>
        <v/>
      </c>
      <c r="E73" s="159" t="str">
        <f>IFERROR(VLOOKUP($B73, 'Master Roster'!$A:$F, 6, FALSE), "")</f>
        <v/>
      </c>
      <c r="F73" s="161" t="str">
        <f>IFERROR(VLOOKUP($B73, 'Master Roster'!$A:$H, 8, FALSE), "")</f>
        <v/>
      </c>
      <c r="G73" s="162" t="str">
        <f>IFERROR(VLOOKUP($B73, 'Master Roster'!$A:$G, 7, FALSE), "")</f>
        <v/>
      </c>
      <c r="H73" s="161"/>
      <c r="I73" s="161"/>
      <c r="J73" s="161"/>
      <c r="K73" s="161" t="s">
        <v>175</v>
      </c>
      <c r="L73" s="161" t="s">
        <v>175</v>
      </c>
      <c r="M73" s="161" t="s">
        <v>175</v>
      </c>
    </row>
    <row r="74">
      <c r="A74" s="159"/>
      <c r="B74" s="160"/>
      <c r="C74" s="161" t="str">
        <f>IFERROR(VLOOKUP($B74, 'Master Roster'!$A:$C, 3, FALSE), "")</f>
        <v/>
      </c>
      <c r="D74" s="161" t="str">
        <f>IFERROR(VLOOKUP($B74, 'Master Roster'!$A:$E, 5, FALSE), "")</f>
        <v/>
      </c>
      <c r="E74" s="159" t="str">
        <f>IFERROR(VLOOKUP($B74, 'Master Roster'!$A:$F, 6, FALSE), "")</f>
        <v/>
      </c>
      <c r="F74" s="161" t="str">
        <f>IFERROR(VLOOKUP($B74, 'Master Roster'!$A:$H, 8, FALSE), "")</f>
        <v/>
      </c>
      <c r="G74" s="162" t="str">
        <f>IFERROR(VLOOKUP($B74, 'Master Roster'!$A:$G, 7, FALSE), "")</f>
        <v/>
      </c>
      <c r="H74" s="161"/>
      <c r="I74" s="161"/>
      <c r="J74" s="161"/>
      <c r="K74" s="161" t="s">
        <v>175</v>
      </c>
      <c r="L74" s="161" t="s">
        <v>175</v>
      </c>
      <c r="M74" s="161" t="s">
        <v>175</v>
      </c>
    </row>
    <row r="75">
      <c r="A75" s="159"/>
      <c r="B75" s="160"/>
      <c r="C75" s="161" t="str">
        <f>IFERROR(VLOOKUP($B75, 'Master Roster'!$A:$C, 3, FALSE), "")</f>
        <v/>
      </c>
      <c r="D75" s="161" t="str">
        <f>IFERROR(VLOOKUP($B75, 'Master Roster'!$A:$E, 5, FALSE), "")</f>
        <v/>
      </c>
      <c r="E75" s="159" t="str">
        <f>IFERROR(VLOOKUP($B75, 'Master Roster'!$A:$F, 6, FALSE), "")</f>
        <v/>
      </c>
      <c r="F75" s="161" t="str">
        <f>IFERROR(VLOOKUP($B75, 'Master Roster'!$A:$H, 8, FALSE), "")</f>
        <v/>
      </c>
      <c r="G75" s="162" t="str">
        <f>IFERROR(VLOOKUP($B75, 'Master Roster'!$A:$G, 7, FALSE), "")</f>
        <v/>
      </c>
      <c r="H75" s="161"/>
      <c r="I75" s="161"/>
      <c r="J75" s="161"/>
      <c r="K75" s="161" t="s">
        <v>175</v>
      </c>
      <c r="L75" s="161" t="s">
        <v>175</v>
      </c>
      <c r="M75" s="161" t="s">
        <v>175</v>
      </c>
    </row>
    <row r="76">
      <c r="A76" s="159"/>
      <c r="B76" s="160"/>
      <c r="C76" s="161" t="str">
        <f>IFERROR(VLOOKUP($B76, 'Master Roster'!$A:$C, 3, FALSE), "")</f>
        <v/>
      </c>
      <c r="D76" s="161" t="str">
        <f>IFERROR(VLOOKUP($B76, 'Master Roster'!$A:$E, 5, FALSE), "")</f>
        <v/>
      </c>
      <c r="E76" s="159" t="str">
        <f>IFERROR(VLOOKUP($B76, 'Master Roster'!$A:$F, 6, FALSE), "")</f>
        <v/>
      </c>
      <c r="F76" s="161" t="str">
        <f>IFERROR(VLOOKUP($B76, 'Master Roster'!$A:$H, 8, FALSE), "")</f>
        <v/>
      </c>
      <c r="G76" s="162" t="str">
        <f>IFERROR(VLOOKUP($B76, 'Master Roster'!$A:$G, 7, FALSE), "")</f>
        <v/>
      </c>
      <c r="H76" s="161"/>
      <c r="I76" s="161"/>
      <c r="J76" s="161"/>
      <c r="K76" s="161" t="s">
        <v>175</v>
      </c>
      <c r="L76" s="161" t="s">
        <v>175</v>
      </c>
      <c r="M76" s="161" t="s">
        <v>175</v>
      </c>
    </row>
    <row r="77">
      <c r="A77" s="159"/>
      <c r="B77" s="160"/>
      <c r="C77" s="161" t="str">
        <f>IFERROR(VLOOKUP($B77, 'Master Roster'!$A:$C, 3, FALSE), "")</f>
        <v/>
      </c>
      <c r="D77" s="161" t="str">
        <f>IFERROR(VLOOKUP($B77, 'Master Roster'!$A:$E, 5, FALSE), "")</f>
        <v/>
      </c>
      <c r="E77" s="159" t="str">
        <f>IFERROR(VLOOKUP($B77, 'Master Roster'!$A:$F, 6, FALSE), "")</f>
        <v/>
      </c>
      <c r="F77" s="161" t="str">
        <f>IFERROR(VLOOKUP($B77, 'Master Roster'!$A:$H, 8, FALSE), "")</f>
        <v/>
      </c>
      <c r="G77" s="162" t="str">
        <f>IFERROR(VLOOKUP($B77, 'Master Roster'!$A:$G, 7, FALSE), "")</f>
        <v/>
      </c>
      <c r="H77" s="161"/>
      <c r="I77" s="161"/>
      <c r="J77" s="161"/>
      <c r="K77" s="161" t="s">
        <v>175</v>
      </c>
      <c r="L77" s="161" t="s">
        <v>175</v>
      </c>
      <c r="M77" s="161" t="s">
        <v>175</v>
      </c>
    </row>
    <row r="78">
      <c r="A78" s="159"/>
      <c r="B78" s="160"/>
      <c r="C78" s="161" t="str">
        <f>IFERROR(VLOOKUP($B78, 'Master Roster'!$A:$C, 3, FALSE), "")</f>
        <v/>
      </c>
      <c r="D78" s="161" t="str">
        <f>IFERROR(VLOOKUP($B78, 'Master Roster'!$A:$E, 5, FALSE), "")</f>
        <v/>
      </c>
      <c r="E78" s="159" t="str">
        <f>IFERROR(VLOOKUP($B78, 'Master Roster'!$A:$F, 6, FALSE), "")</f>
        <v/>
      </c>
      <c r="F78" s="161" t="str">
        <f>IFERROR(VLOOKUP($B78, 'Master Roster'!$A:$H, 8, FALSE), "")</f>
        <v/>
      </c>
      <c r="G78" s="162" t="str">
        <f>IFERROR(VLOOKUP($B78, 'Master Roster'!$A:$G, 7, FALSE), "")</f>
        <v/>
      </c>
      <c r="H78" s="161"/>
      <c r="I78" s="161"/>
      <c r="J78" s="161"/>
      <c r="K78" s="161" t="s">
        <v>175</v>
      </c>
      <c r="L78" s="161" t="s">
        <v>175</v>
      </c>
      <c r="M78" s="161" t="s">
        <v>175</v>
      </c>
    </row>
    <row r="79">
      <c r="A79" s="159"/>
      <c r="B79" s="160"/>
      <c r="C79" s="161" t="str">
        <f>IFERROR(VLOOKUP($B79, 'Master Roster'!$A:$C, 3, FALSE), "")</f>
        <v/>
      </c>
      <c r="D79" s="161" t="str">
        <f>IFERROR(VLOOKUP($B79, 'Master Roster'!$A:$E, 5, FALSE), "")</f>
        <v/>
      </c>
      <c r="E79" s="159" t="str">
        <f>IFERROR(VLOOKUP($B79, 'Master Roster'!$A:$F, 6, FALSE), "")</f>
        <v/>
      </c>
      <c r="F79" s="161" t="str">
        <f>IFERROR(VLOOKUP($B79, 'Master Roster'!$A:$H, 8, FALSE), "")</f>
        <v/>
      </c>
      <c r="G79" s="162" t="str">
        <f>IFERROR(VLOOKUP($B79, 'Master Roster'!$A:$G, 7, FALSE), "")</f>
        <v/>
      </c>
      <c r="H79" s="161"/>
      <c r="I79" s="161"/>
      <c r="J79" s="161"/>
      <c r="K79" s="161" t="s">
        <v>175</v>
      </c>
      <c r="L79" s="161" t="s">
        <v>175</v>
      </c>
      <c r="M79" s="161" t="s">
        <v>175</v>
      </c>
    </row>
    <row r="80">
      <c r="A80" s="159"/>
      <c r="B80" s="160"/>
      <c r="C80" s="161" t="str">
        <f>IFERROR(VLOOKUP($B80, 'Master Roster'!$A:$C, 3, FALSE), "")</f>
        <v/>
      </c>
      <c r="D80" s="161" t="str">
        <f>IFERROR(VLOOKUP($B80, 'Master Roster'!$A:$E, 5, FALSE), "")</f>
        <v/>
      </c>
      <c r="E80" s="159" t="str">
        <f>IFERROR(VLOOKUP($B80, 'Master Roster'!$A:$F, 6, FALSE), "")</f>
        <v/>
      </c>
      <c r="F80" s="161" t="str">
        <f>IFERROR(VLOOKUP($B80, 'Master Roster'!$A:$H, 8, FALSE), "")</f>
        <v/>
      </c>
      <c r="G80" s="162" t="str">
        <f>IFERROR(VLOOKUP($B80, 'Master Roster'!$A:$G, 7, FALSE), "")</f>
        <v/>
      </c>
      <c r="H80" s="161"/>
      <c r="I80" s="161"/>
      <c r="J80" s="161"/>
      <c r="K80" s="161" t="s">
        <v>175</v>
      </c>
      <c r="L80" s="161" t="s">
        <v>175</v>
      </c>
      <c r="M80" s="161" t="s">
        <v>175</v>
      </c>
    </row>
    <row r="81">
      <c r="A81" s="159"/>
      <c r="B81" s="160"/>
      <c r="C81" s="161" t="str">
        <f>IFERROR(VLOOKUP($B81, 'Master Roster'!$A:$C, 3, FALSE), "")</f>
        <v/>
      </c>
      <c r="D81" s="161" t="str">
        <f>IFERROR(VLOOKUP($B81, 'Master Roster'!$A:$E, 5, FALSE), "")</f>
        <v/>
      </c>
      <c r="E81" s="159" t="str">
        <f>IFERROR(VLOOKUP($B81, 'Master Roster'!$A:$F, 6, FALSE), "")</f>
        <v/>
      </c>
      <c r="F81" s="161" t="str">
        <f>IFERROR(VLOOKUP($B81, 'Master Roster'!$A:$H, 8, FALSE), "")</f>
        <v/>
      </c>
      <c r="G81" s="162" t="str">
        <f>IFERROR(VLOOKUP($B81, 'Master Roster'!$A:$G, 7, FALSE), "")</f>
        <v/>
      </c>
      <c r="H81" s="161"/>
      <c r="I81" s="161"/>
      <c r="J81" s="161"/>
      <c r="K81" s="161" t="s">
        <v>175</v>
      </c>
      <c r="L81" s="161" t="s">
        <v>175</v>
      </c>
      <c r="M81" s="161" t="s">
        <v>175</v>
      </c>
    </row>
    <row r="82">
      <c r="A82" s="159"/>
      <c r="B82" s="160"/>
      <c r="C82" s="161" t="str">
        <f>IFERROR(VLOOKUP($B82, 'Master Roster'!$A:$C, 3, FALSE), "")</f>
        <v/>
      </c>
      <c r="D82" s="161" t="str">
        <f>IFERROR(VLOOKUP($B82, 'Master Roster'!$A:$E, 5, FALSE), "")</f>
        <v/>
      </c>
      <c r="E82" s="159" t="str">
        <f>IFERROR(VLOOKUP($B82, 'Master Roster'!$A:$F, 6, FALSE), "")</f>
        <v/>
      </c>
      <c r="F82" s="161" t="str">
        <f>IFERROR(VLOOKUP($B82, 'Master Roster'!$A:$H, 8, FALSE), "")</f>
        <v/>
      </c>
      <c r="G82" s="162" t="str">
        <f>IFERROR(VLOOKUP($B82, 'Master Roster'!$A:$G, 7, FALSE), "")</f>
        <v/>
      </c>
      <c r="H82" s="161"/>
      <c r="I82" s="161"/>
      <c r="J82" s="161"/>
      <c r="K82" s="161" t="s">
        <v>175</v>
      </c>
      <c r="L82" s="161" t="s">
        <v>175</v>
      </c>
      <c r="M82" s="161" t="s">
        <v>175</v>
      </c>
    </row>
    <row r="83">
      <c r="A83" s="159"/>
      <c r="B83" s="160"/>
      <c r="C83" s="161" t="str">
        <f>IFERROR(VLOOKUP($B83, 'Master Roster'!$A:$C, 3, FALSE), "")</f>
        <v/>
      </c>
      <c r="D83" s="161" t="str">
        <f>IFERROR(VLOOKUP($B83, 'Master Roster'!$A:$E, 5, FALSE), "")</f>
        <v/>
      </c>
      <c r="E83" s="159" t="str">
        <f>IFERROR(VLOOKUP($B83, 'Master Roster'!$A:$F, 6, FALSE), "")</f>
        <v/>
      </c>
      <c r="F83" s="161" t="str">
        <f>IFERROR(VLOOKUP($B83, 'Master Roster'!$A:$H, 8, FALSE), "")</f>
        <v/>
      </c>
      <c r="G83" s="162" t="str">
        <f>IFERROR(VLOOKUP($B83, 'Master Roster'!$A:$G, 7, FALSE), "")</f>
        <v/>
      </c>
      <c r="H83" s="161"/>
      <c r="I83" s="161"/>
      <c r="J83" s="161"/>
      <c r="K83" s="161" t="s">
        <v>175</v>
      </c>
      <c r="L83" s="161" t="s">
        <v>175</v>
      </c>
      <c r="M83" s="161" t="s">
        <v>175</v>
      </c>
    </row>
    <row r="84">
      <c r="A84" s="159"/>
      <c r="B84" s="160"/>
      <c r="C84" s="161" t="str">
        <f>IFERROR(VLOOKUP($B84, 'Master Roster'!$A:$C, 3, FALSE), "")</f>
        <v/>
      </c>
      <c r="D84" s="161" t="str">
        <f>IFERROR(VLOOKUP($B84, 'Master Roster'!$A:$E, 5, FALSE), "")</f>
        <v/>
      </c>
      <c r="E84" s="159" t="str">
        <f>IFERROR(VLOOKUP($B84, 'Master Roster'!$A:$F, 6, FALSE), "")</f>
        <v/>
      </c>
      <c r="F84" s="161" t="str">
        <f>IFERROR(VLOOKUP($B84, 'Master Roster'!$A:$H, 8, FALSE), "")</f>
        <v/>
      </c>
      <c r="G84" s="162" t="str">
        <f>IFERROR(VLOOKUP($B84, 'Master Roster'!$A:$G, 7, FALSE), "")</f>
        <v/>
      </c>
      <c r="H84" s="161"/>
      <c r="I84" s="161"/>
      <c r="J84" s="161"/>
      <c r="K84" s="161" t="s">
        <v>175</v>
      </c>
      <c r="L84" s="161" t="s">
        <v>175</v>
      </c>
      <c r="M84" s="161" t="s">
        <v>175</v>
      </c>
    </row>
    <row r="85">
      <c r="A85" s="159"/>
      <c r="B85" s="160"/>
      <c r="C85" s="161" t="str">
        <f>IFERROR(VLOOKUP($B85, 'Master Roster'!$A:$C, 3, FALSE), "")</f>
        <v/>
      </c>
      <c r="D85" s="161" t="str">
        <f>IFERROR(VLOOKUP($B85, 'Master Roster'!$A:$E, 5, FALSE), "")</f>
        <v/>
      </c>
      <c r="E85" s="159" t="str">
        <f>IFERROR(VLOOKUP($B85, 'Master Roster'!$A:$F, 6, FALSE), "")</f>
        <v/>
      </c>
      <c r="F85" s="161" t="str">
        <f>IFERROR(VLOOKUP($B85, 'Master Roster'!$A:$H, 8, FALSE), "")</f>
        <v/>
      </c>
      <c r="G85" s="162" t="str">
        <f>IFERROR(VLOOKUP($B85, 'Master Roster'!$A:$G, 7, FALSE), "")</f>
        <v/>
      </c>
      <c r="H85" s="161"/>
      <c r="I85" s="161"/>
      <c r="J85" s="161"/>
      <c r="K85" s="161" t="s">
        <v>175</v>
      </c>
      <c r="L85" s="161" t="s">
        <v>175</v>
      </c>
      <c r="M85" s="161" t="s">
        <v>175</v>
      </c>
    </row>
    <row r="86">
      <c r="A86" s="159"/>
      <c r="B86" s="160"/>
      <c r="C86" s="161" t="str">
        <f>IFERROR(VLOOKUP($B86, 'Master Roster'!$A:$C, 3, FALSE), "")</f>
        <v/>
      </c>
      <c r="D86" s="161" t="str">
        <f>IFERROR(VLOOKUP($B86, 'Master Roster'!$A:$E, 5, FALSE), "")</f>
        <v/>
      </c>
      <c r="E86" s="159" t="str">
        <f>IFERROR(VLOOKUP($B86, 'Master Roster'!$A:$F, 6, FALSE), "")</f>
        <v/>
      </c>
      <c r="F86" s="161" t="str">
        <f>IFERROR(VLOOKUP($B86, 'Master Roster'!$A:$H, 8, FALSE), "")</f>
        <v/>
      </c>
      <c r="G86" s="162" t="str">
        <f>IFERROR(VLOOKUP($B86, 'Master Roster'!$A:$G, 7, FALSE), "")</f>
        <v/>
      </c>
      <c r="H86" s="161"/>
      <c r="I86" s="161"/>
      <c r="J86" s="161"/>
      <c r="K86" s="161" t="s">
        <v>175</v>
      </c>
      <c r="L86" s="161" t="s">
        <v>175</v>
      </c>
      <c r="M86" s="161" t="s">
        <v>175</v>
      </c>
    </row>
    <row r="87">
      <c r="A87" s="159"/>
      <c r="B87" s="160"/>
      <c r="C87" s="161" t="str">
        <f>IFERROR(VLOOKUP($B87, 'Master Roster'!$A:$C, 3, FALSE), "")</f>
        <v/>
      </c>
      <c r="D87" s="161" t="str">
        <f>IFERROR(VLOOKUP($B87, 'Master Roster'!$A:$E, 5, FALSE), "")</f>
        <v/>
      </c>
      <c r="E87" s="159" t="str">
        <f>IFERROR(VLOOKUP($B87, 'Master Roster'!$A:$F, 6, FALSE), "")</f>
        <v/>
      </c>
      <c r="F87" s="161" t="str">
        <f>IFERROR(VLOOKUP($B87, 'Master Roster'!$A:$H, 8, FALSE), "")</f>
        <v/>
      </c>
      <c r="G87" s="162" t="str">
        <f>IFERROR(VLOOKUP($B87, 'Master Roster'!$A:$G, 7, FALSE), "")</f>
        <v/>
      </c>
      <c r="H87" s="161"/>
      <c r="I87" s="161"/>
      <c r="J87" s="161"/>
      <c r="K87" s="161" t="s">
        <v>175</v>
      </c>
      <c r="L87" s="161" t="s">
        <v>175</v>
      </c>
      <c r="M87" s="161" t="s">
        <v>175</v>
      </c>
    </row>
    <row r="88">
      <c r="A88" s="159"/>
      <c r="B88" s="160"/>
      <c r="C88" s="161" t="str">
        <f>IFERROR(VLOOKUP($B88, 'Master Roster'!$A:$C, 3, FALSE), "")</f>
        <v/>
      </c>
      <c r="D88" s="161" t="str">
        <f>IFERROR(VLOOKUP($B88, 'Master Roster'!$A:$E, 5, FALSE), "")</f>
        <v/>
      </c>
      <c r="E88" s="159" t="str">
        <f>IFERROR(VLOOKUP($B88, 'Master Roster'!$A:$F, 6, FALSE), "")</f>
        <v/>
      </c>
      <c r="F88" s="161" t="str">
        <f>IFERROR(VLOOKUP($B88, 'Master Roster'!$A:$H, 8, FALSE), "")</f>
        <v/>
      </c>
      <c r="G88" s="162" t="str">
        <f>IFERROR(VLOOKUP($B88, 'Master Roster'!$A:$G, 7, FALSE), "")</f>
        <v/>
      </c>
      <c r="H88" s="161"/>
      <c r="I88" s="161"/>
      <c r="J88" s="161"/>
      <c r="K88" s="161" t="s">
        <v>175</v>
      </c>
      <c r="L88" s="161" t="s">
        <v>175</v>
      </c>
      <c r="M88" s="161" t="s">
        <v>175</v>
      </c>
    </row>
    <row r="89">
      <c r="A89" s="159"/>
      <c r="B89" s="160"/>
      <c r="C89" s="161" t="str">
        <f>IFERROR(VLOOKUP($B89, 'Master Roster'!$A:$C, 3, FALSE), "")</f>
        <v/>
      </c>
      <c r="D89" s="161" t="str">
        <f>IFERROR(VLOOKUP($B89, 'Master Roster'!$A:$E, 5, FALSE), "")</f>
        <v/>
      </c>
      <c r="E89" s="159" t="str">
        <f>IFERROR(VLOOKUP($B89, 'Master Roster'!$A:$F, 6, FALSE), "")</f>
        <v/>
      </c>
      <c r="F89" s="161" t="str">
        <f>IFERROR(VLOOKUP($B89, 'Master Roster'!$A:$H, 8, FALSE), "")</f>
        <v/>
      </c>
      <c r="G89" s="162" t="str">
        <f>IFERROR(VLOOKUP($B89, 'Master Roster'!$A:$G, 7, FALSE), "")</f>
        <v/>
      </c>
      <c r="H89" s="161"/>
      <c r="I89" s="161"/>
      <c r="J89" s="161"/>
      <c r="K89" s="161" t="s">
        <v>175</v>
      </c>
      <c r="L89" s="161" t="s">
        <v>175</v>
      </c>
      <c r="M89" s="161" t="s">
        <v>175</v>
      </c>
    </row>
    <row r="90">
      <c r="A90" s="159"/>
      <c r="B90" s="160"/>
      <c r="C90" s="161" t="str">
        <f>IFERROR(VLOOKUP($B90, 'Master Roster'!$A:$C, 3, FALSE), "")</f>
        <v/>
      </c>
      <c r="D90" s="161" t="str">
        <f>IFERROR(VLOOKUP($B90, 'Master Roster'!$A:$E, 5, FALSE), "")</f>
        <v/>
      </c>
      <c r="E90" s="159" t="str">
        <f>IFERROR(VLOOKUP($B90, 'Master Roster'!$A:$F, 6, FALSE), "")</f>
        <v/>
      </c>
      <c r="F90" s="161" t="str">
        <f>IFERROR(VLOOKUP($B90, 'Master Roster'!$A:$H, 8, FALSE), "")</f>
        <v/>
      </c>
      <c r="G90" s="162" t="str">
        <f>IFERROR(VLOOKUP($B90, 'Master Roster'!$A:$G, 7, FALSE), "")</f>
        <v/>
      </c>
      <c r="H90" s="161"/>
      <c r="I90" s="161"/>
      <c r="J90" s="161"/>
      <c r="K90" s="161" t="s">
        <v>175</v>
      </c>
      <c r="L90" s="161" t="s">
        <v>175</v>
      </c>
      <c r="M90" s="161" t="s">
        <v>175</v>
      </c>
    </row>
    <row r="91">
      <c r="A91" s="159"/>
      <c r="B91" s="160"/>
      <c r="C91" s="161" t="str">
        <f>IFERROR(VLOOKUP($B91, 'Master Roster'!$A:$C, 3, FALSE), "")</f>
        <v/>
      </c>
      <c r="D91" s="161" t="str">
        <f>IFERROR(VLOOKUP($B91, 'Master Roster'!$A:$E, 5, FALSE), "")</f>
        <v/>
      </c>
      <c r="E91" s="159" t="str">
        <f>IFERROR(VLOOKUP($B91, 'Master Roster'!$A:$F, 6, FALSE), "")</f>
        <v/>
      </c>
      <c r="F91" s="161" t="str">
        <f>IFERROR(VLOOKUP($B91, 'Master Roster'!$A:$H, 8, FALSE), "")</f>
        <v/>
      </c>
      <c r="G91" s="162" t="str">
        <f>IFERROR(VLOOKUP($B91, 'Master Roster'!$A:$G, 7, FALSE), "")</f>
        <v/>
      </c>
      <c r="H91" s="161"/>
      <c r="I91" s="161"/>
      <c r="J91" s="161"/>
      <c r="K91" s="161" t="s">
        <v>175</v>
      </c>
      <c r="L91" s="161" t="s">
        <v>175</v>
      </c>
      <c r="M91" s="161" t="s">
        <v>175</v>
      </c>
    </row>
    <row r="92">
      <c r="A92" s="159"/>
      <c r="B92" s="160"/>
      <c r="C92" s="161" t="str">
        <f>IFERROR(VLOOKUP($B92, 'Master Roster'!$A:$C, 3, FALSE), "")</f>
        <v/>
      </c>
      <c r="D92" s="161" t="str">
        <f>IFERROR(VLOOKUP($B92, 'Master Roster'!$A:$E, 5, FALSE), "")</f>
        <v/>
      </c>
      <c r="E92" s="159" t="str">
        <f>IFERROR(VLOOKUP($B92, 'Master Roster'!$A:$F, 6, FALSE), "")</f>
        <v/>
      </c>
      <c r="F92" s="161" t="str">
        <f>IFERROR(VLOOKUP($B92, 'Master Roster'!$A:$H, 8, FALSE), "")</f>
        <v/>
      </c>
      <c r="G92" s="162" t="str">
        <f>IFERROR(VLOOKUP($B92, 'Master Roster'!$A:$G, 7, FALSE), "")</f>
        <v/>
      </c>
      <c r="H92" s="161"/>
      <c r="I92" s="161"/>
      <c r="J92" s="161"/>
      <c r="K92" s="161" t="s">
        <v>175</v>
      </c>
      <c r="L92" s="161" t="s">
        <v>175</v>
      </c>
      <c r="M92" s="161" t="s">
        <v>175</v>
      </c>
    </row>
    <row r="93">
      <c r="A93" s="159"/>
      <c r="B93" s="160"/>
      <c r="C93" s="161" t="str">
        <f>IFERROR(VLOOKUP($B93, 'Master Roster'!$A:$C, 3, FALSE), "")</f>
        <v/>
      </c>
      <c r="D93" s="161" t="str">
        <f>IFERROR(VLOOKUP($B93, 'Master Roster'!$A:$E, 5, FALSE), "")</f>
        <v/>
      </c>
      <c r="E93" s="159" t="str">
        <f>IFERROR(VLOOKUP($B93, 'Master Roster'!$A:$F, 6, FALSE), "")</f>
        <v/>
      </c>
      <c r="F93" s="161" t="str">
        <f>IFERROR(VLOOKUP($B93, 'Master Roster'!$A:$H, 8, FALSE), "")</f>
        <v/>
      </c>
      <c r="G93" s="162" t="str">
        <f>IFERROR(VLOOKUP($B93, 'Master Roster'!$A:$G, 7, FALSE), "")</f>
        <v/>
      </c>
      <c r="H93" s="161"/>
      <c r="I93" s="161"/>
      <c r="J93" s="161"/>
      <c r="K93" s="161" t="s">
        <v>175</v>
      </c>
      <c r="L93" s="161" t="s">
        <v>175</v>
      </c>
      <c r="M93" s="161" t="s">
        <v>175</v>
      </c>
    </row>
    <row r="94">
      <c r="A94" s="159"/>
      <c r="B94" s="160"/>
      <c r="C94" s="161" t="str">
        <f>IFERROR(VLOOKUP($B94, 'Master Roster'!$A:$C, 3, FALSE), "")</f>
        <v/>
      </c>
      <c r="D94" s="161" t="str">
        <f>IFERROR(VLOOKUP($B94, 'Master Roster'!$A:$E, 5, FALSE), "")</f>
        <v/>
      </c>
      <c r="E94" s="159" t="str">
        <f>IFERROR(VLOOKUP($B94, 'Master Roster'!$A:$F, 6, FALSE), "")</f>
        <v/>
      </c>
      <c r="F94" s="161" t="str">
        <f>IFERROR(VLOOKUP($B94, 'Master Roster'!$A:$H, 8, FALSE), "")</f>
        <v/>
      </c>
      <c r="G94" s="162" t="str">
        <f>IFERROR(VLOOKUP($B94, 'Master Roster'!$A:$G, 7, FALSE), "")</f>
        <v/>
      </c>
      <c r="H94" s="161"/>
      <c r="I94" s="161"/>
      <c r="J94" s="161"/>
      <c r="K94" s="161" t="s">
        <v>175</v>
      </c>
      <c r="L94" s="161" t="s">
        <v>175</v>
      </c>
      <c r="M94" s="161" t="s">
        <v>175</v>
      </c>
    </row>
    <row r="95">
      <c r="A95" s="159"/>
      <c r="B95" s="160"/>
      <c r="C95" s="161" t="str">
        <f>IFERROR(VLOOKUP($B95, 'Master Roster'!$A:$C, 3, FALSE), "")</f>
        <v/>
      </c>
      <c r="D95" s="161" t="str">
        <f>IFERROR(VLOOKUP($B95, 'Master Roster'!$A:$E, 5, FALSE), "")</f>
        <v/>
      </c>
      <c r="E95" s="159" t="str">
        <f>IFERROR(VLOOKUP($B95, 'Master Roster'!$A:$F, 6, FALSE), "")</f>
        <v/>
      </c>
      <c r="F95" s="161" t="str">
        <f>IFERROR(VLOOKUP($B95, 'Master Roster'!$A:$H, 8, FALSE), "")</f>
        <v/>
      </c>
      <c r="G95" s="162" t="str">
        <f>IFERROR(VLOOKUP($B95, 'Master Roster'!$A:$G, 7, FALSE), "")</f>
        <v/>
      </c>
      <c r="H95" s="161"/>
      <c r="I95" s="161"/>
      <c r="J95" s="161"/>
      <c r="K95" s="161" t="s">
        <v>175</v>
      </c>
      <c r="L95" s="161" t="s">
        <v>175</v>
      </c>
      <c r="M95" s="161" t="s">
        <v>175</v>
      </c>
    </row>
    <row r="96">
      <c r="A96" s="159"/>
      <c r="B96" s="160"/>
      <c r="C96" s="161" t="str">
        <f>IFERROR(VLOOKUP($B96, 'Master Roster'!$A:$C, 3, FALSE), "")</f>
        <v/>
      </c>
      <c r="D96" s="161" t="str">
        <f>IFERROR(VLOOKUP($B96, 'Master Roster'!$A:$E, 5, FALSE), "")</f>
        <v/>
      </c>
      <c r="E96" s="159" t="str">
        <f>IFERROR(VLOOKUP($B96, 'Master Roster'!$A:$F, 6, FALSE), "")</f>
        <v/>
      </c>
      <c r="F96" s="161" t="str">
        <f>IFERROR(VLOOKUP($B96, 'Master Roster'!$A:$H, 8, FALSE), "")</f>
        <v/>
      </c>
      <c r="G96" s="162" t="str">
        <f>IFERROR(VLOOKUP($B96, 'Master Roster'!$A:$G, 7, FALSE), "")</f>
        <v/>
      </c>
      <c r="H96" s="161"/>
      <c r="I96" s="161"/>
      <c r="J96" s="161"/>
      <c r="K96" s="161" t="s">
        <v>175</v>
      </c>
      <c r="L96" s="161" t="s">
        <v>175</v>
      </c>
      <c r="M96" s="161" t="s">
        <v>175</v>
      </c>
    </row>
    <row r="97">
      <c r="A97" s="159"/>
      <c r="B97" s="160"/>
      <c r="C97" s="161" t="str">
        <f>IFERROR(VLOOKUP($B97, 'Master Roster'!$A:$C, 3, FALSE), "")</f>
        <v/>
      </c>
      <c r="D97" s="161" t="str">
        <f>IFERROR(VLOOKUP($B97, 'Master Roster'!$A:$E, 5, FALSE), "")</f>
        <v/>
      </c>
      <c r="E97" s="159" t="str">
        <f>IFERROR(VLOOKUP($B97, 'Master Roster'!$A:$F, 6, FALSE), "")</f>
        <v/>
      </c>
      <c r="F97" s="161" t="str">
        <f>IFERROR(VLOOKUP($B97, 'Master Roster'!$A:$H, 8, FALSE), "")</f>
        <v/>
      </c>
      <c r="G97" s="162" t="str">
        <f>IFERROR(VLOOKUP($B97, 'Master Roster'!$A:$G, 7, FALSE), "")</f>
        <v/>
      </c>
      <c r="H97" s="161"/>
      <c r="I97" s="161"/>
      <c r="J97" s="161"/>
      <c r="K97" s="161" t="s">
        <v>175</v>
      </c>
      <c r="L97" s="161" t="s">
        <v>175</v>
      </c>
      <c r="M97" s="161" t="s">
        <v>175</v>
      </c>
    </row>
    <row r="98">
      <c r="A98" s="76"/>
      <c r="B98" s="181"/>
      <c r="E98" s="76"/>
      <c r="G98" s="182"/>
      <c r="K98" s="29" t="s">
        <v>175</v>
      </c>
      <c r="L98" s="29" t="s">
        <v>175</v>
      </c>
      <c r="M98" s="29" t="s">
        <v>175</v>
      </c>
    </row>
    <row r="99">
      <c r="A99" s="76"/>
      <c r="B99" s="181"/>
      <c r="E99" s="76"/>
      <c r="G99" s="182"/>
      <c r="K99" s="29" t="s">
        <v>175</v>
      </c>
      <c r="L99" s="29" t="s">
        <v>175</v>
      </c>
      <c r="M99" s="29" t="s">
        <v>175</v>
      </c>
    </row>
    <row r="100">
      <c r="A100" s="76"/>
      <c r="B100" s="181"/>
      <c r="E100" s="76"/>
      <c r="G100" s="182"/>
      <c r="K100" s="29" t="s">
        <v>175</v>
      </c>
      <c r="L100" s="29" t="s">
        <v>175</v>
      </c>
      <c r="M100" s="29" t="s">
        <v>175</v>
      </c>
    </row>
    <row r="101">
      <c r="A101" s="76"/>
      <c r="B101" s="181"/>
      <c r="E101" s="76"/>
      <c r="G101" s="182"/>
      <c r="K101" s="29" t="s">
        <v>175</v>
      </c>
      <c r="L101" s="29" t="s">
        <v>175</v>
      </c>
      <c r="M101" s="29" t="s">
        <v>175</v>
      </c>
    </row>
    <row r="102">
      <c r="A102" s="76"/>
      <c r="B102" s="181"/>
      <c r="E102" s="76"/>
      <c r="G102" s="182"/>
      <c r="K102" s="29" t="s">
        <v>175</v>
      </c>
      <c r="L102" s="29" t="s">
        <v>175</v>
      </c>
      <c r="M102" s="29" t="s">
        <v>175</v>
      </c>
    </row>
    <row r="103">
      <c r="A103" s="76"/>
      <c r="B103" s="181"/>
      <c r="E103" s="76"/>
      <c r="G103" s="182"/>
      <c r="K103" s="29" t="s">
        <v>175</v>
      </c>
      <c r="L103" s="29" t="s">
        <v>175</v>
      </c>
      <c r="M103" s="29" t="s">
        <v>175</v>
      </c>
    </row>
    <row r="104">
      <c r="A104" s="76"/>
      <c r="B104" s="181"/>
      <c r="E104" s="76"/>
      <c r="G104" s="182"/>
      <c r="K104" s="29" t="s">
        <v>175</v>
      </c>
      <c r="L104" s="29" t="s">
        <v>175</v>
      </c>
      <c r="M104" s="29" t="s">
        <v>175</v>
      </c>
    </row>
    <row r="105">
      <c r="A105" s="76"/>
      <c r="B105" s="181"/>
      <c r="E105" s="76"/>
      <c r="G105" s="182"/>
      <c r="K105" s="29" t="s">
        <v>175</v>
      </c>
      <c r="L105" s="29" t="s">
        <v>175</v>
      </c>
      <c r="M105" s="29" t="s">
        <v>175</v>
      </c>
    </row>
    <row r="106">
      <c r="A106" s="76"/>
      <c r="B106" s="181"/>
      <c r="E106" s="76"/>
      <c r="G106" s="182"/>
      <c r="K106" s="29" t="s">
        <v>175</v>
      </c>
      <c r="L106" s="29" t="s">
        <v>175</v>
      </c>
      <c r="M106" s="29" t="s">
        <v>175</v>
      </c>
    </row>
    <row r="107">
      <c r="A107" s="76"/>
      <c r="B107" s="181"/>
      <c r="E107" s="76"/>
      <c r="G107" s="182"/>
      <c r="K107" s="29" t="s">
        <v>175</v>
      </c>
      <c r="L107" s="29" t="s">
        <v>175</v>
      </c>
      <c r="M107" s="29" t="s">
        <v>175</v>
      </c>
    </row>
    <row r="108">
      <c r="A108" s="76"/>
      <c r="B108" s="181"/>
      <c r="E108" s="76"/>
      <c r="G108" s="182"/>
      <c r="K108" s="29" t="s">
        <v>175</v>
      </c>
      <c r="L108" s="29" t="s">
        <v>175</v>
      </c>
      <c r="M108" s="29" t="s">
        <v>175</v>
      </c>
    </row>
    <row r="109">
      <c r="A109" s="76"/>
      <c r="B109" s="181"/>
      <c r="E109" s="76"/>
      <c r="G109" s="182"/>
      <c r="K109" s="29" t="s">
        <v>175</v>
      </c>
      <c r="L109" s="29" t="s">
        <v>175</v>
      </c>
      <c r="M109" s="29" t="s">
        <v>175</v>
      </c>
    </row>
    <row r="110">
      <c r="A110" s="76"/>
      <c r="B110" s="181"/>
      <c r="E110" s="76"/>
      <c r="G110" s="182"/>
      <c r="K110" s="29" t="s">
        <v>175</v>
      </c>
      <c r="L110" s="29" t="s">
        <v>175</v>
      </c>
      <c r="M110" s="29" t="s">
        <v>175</v>
      </c>
    </row>
    <row r="111">
      <c r="A111" s="76"/>
      <c r="B111" s="181"/>
      <c r="E111" s="76"/>
      <c r="G111" s="182"/>
      <c r="K111" s="29" t="s">
        <v>175</v>
      </c>
      <c r="L111" s="29" t="s">
        <v>175</v>
      </c>
      <c r="M111" s="29" t="s">
        <v>175</v>
      </c>
    </row>
    <row r="112">
      <c r="A112" s="76"/>
      <c r="B112" s="181"/>
      <c r="E112" s="76"/>
      <c r="G112" s="182"/>
      <c r="K112" s="29" t="s">
        <v>175</v>
      </c>
      <c r="L112" s="29" t="s">
        <v>175</v>
      </c>
      <c r="M112" s="29" t="s">
        <v>175</v>
      </c>
    </row>
    <row r="113">
      <c r="A113" s="76"/>
      <c r="B113" s="181"/>
      <c r="E113" s="76"/>
      <c r="G113" s="182"/>
      <c r="K113" s="29" t="s">
        <v>175</v>
      </c>
      <c r="L113" s="29" t="s">
        <v>175</v>
      </c>
      <c r="M113" s="29" t="s">
        <v>175</v>
      </c>
    </row>
    <row r="114">
      <c r="A114" s="76"/>
      <c r="B114" s="181"/>
      <c r="E114" s="76"/>
      <c r="G114" s="182"/>
      <c r="K114" s="29" t="s">
        <v>175</v>
      </c>
      <c r="L114" s="29" t="s">
        <v>175</v>
      </c>
      <c r="M114" s="29" t="s">
        <v>175</v>
      </c>
    </row>
    <row r="115">
      <c r="A115" s="76"/>
      <c r="B115" s="181"/>
      <c r="E115" s="76"/>
      <c r="G115" s="182"/>
      <c r="K115" s="29" t="s">
        <v>175</v>
      </c>
      <c r="L115" s="29" t="s">
        <v>175</v>
      </c>
      <c r="M115" s="29" t="s">
        <v>175</v>
      </c>
    </row>
    <row r="116">
      <c r="A116" s="76"/>
      <c r="B116" s="181"/>
      <c r="E116" s="76"/>
      <c r="G116" s="182"/>
      <c r="K116" s="29" t="s">
        <v>175</v>
      </c>
      <c r="L116" s="29" t="s">
        <v>175</v>
      </c>
      <c r="M116" s="29" t="s">
        <v>175</v>
      </c>
    </row>
    <row r="117">
      <c r="A117" s="76"/>
      <c r="B117" s="181"/>
      <c r="E117" s="76"/>
      <c r="G117" s="182"/>
      <c r="K117" s="29" t="s">
        <v>175</v>
      </c>
      <c r="L117" s="29" t="s">
        <v>175</v>
      </c>
      <c r="M117" s="29" t="s">
        <v>175</v>
      </c>
    </row>
    <row r="118">
      <c r="A118" s="76"/>
      <c r="B118" s="181"/>
      <c r="E118" s="76"/>
      <c r="G118" s="182"/>
      <c r="K118" s="29" t="s">
        <v>175</v>
      </c>
      <c r="L118" s="29" t="s">
        <v>175</v>
      </c>
      <c r="M118" s="29" t="s">
        <v>175</v>
      </c>
    </row>
    <row r="119">
      <c r="A119" s="76"/>
      <c r="B119" s="181"/>
      <c r="E119" s="76"/>
      <c r="G119" s="182"/>
      <c r="K119" s="29" t="s">
        <v>175</v>
      </c>
      <c r="L119" s="29" t="s">
        <v>175</v>
      </c>
      <c r="M119" s="29" t="s">
        <v>175</v>
      </c>
    </row>
    <row r="120">
      <c r="A120" s="76"/>
      <c r="B120" s="181"/>
      <c r="E120" s="76"/>
      <c r="G120" s="182"/>
      <c r="K120" s="29" t="s">
        <v>175</v>
      </c>
      <c r="L120" s="29" t="s">
        <v>175</v>
      </c>
      <c r="M120" s="29" t="s">
        <v>175</v>
      </c>
    </row>
    <row r="121">
      <c r="A121" s="76"/>
      <c r="B121" s="181"/>
      <c r="E121" s="76"/>
      <c r="G121" s="182"/>
      <c r="K121" s="29" t="s">
        <v>175</v>
      </c>
      <c r="L121" s="29" t="s">
        <v>175</v>
      </c>
      <c r="M121" s="29" t="s">
        <v>175</v>
      </c>
    </row>
    <row r="122">
      <c r="A122" s="76"/>
      <c r="B122" s="181"/>
      <c r="E122" s="76"/>
      <c r="G122" s="182"/>
      <c r="K122" s="29" t="s">
        <v>175</v>
      </c>
      <c r="L122" s="29" t="s">
        <v>175</v>
      </c>
      <c r="M122" s="29" t="s">
        <v>175</v>
      </c>
    </row>
    <row r="123">
      <c r="A123" s="76"/>
      <c r="B123" s="181"/>
      <c r="E123" s="76"/>
      <c r="G123" s="182"/>
      <c r="K123" s="29" t="s">
        <v>175</v>
      </c>
      <c r="L123" s="29" t="s">
        <v>175</v>
      </c>
      <c r="M123" s="29" t="s">
        <v>175</v>
      </c>
    </row>
    <row r="124">
      <c r="A124" s="76"/>
      <c r="B124" s="181"/>
      <c r="E124" s="76"/>
      <c r="G124" s="182"/>
      <c r="K124" s="29" t="s">
        <v>175</v>
      </c>
      <c r="L124" s="29" t="s">
        <v>175</v>
      </c>
      <c r="M124" s="29" t="s">
        <v>175</v>
      </c>
    </row>
    <row r="125">
      <c r="A125" s="76"/>
      <c r="B125" s="181"/>
      <c r="E125" s="76"/>
      <c r="G125" s="182"/>
      <c r="K125" s="29" t="s">
        <v>175</v>
      </c>
      <c r="L125" s="29" t="s">
        <v>175</v>
      </c>
      <c r="M125" s="29" t="s">
        <v>175</v>
      </c>
    </row>
    <row r="126">
      <c r="A126" s="76"/>
      <c r="B126" s="181"/>
      <c r="E126" s="76"/>
      <c r="G126" s="182"/>
      <c r="K126" s="29" t="s">
        <v>175</v>
      </c>
      <c r="L126" s="29" t="s">
        <v>175</v>
      </c>
      <c r="M126" s="29" t="s">
        <v>175</v>
      </c>
    </row>
    <row r="127">
      <c r="A127" s="76"/>
      <c r="B127" s="181"/>
      <c r="E127" s="76"/>
      <c r="G127" s="182"/>
      <c r="K127" s="29" t="s">
        <v>175</v>
      </c>
      <c r="L127" s="29" t="s">
        <v>175</v>
      </c>
      <c r="M127" s="29" t="s">
        <v>175</v>
      </c>
    </row>
    <row r="128">
      <c r="A128" s="76"/>
      <c r="B128" s="181"/>
      <c r="E128" s="76"/>
      <c r="G128" s="182"/>
      <c r="K128" s="29" t="s">
        <v>175</v>
      </c>
      <c r="L128" s="29" t="s">
        <v>175</v>
      </c>
      <c r="M128" s="29" t="s">
        <v>175</v>
      </c>
    </row>
    <row r="129">
      <c r="A129" s="76"/>
      <c r="B129" s="181"/>
      <c r="E129" s="76"/>
      <c r="G129" s="182"/>
      <c r="K129" s="29" t="s">
        <v>175</v>
      </c>
      <c r="L129" s="29" t="s">
        <v>175</v>
      </c>
      <c r="M129" s="29" t="s">
        <v>175</v>
      </c>
    </row>
    <row r="130">
      <c r="A130" s="76"/>
      <c r="B130" s="181"/>
      <c r="E130" s="76"/>
      <c r="G130" s="182"/>
      <c r="K130" s="29" t="s">
        <v>175</v>
      </c>
      <c r="L130" s="29" t="s">
        <v>175</v>
      </c>
      <c r="M130" s="29" t="s">
        <v>175</v>
      </c>
    </row>
    <row r="131">
      <c r="A131" s="76"/>
      <c r="B131" s="181"/>
      <c r="E131" s="76"/>
      <c r="G131" s="182"/>
      <c r="K131" s="29" t="s">
        <v>175</v>
      </c>
      <c r="L131" s="29" t="s">
        <v>175</v>
      </c>
      <c r="M131" s="29" t="s">
        <v>175</v>
      </c>
    </row>
    <row r="132">
      <c r="A132" s="76"/>
      <c r="B132" s="181"/>
      <c r="E132" s="76"/>
      <c r="G132" s="182"/>
      <c r="K132" s="29" t="s">
        <v>175</v>
      </c>
      <c r="L132" s="29" t="s">
        <v>175</v>
      </c>
      <c r="M132" s="29" t="s">
        <v>175</v>
      </c>
    </row>
    <row r="133">
      <c r="A133" s="76"/>
      <c r="B133" s="181"/>
      <c r="E133" s="76"/>
      <c r="G133" s="182"/>
      <c r="K133" s="29" t="s">
        <v>175</v>
      </c>
      <c r="L133" s="29" t="s">
        <v>175</v>
      </c>
      <c r="M133" s="29" t="s">
        <v>175</v>
      </c>
    </row>
    <row r="134">
      <c r="A134" s="76"/>
      <c r="B134" s="181"/>
      <c r="E134" s="76"/>
      <c r="G134" s="182"/>
      <c r="K134" s="29" t="s">
        <v>175</v>
      </c>
      <c r="L134" s="29" t="s">
        <v>175</v>
      </c>
      <c r="M134" s="29" t="s">
        <v>175</v>
      </c>
    </row>
    <row r="135">
      <c r="A135" s="76"/>
      <c r="B135" s="181"/>
      <c r="E135" s="76"/>
      <c r="G135" s="182"/>
      <c r="K135" s="29" t="s">
        <v>175</v>
      </c>
      <c r="L135" s="29" t="s">
        <v>175</v>
      </c>
      <c r="M135" s="29" t="s">
        <v>175</v>
      </c>
    </row>
    <row r="136">
      <c r="A136" s="76"/>
      <c r="B136" s="181"/>
      <c r="E136" s="76"/>
      <c r="G136" s="182"/>
      <c r="K136" s="29" t="s">
        <v>175</v>
      </c>
      <c r="L136" s="29" t="s">
        <v>175</v>
      </c>
      <c r="M136" s="29" t="s">
        <v>175</v>
      </c>
    </row>
    <row r="137">
      <c r="A137" s="76"/>
      <c r="B137" s="181"/>
      <c r="E137" s="76"/>
      <c r="G137" s="182"/>
      <c r="K137" s="29" t="s">
        <v>175</v>
      </c>
      <c r="L137" s="29" t="s">
        <v>175</v>
      </c>
      <c r="M137" s="29" t="s">
        <v>175</v>
      </c>
    </row>
    <row r="138">
      <c r="A138" s="76"/>
      <c r="B138" s="181"/>
      <c r="E138" s="76"/>
      <c r="G138" s="182"/>
      <c r="K138" s="29" t="s">
        <v>175</v>
      </c>
      <c r="L138" s="29" t="s">
        <v>175</v>
      </c>
      <c r="M138" s="29" t="s">
        <v>175</v>
      </c>
    </row>
    <row r="139">
      <c r="A139" s="76"/>
      <c r="B139" s="181"/>
      <c r="E139" s="76"/>
      <c r="G139" s="182"/>
      <c r="K139" s="29" t="s">
        <v>175</v>
      </c>
      <c r="L139" s="29" t="s">
        <v>175</v>
      </c>
      <c r="M139" s="29" t="s">
        <v>175</v>
      </c>
    </row>
    <row r="140">
      <c r="A140" s="76"/>
      <c r="B140" s="181"/>
      <c r="E140" s="76"/>
      <c r="G140" s="182"/>
      <c r="K140" s="29" t="s">
        <v>175</v>
      </c>
      <c r="L140" s="29" t="s">
        <v>175</v>
      </c>
      <c r="M140" s="29" t="s">
        <v>175</v>
      </c>
    </row>
    <row r="141">
      <c r="A141" s="76"/>
      <c r="B141" s="181"/>
      <c r="E141" s="76"/>
      <c r="G141" s="182"/>
      <c r="K141" s="29" t="s">
        <v>175</v>
      </c>
      <c r="L141" s="29" t="s">
        <v>175</v>
      </c>
      <c r="M141" s="29" t="s">
        <v>175</v>
      </c>
    </row>
    <row r="142">
      <c r="A142" s="76"/>
      <c r="B142" s="181"/>
      <c r="E142" s="76"/>
      <c r="G142" s="182"/>
      <c r="K142" s="29" t="s">
        <v>175</v>
      </c>
      <c r="L142" s="29" t="s">
        <v>175</v>
      </c>
      <c r="M142" s="29" t="s">
        <v>175</v>
      </c>
    </row>
    <row r="143">
      <c r="A143" s="76"/>
      <c r="B143" s="181"/>
      <c r="E143" s="76"/>
      <c r="G143" s="182"/>
      <c r="K143" s="29" t="s">
        <v>175</v>
      </c>
      <c r="L143" s="29" t="s">
        <v>175</v>
      </c>
      <c r="M143" s="29" t="s">
        <v>175</v>
      </c>
    </row>
    <row r="144">
      <c r="A144" s="76"/>
      <c r="B144" s="181"/>
      <c r="E144" s="76"/>
      <c r="G144" s="182"/>
      <c r="K144" s="29" t="s">
        <v>175</v>
      </c>
      <c r="L144" s="29" t="s">
        <v>175</v>
      </c>
      <c r="M144" s="29" t="s">
        <v>175</v>
      </c>
    </row>
    <row r="145">
      <c r="A145" s="76"/>
      <c r="B145" s="181"/>
      <c r="E145" s="76"/>
      <c r="G145" s="182"/>
      <c r="K145" s="29" t="s">
        <v>175</v>
      </c>
      <c r="L145" s="29" t="s">
        <v>175</v>
      </c>
      <c r="M145" s="29" t="s">
        <v>175</v>
      </c>
    </row>
    <row r="146">
      <c r="A146" s="76"/>
      <c r="B146" s="181"/>
      <c r="E146" s="76"/>
      <c r="G146" s="182"/>
      <c r="K146" s="29" t="s">
        <v>175</v>
      </c>
      <c r="L146" s="29" t="s">
        <v>175</v>
      </c>
      <c r="M146" s="29" t="s">
        <v>175</v>
      </c>
    </row>
    <row r="147">
      <c r="A147" s="76"/>
      <c r="B147" s="181"/>
      <c r="E147" s="76"/>
      <c r="G147" s="182"/>
      <c r="K147" s="29" t="s">
        <v>175</v>
      </c>
      <c r="L147" s="29" t="s">
        <v>175</v>
      </c>
      <c r="M147" s="29" t="s">
        <v>175</v>
      </c>
    </row>
    <row r="148">
      <c r="A148" s="76"/>
      <c r="B148" s="181"/>
      <c r="E148" s="76"/>
      <c r="G148" s="182"/>
      <c r="K148" s="29" t="s">
        <v>175</v>
      </c>
      <c r="L148" s="29" t="s">
        <v>175</v>
      </c>
      <c r="M148" s="29" t="s">
        <v>175</v>
      </c>
    </row>
    <row r="149">
      <c r="A149" s="76"/>
      <c r="B149" s="181"/>
      <c r="E149" s="76"/>
      <c r="G149" s="182"/>
      <c r="K149" s="29" t="s">
        <v>175</v>
      </c>
      <c r="L149" s="29" t="s">
        <v>175</v>
      </c>
      <c r="M149" s="29" t="s">
        <v>175</v>
      </c>
    </row>
    <row r="150">
      <c r="A150" s="76"/>
      <c r="B150" s="181"/>
      <c r="E150" s="76"/>
      <c r="G150" s="182"/>
      <c r="K150" s="29" t="s">
        <v>175</v>
      </c>
      <c r="L150" s="29" t="s">
        <v>175</v>
      </c>
      <c r="M150" s="29" t="s">
        <v>175</v>
      </c>
    </row>
    <row r="151">
      <c r="A151" s="76"/>
      <c r="B151" s="181"/>
      <c r="E151" s="76"/>
      <c r="G151" s="182"/>
      <c r="K151" s="29" t="s">
        <v>175</v>
      </c>
      <c r="L151" s="29" t="s">
        <v>175</v>
      </c>
      <c r="M151" s="29" t="s">
        <v>175</v>
      </c>
    </row>
    <row r="152">
      <c r="A152" s="76"/>
      <c r="B152" s="181"/>
      <c r="E152" s="76"/>
      <c r="G152" s="182"/>
      <c r="K152" s="29" t="s">
        <v>175</v>
      </c>
      <c r="L152" s="29" t="s">
        <v>175</v>
      </c>
      <c r="M152" s="29" t="s">
        <v>175</v>
      </c>
    </row>
    <row r="153">
      <c r="A153" s="76"/>
      <c r="B153" s="181"/>
      <c r="E153" s="76"/>
      <c r="G153" s="182"/>
      <c r="K153" s="29" t="s">
        <v>175</v>
      </c>
      <c r="L153" s="29" t="s">
        <v>175</v>
      </c>
      <c r="M153" s="29" t="s">
        <v>175</v>
      </c>
    </row>
    <row r="154">
      <c r="A154" s="76"/>
      <c r="B154" s="181"/>
      <c r="E154" s="76"/>
      <c r="G154" s="182"/>
      <c r="K154" s="29" t="s">
        <v>175</v>
      </c>
      <c r="L154" s="29" t="s">
        <v>175</v>
      </c>
      <c r="M154" s="29" t="s">
        <v>175</v>
      </c>
    </row>
    <row r="155">
      <c r="A155" s="76"/>
      <c r="B155" s="181"/>
      <c r="E155" s="76"/>
      <c r="G155" s="182"/>
      <c r="K155" s="29" t="s">
        <v>175</v>
      </c>
      <c r="L155" s="29" t="s">
        <v>175</v>
      </c>
      <c r="M155" s="29" t="s">
        <v>175</v>
      </c>
    </row>
    <row r="156">
      <c r="A156" s="76"/>
      <c r="B156" s="181"/>
      <c r="E156" s="76"/>
      <c r="G156" s="182"/>
      <c r="K156" s="29" t="s">
        <v>175</v>
      </c>
      <c r="L156" s="29" t="s">
        <v>175</v>
      </c>
      <c r="M156" s="29" t="s">
        <v>175</v>
      </c>
    </row>
    <row r="157">
      <c r="A157" s="76"/>
      <c r="B157" s="181"/>
      <c r="E157" s="76"/>
      <c r="G157" s="182"/>
      <c r="K157" s="29" t="s">
        <v>175</v>
      </c>
      <c r="L157" s="29" t="s">
        <v>175</v>
      </c>
      <c r="M157" s="29" t="s">
        <v>175</v>
      </c>
    </row>
    <row r="158">
      <c r="A158" s="76"/>
      <c r="B158" s="181"/>
      <c r="E158" s="76"/>
      <c r="G158" s="182"/>
      <c r="K158" s="29" t="s">
        <v>175</v>
      </c>
      <c r="L158" s="29" t="s">
        <v>175</v>
      </c>
      <c r="M158" s="29" t="s">
        <v>175</v>
      </c>
    </row>
    <row r="159">
      <c r="A159" s="76"/>
      <c r="B159" s="181"/>
      <c r="E159" s="76"/>
      <c r="G159" s="182"/>
      <c r="K159" s="29" t="s">
        <v>175</v>
      </c>
      <c r="L159" s="29" t="s">
        <v>175</v>
      </c>
      <c r="M159" s="29" t="s">
        <v>175</v>
      </c>
    </row>
    <row r="160">
      <c r="A160" s="76"/>
      <c r="B160" s="181"/>
      <c r="E160" s="76"/>
      <c r="G160" s="182"/>
      <c r="K160" s="29" t="s">
        <v>175</v>
      </c>
      <c r="L160" s="29" t="s">
        <v>175</v>
      </c>
      <c r="M160" s="29" t="s">
        <v>175</v>
      </c>
    </row>
    <row r="161">
      <c r="A161" s="76"/>
      <c r="B161" s="181"/>
      <c r="E161" s="76"/>
      <c r="G161" s="182"/>
      <c r="K161" s="29" t="s">
        <v>175</v>
      </c>
      <c r="L161" s="29" t="s">
        <v>175</v>
      </c>
      <c r="M161" s="29" t="s">
        <v>175</v>
      </c>
    </row>
    <row r="162">
      <c r="A162" s="76"/>
      <c r="B162" s="181"/>
      <c r="E162" s="76"/>
      <c r="G162" s="182"/>
      <c r="K162" s="29" t="s">
        <v>175</v>
      </c>
      <c r="L162" s="29" t="s">
        <v>175</v>
      </c>
      <c r="M162" s="29" t="s">
        <v>175</v>
      </c>
    </row>
    <row r="163">
      <c r="A163" s="76"/>
      <c r="B163" s="181"/>
      <c r="E163" s="76"/>
      <c r="G163" s="182"/>
      <c r="K163" s="29" t="s">
        <v>175</v>
      </c>
      <c r="L163" s="29" t="s">
        <v>175</v>
      </c>
      <c r="M163" s="29" t="s">
        <v>175</v>
      </c>
    </row>
    <row r="164">
      <c r="A164" s="76"/>
      <c r="B164" s="181"/>
      <c r="E164" s="76"/>
      <c r="G164" s="182"/>
      <c r="K164" s="29" t="s">
        <v>175</v>
      </c>
      <c r="L164" s="29" t="s">
        <v>175</v>
      </c>
      <c r="M164" s="29" t="s">
        <v>175</v>
      </c>
    </row>
    <row r="165">
      <c r="A165" s="76"/>
      <c r="B165" s="181"/>
      <c r="E165" s="76"/>
      <c r="G165" s="182"/>
      <c r="K165" s="29" t="s">
        <v>175</v>
      </c>
      <c r="L165" s="29" t="s">
        <v>175</v>
      </c>
      <c r="M165" s="29" t="s">
        <v>175</v>
      </c>
    </row>
    <row r="166">
      <c r="A166" s="76"/>
      <c r="B166" s="181"/>
      <c r="E166" s="76"/>
      <c r="G166" s="182"/>
      <c r="K166" s="29" t="s">
        <v>175</v>
      </c>
      <c r="L166" s="29" t="s">
        <v>175</v>
      </c>
      <c r="M166" s="29" t="s">
        <v>175</v>
      </c>
    </row>
    <row r="167">
      <c r="A167" s="76"/>
      <c r="B167" s="181"/>
      <c r="E167" s="76"/>
      <c r="G167" s="182"/>
      <c r="K167" s="29" t="s">
        <v>175</v>
      </c>
      <c r="L167" s="29" t="s">
        <v>175</v>
      </c>
      <c r="M167" s="29" t="s">
        <v>175</v>
      </c>
    </row>
    <row r="168">
      <c r="A168" s="76"/>
      <c r="B168" s="181"/>
      <c r="E168" s="76"/>
      <c r="G168" s="182"/>
      <c r="K168" s="29" t="s">
        <v>175</v>
      </c>
      <c r="L168" s="29" t="s">
        <v>175</v>
      </c>
      <c r="M168" s="29" t="s">
        <v>175</v>
      </c>
    </row>
    <row r="169">
      <c r="A169" s="76"/>
      <c r="B169" s="181"/>
      <c r="E169" s="76"/>
      <c r="G169" s="182"/>
      <c r="K169" s="29" t="s">
        <v>175</v>
      </c>
      <c r="L169" s="29" t="s">
        <v>175</v>
      </c>
      <c r="M169" s="29" t="s">
        <v>175</v>
      </c>
    </row>
    <row r="170">
      <c r="A170" s="76"/>
      <c r="B170" s="181"/>
      <c r="E170" s="76"/>
      <c r="G170" s="182"/>
      <c r="K170" s="29" t="s">
        <v>175</v>
      </c>
      <c r="L170" s="29" t="s">
        <v>175</v>
      </c>
      <c r="M170" s="29" t="s">
        <v>175</v>
      </c>
    </row>
    <row r="171">
      <c r="A171" s="76"/>
      <c r="B171" s="181"/>
      <c r="E171" s="76"/>
      <c r="G171" s="182"/>
      <c r="K171" s="29" t="s">
        <v>175</v>
      </c>
      <c r="L171" s="29" t="s">
        <v>175</v>
      </c>
      <c r="M171" s="29" t="s">
        <v>175</v>
      </c>
    </row>
    <row r="172">
      <c r="A172" s="76"/>
      <c r="B172" s="181"/>
      <c r="E172" s="76"/>
      <c r="G172" s="182"/>
      <c r="K172" s="29" t="s">
        <v>175</v>
      </c>
      <c r="L172" s="29" t="s">
        <v>175</v>
      </c>
      <c r="M172" s="29" t="s">
        <v>175</v>
      </c>
    </row>
    <row r="173">
      <c r="A173" s="76"/>
      <c r="B173" s="181"/>
      <c r="E173" s="76"/>
      <c r="G173" s="182"/>
      <c r="K173" s="29" t="s">
        <v>175</v>
      </c>
      <c r="L173" s="29" t="s">
        <v>175</v>
      </c>
      <c r="M173" s="29" t="s">
        <v>175</v>
      </c>
    </row>
    <row r="174">
      <c r="A174" s="76"/>
      <c r="B174" s="181"/>
      <c r="E174" s="76"/>
      <c r="G174" s="182"/>
      <c r="K174" s="29" t="s">
        <v>175</v>
      </c>
      <c r="L174" s="29" t="s">
        <v>175</v>
      </c>
      <c r="M174" s="29" t="s">
        <v>175</v>
      </c>
    </row>
    <row r="175">
      <c r="A175" s="76"/>
      <c r="B175" s="181"/>
      <c r="E175" s="76"/>
      <c r="G175" s="182"/>
      <c r="K175" s="29" t="s">
        <v>175</v>
      </c>
      <c r="L175" s="29" t="s">
        <v>175</v>
      </c>
      <c r="M175" s="29" t="s">
        <v>175</v>
      </c>
    </row>
    <row r="176">
      <c r="A176" s="76"/>
      <c r="B176" s="181"/>
      <c r="E176" s="76"/>
      <c r="G176" s="182"/>
      <c r="K176" s="29" t="s">
        <v>175</v>
      </c>
      <c r="L176" s="29" t="s">
        <v>175</v>
      </c>
      <c r="M176" s="29" t="s">
        <v>175</v>
      </c>
    </row>
    <row r="177">
      <c r="A177" s="76"/>
      <c r="B177" s="181"/>
      <c r="E177" s="76"/>
      <c r="G177" s="182"/>
      <c r="K177" s="29" t="s">
        <v>175</v>
      </c>
      <c r="L177" s="29" t="s">
        <v>175</v>
      </c>
      <c r="M177" s="29" t="s">
        <v>175</v>
      </c>
    </row>
    <row r="178">
      <c r="A178" s="76"/>
      <c r="B178" s="181"/>
      <c r="E178" s="76"/>
      <c r="G178" s="182"/>
      <c r="K178" s="29" t="s">
        <v>175</v>
      </c>
      <c r="L178" s="29" t="s">
        <v>175</v>
      </c>
      <c r="M178" s="29" t="s">
        <v>175</v>
      </c>
    </row>
    <row r="179">
      <c r="A179" s="76"/>
      <c r="B179" s="181"/>
      <c r="E179" s="76"/>
      <c r="G179" s="182"/>
      <c r="K179" s="29" t="s">
        <v>175</v>
      </c>
      <c r="L179" s="29" t="s">
        <v>175</v>
      </c>
      <c r="M179" s="29" t="s">
        <v>175</v>
      </c>
    </row>
    <row r="180">
      <c r="A180" s="76"/>
      <c r="B180" s="181"/>
      <c r="E180" s="76"/>
      <c r="G180" s="182"/>
      <c r="K180" s="29" t="s">
        <v>175</v>
      </c>
      <c r="L180" s="29" t="s">
        <v>175</v>
      </c>
      <c r="M180" s="29" t="s">
        <v>175</v>
      </c>
    </row>
    <row r="181">
      <c r="A181" s="76"/>
      <c r="B181" s="181"/>
      <c r="E181" s="76"/>
      <c r="G181" s="182"/>
      <c r="K181" s="29" t="s">
        <v>175</v>
      </c>
      <c r="L181" s="29" t="s">
        <v>175</v>
      </c>
      <c r="M181" s="29" t="s">
        <v>175</v>
      </c>
    </row>
    <row r="182">
      <c r="A182" s="76"/>
      <c r="B182" s="181"/>
      <c r="E182" s="76"/>
      <c r="G182" s="182"/>
      <c r="K182" s="29" t="s">
        <v>175</v>
      </c>
      <c r="L182" s="29" t="s">
        <v>175</v>
      </c>
      <c r="M182" s="29" t="s">
        <v>175</v>
      </c>
    </row>
    <row r="183">
      <c r="A183" s="76"/>
      <c r="B183" s="181"/>
      <c r="E183" s="76"/>
      <c r="G183" s="182"/>
      <c r="K183" s="29" t="s">
        <v>175</v>
      </c>
      <c r="L183" s="29" t="s">
        <v>175</v>
      </c>
      <c r="M183" s="29" t="s">
        <v>175</v>
      </c>
    </row>
    <row r="184">
      <c r="A184" s="76"/>
      <c r="B184" s="181"/>
      <c r="E184" s="76"/>
      <c r="G184" s="182"/>
      <c r="K184" s="29" t="s">
        <v>175</v>
      </c>
      <c r="L184" s="29" t="s">
        <v>175</v>
      </c>
      <c r="M184" s="29" t="s">
        <v>175</v>
      </c>
    </row>
    <row r="185">
      <c r="A185" s="76"/>
      <c r="B185" s="181"/>
      <c r="E185" s="76"/>
      <c r="G185" s="182"/>
      <c r="K185" s="29" t="s">
        <v>175</v>
      </c>
      <c r="L185" s="29" t="s">
        <v>175</v>
      </c>
      <c r="M185" s="29" t="s">
        <v>175</v>
      </c>
    </row>
    <row r="186">
      <c r="A186" s="76"/>
      <c r="B186" s="181"/>
      <c r="E186" s="76"/>
      <c r="G186" s="182"/>
      <c r="K186" s="29" t="s">
        <v>175</v>
      </c>
      <c r="L186" s="29" t="s">
        <v>175</v>
      </c>
      <c r="M186" s="29" t="s">
        <v>175</v>
      </c>
    </row>
    <row r="187">
      <c r="A187" s="76"/>
      <c r="B187" s="181"/>
      <c r="E187" s="76"/>
      <c r="G187" s="182"/>
      <c r="K187" s="29" t="s">
        <v>175</v>
      </c>
      <c r="L187" s="29" t="s">
        <v>175</v>
      </c>
      <c r="M187" s="29" t="s">
        <v>175</v>
      </c>
    </row>
    <row r="188">
      <c r="A188" s="76"/>
      <c r="B188" s="181"/>
      <c r="E188" s="76"/>
      <c r="G188" s="182"/>
      <c r="K188" s="29" t="s">
        <v>175</v>
      </c>
      <c r="L188" s="29" t="s">
        <v>175</v>
      </c>
      <c r="M188" s="29" t="s">
        <v>175</v>
      </c>
    </row>
    <row r="189">
      <c r="A189" s="76"/>
      <c r="B189" s="181"/>
      <c r="E189" s="76"/>
      <c r="G189" s="182"/>
      <c r="K189" s="29" t="s">
        <v>175</v>
      </c>
      <c r="L189" s="29" t="s">
        <v>175</v>
      </c>
      <c r="M189" s="29" t="s">
        <v>175</v>
      </c>
    </row>
    <row r="190">
      <c r="A190" s="76"/>
      <c r="B190" s="181"/>
      <c r="E190" s="76"/>
      <c r="G190" s="182"/>
      <c r="K190" s="29" t="s">
        <v>175</v>
      </c>
      <c r="L190" s="29" t="s">
        <v>175</v>
      </c>
      <c r="M190" s="29" t="s">
        <v>175</v>
      </c>
    </row>
    <row r="191">
      <c r="A191" s="76"/>
      <c r="B191" s="181"/>
      <c r="E191" s="76"/>
      <c r="G191" s="182"/>
      <c r="K191" s="29" t="s">
        <v>175</v>
      </c>
      <c r="L191" s="29" t="s">
        <v>175</v>
      </c>
      <c r="M191" s="29" t="s">
        <v>175</v>
      </c>
    </row>
    <row r="192">
      <c r="A192" s="76"/>
      <c r="B192" s="181"/>
      <c r="E192" s="76"/>
      <c r="G192" s="182"/>
      <c r="K192" s="29" t="s">
        <v>175</v>
      </c>
      <c r="L192" s="29" t="s">
        <v>175</v>
      </c>
      <c r="M192" s="29" t="s">
        <v>175</v>
      </c>
    </row>
    <row r="193">
      <c r="A193" s="76"/>
      <c r="B193" s="181"/>
      <c r="E193" s="76"/>
      <c r="G193" s="182"/>
      <c r="K193" s="29" t="s">
        <v>175</v>
      </c>
      <c r="L193" s="29" t="s">
        <v>175</v>
      </c>
      <c r="M193" s="29" t="s">
        <v>175</v>
      </c>
    </row>
    <row r="194">
      <c r="A194" s="76"/>
      <c r="B194" s="181"/>
      <c r="E194" s="76"/>
      <c r="G194" s="182"/>
      <c r="K194" s="29" t="s">
        <v>175</v>
      </c>
      <c r="L194" s="29" t="s">
        <v>175</v>
      </c>
      <c r="M194" s="29" t="s">
        <v>175</v>
      </c>
    </row>
    <row r="195">
      <c r="A195" s="76"/>
      <c r="B195" s="181"/>
      <c r="E195" s="76"/>
      <c r="G195" s="182"/>
      <c r="K195" s="29" t="s">
        <v>175</v>
      </c>
      <c r="L195" s="29" t="s">
        <v>175</v>
      </c>
      <c r="M195" s="29" t="s">
        <v>175</v>
      </c>
    </row>
    <row r="196">
      <c r="A196" s="76"/>
      <c r="B196" s="181"/>
      <c r="E196" s="76"/>
      <c r="G196" s="182"/>
      <c r="K196" s="29" t="s">
        <v>175</v>
      </c>
      <c r="L196" s="29" t="s">
        <v>175</v>
      </c>
      <c r="M196" s="29" t="s">
        <v>175</v>
      </c>
    </row>
    <row r="197">
      <c r="A197" s="76"/>
      <c r="B197" s="181"/>
      <c r="E197" s="76"/>
      <c r="G197" s="182"/>
      <c r="K197" s="29" t="s">
        <v>175</v>
      </c>
      <c r="L197" s="29" t="s">
        <v>175</v>
      </c>
      <c r="M197" s="29" t="s">
        <v>175</v>
      </c>
    </row>
    <row r="198">
      <c r="A198" s="76"/>
      <c r="B198" s="181"/>
      <c r="E198" s="76"/>
      <c r="G198" s="182"/>
      <c r="K198" s="29" t="s">
        <v>175</v>
      </c>
      <c r="L198" s="29" t="s">
        <v>175</v>
      </c>
      <c r="M198" s="29" t="s">
        <v>175</v>
      </c>
    </row>
    <row r="199">
      <c r="A199" s="76"/>
      <c r="B199" s="181"/>
      <c r="E199" s="76"/>
      <c r="G199" s="182"/>
      <c r="K199" s="29" t="s">
        <v>175</v>
      </c>
      <c r="L199" s="29" t="s">
        <v>175</v>
      </c>
      <c r="M199" s="29" t="s">
        <v>175</v>
      </c>
    </row>
    <row r="200">
      <c r="A200" s="76"/>
      <c r="B200" s="181"/>
      <c r="E200" s="76"/>
      <c r="G200" s="182"/>
      <c r="K200" s="29" t="s">
        <v>175</v>
      </c>
      <c r="L200" s="29" t="s">
        <v>175</v>
      </c>
      <c r="M200" s="29" t="s">
        <v>175</v>
      </c>
    </row>
    <row r="201">
      <c r="A201" s="76"/>
      <c r="B201" s="181"/>
      <c r="E201" s="76"/>
      <c r="G201" s="182"/>
      <c r="K201" s="29" t="s">
        <v>175</v>
      </c>
      <c r="L201" s="29" t="s">
        <v>175</v>
      </c>
      <c r="M201" s="29" t="s">
        <v>175</v>
      </c>
    </row>
    <row r="202">
      <c r="A202" s="76"/>
      <c r="B202" s="181"/>
      <c r="E202" s="76"/>
      <c r="G202" s="182"/>
      <c r="K202" s="29" t="s">
        <v>175</v>
      </c>
      <c r="L202" s="29" t="s">
        <v>175</v>
      </c>
      <c r="M202" s="29" t="s">
        <v>175</v>
      </c>
    </row>
    <row r="203">
      <c r="A203" s="76"/>
      <c r="B203" s="181"/>
      <c r="E203" s="76"/>
      <c r="G203" s="182"/>
      <c r="K203" s="29" t="s">
        <v>175</v>
      </c>
      <c r="L203" s="29" t="s">
        <v>175</v>
      </c>
      <c r="M203" s="29" t="s">
        <v>175</v>
      </c>
    </row>
    <row r="204">
      <c r="A204" s="76"/>
      <c r="B204" s="181"/>
      <c r="E204" s="76"/>
      <c r="G204" s="182"/>
      <c r="K204" s="29" t="s">
        <v>175</v>
      </c>
      <c r="L204" s="29" t="s">
        <v>175</v>
      </c>
      <c r="M204" s="29" t="s">
        <v>175</v>
      </c>
    </row>
    <row r="205">
      <c r="A205" s="76"/>
      <c r="B205" s="181"/>
      <c r="E205" s="76"/>
      <c r="G205" s="182"/>
      <c r="K205" s="29" t="s">
        <v>175</v>
      </c>
      <c r="L205" s="29" t="s">
        <v>175</v>
      </c>
      <c r="M205" s="29" t="s">
        <v>175</v>
      </c>
    </row>
    <row r="206">
      <c r="A206" s="76"/>
      <c r="B206" s="181"/>
      <c r="E206" s="76"/>
      <c r="G206" s="182"/>
      <c r="K206" s="29" t="s">
        <v>175</v>
      </c>
      <c r="L206" s="29" t="s">
        <v>175</v>
      </c>
      <c r="M206" s="29" t="s">
        <v>175</v>
      </c>
    </row>
    <row r="207">
      <c r="A207" s="76"/>
      <c r="B207" s="181"/>
      <c r="E207" s="76"/>
      <c r="G207" s="182"/>
      <c r="K207" s="29" t="s">
        <v>175</v>
      </c>
      <c r="L207" s="29" t="s">
        <v>175</v>
      </c>
      <c r="M207" s="29" t="s">
        <v>175</v>
      </c>
    </row>
    <row r="208">
      <c r="A208" s="76"/>
      <c r="B208" s="181"/>
      <c r="E208" s="76"/>
      <c r="G208" s="182"/>
      <c r="K208" s="29" t="s">
        <v>175</v>
      </c>
      <c r="L208" s="29" t="s">
        <v>175</v>
      </c>
      <c r="M208" s="29" t="s">
        <v>175</v>
      </c>
    </row>
    <row r="209">
      <c r="A209" s="76"/>
      <c r="B209" s="181"/>
      <c r="E209" s="76"/>
      <c r="G209" s="182"/>
      <c r="K209" s="29" t="s">
        <v>175</v>
      </c>
      <c r="L209" s="29" t="s">
        <v>175</v>
      </c>
      <c r="M209" s="29" t="s">
        <v>175</v>
      </c>
    </row>
    <row r="210">
      <c r="A210" s="76"/>
      <c r="B210" s="181"/>
      <c r="E210" s="76"/>
      <c r="G210" s="182"/>
      <c r="K210" s="29" t="s">
        <v>175</v>
      </c>
      <c r="L210" s="29" t="s">
        <v>175</v>
      </c>
      <c r="M210" s="29" t="s">
        <v>175</v>
      </c>
    </row>
    <row r="211">
      <c r="A211" s="76"/>
      <c r="B211" s="181"/>
      <c r="E211" s="76"/>
      <c r="G211" s="182"/>
      <c r="K211" s="29" t="s">
        <v>175</v>
      </c>
      <c r="L211" s="29" t="s">
        <v>175</v>
      </c>
      <c r="M211" s="29" t="s">
        <v>175</v>
      </c>
    </row>
    <row r="212">
      <c r="A212" s="76"/>
      <c r="B212" s="181"/>
      <c r="E212" s="76"/>
      <c r="G212" s="182"/>
      <c r="K212" s="29" t="s">
        <v>175</v>
      </c>
      <c r="L212" s="29" t="s">
        <v>175</v>
      </c>
      <c r="M212" s="29" t="s">
        <v>175</v>
      </c>
    </row>
    <row r="213">
      <c r="A213" s="76"/>
      <c r="B213" s="181"/>
      <c r="E213" s="76"/>
      <c r="G213" s="182"/>
      <c r="K213" s="29" t="s">
        <v>175</v>
      </c>
      <c r="L213" s="29" t="s">
        <v>175</v>
      </c>
      <c r="M213" s="29" t="s">
        <v>175</v>
      </c>
    </row>
    <row r="214">
      <c r="A214" s="76"/>
      <c r="B214" s="181"/>
      <c r="E214" s="76"/>
      <c r="G214" s="182"/>
      <c r="K214" s="29" t="s">
        <v>175</v>
      </c>
      <c r="L214" s="29" t="s">
        <v>175</v>
      </c>
      <c r="M214" s="29" t="s">
        <v>175</v>
      </c>
    </row>
    <row r="215">
      <c r="A215" s="76"/>
      <c r="B215" s="181"/>
      <c r="E215" s="76"/>
      <c r="G215" s="182"/>
      <c r="K215" s="29" t="s">
        <v>175</v>
      </c>
      <c r="L215" s="29" t="s">
        <v>175</v>
      </c>
      <c r="M215" s="29" t="s">
        <v>175</v>
      </c>
    </row>
    <row r="216">
      <c r="A216" s="76"/>
      <c r="B216" s="181"/>
      <c r="E216" s="76"/>
      <c r="G216" s="182"/>
      <c r="K216" s="29" t="s">
        <v>175</v>
      </c>
      <c r="L216" s="29" t="s">
        <v>175</v>
      </c>
      <c r="M216" s="29" t="s">
        <v>175</v>
      </c>
    </row>
    <row r="217">
      <c r="A217" s="76"/>
      <c r="B217" s="181"/>
      <c r="E217" s="76"/>
      <c r="G217" s="182"/>
      <c r="K217" s="29" t="s">
        <v>175</v>
      </c>
      <c r="L217" s="29" t="s">
        <v>175</v>
      </c>
      <c r="M217" s="29" t="s">
        <v>175</v>
      </c>
    </row>
    <row r="218">
      <c r="A218" s="76"/>
      <c r="B218" s="181"/>
      <c r="E218" s="76"/>
      <c r="G218" s="182"/>
      <c r="K218" s="29" t="s">
        <v>175</v>
      </c>
      <c r="L218" s="29" t="s">
        <v>175</v>
      </c>
      <c r="M218" s="29" t="s">
        <v>175</v>
      </c>
    </row>
    <row r="219">
      <c r="A219" s="76"/>
      <c r="B219" s="181"/>
      <c r="E219" s="76"/>
      <c r="G219" s="182"/>
      <c r="K219" s="29" t="s">
        <v>175</v>
      </c>
      <c r="L219" s="29" t="s">
        <v>175</v>
      </c>
      <c r="M219" s="29" t="s">
        <v>175</v>
      </c>
    </row>
    <row r="220">
      <c r="A220" s="76"/>
      <c r="B220" s="181"/>
      <c r="E220" s="76"/>
      <c r="G220" s="182"/>
      <c r="K220" s="29" t="s">
        <v>175</v>
      </c>
      <c r="L220" s="29" t="s">
        <v>175</v>
      </c>
      <c r="M220" s="29" t="s">
        <v>175</v>
      </c>
    </row>
    <row r="221">
      <c r="A221" s="76"/>
      <c r="B221" s="181"/>
      <c r="E221" s="76"/>
      <c r="G221" s="182"/>
      <c r="K221" s="29" t="s">
        <v>175</v>
      </c>
      <c r="L221" s="29" t="s">
        <v>175</v>
      </c>
      <c r="M221" s="29" t="s">
        <v>175</v>
      </c>
    </row>
    <row r="222">
      <c r="A222" s="76"/>
      <c r="B222" s="181"/>
      <c r="E222" s="76"/>
      <c r="G222" s="182"/>
      <c r="K222" s="29" t="s">
        <v>175</v>
      </c>
      <c r="L222" s="29" t="s">
        <v>175</v>
      </c>
      <c r="M222" s="29" t="s">
        <v>175</v>
      </c>
    </row>
    <row r="223">
      <c r="A223" s="76"/>
      <c r="B223" s="181"/>
      <c r="E223" s="76"/>
      <c r="G223" s="182"/>
      <c r="K223" s="29" t="s">
        <v>175</v>
      </c>
      <c r="L223" s="29" t="s">
        <v>175</v>
      </c>
      <c r="M223" s="29" t="s">
        <v>175</v>
      </c>
    </row>
    <row r="224">
      <c r="A224" s="76"/>
      <c r="B224" s="181"/>
      <c r="E224" s="76"/>
      <c r="G224" s="182"/>
      <c r="K224" s="29" t="s">
        <v>175</v>
      </c>
      <c r="L224" s="29" t="s">
        <v>175</v>
      </c>
      <c r="M224" s="29" t="s">
        <v>175</v>
      </c>
    </row>
    <row r="225">
      <c r="A225" s="76"/>
      <c r="B225" s="181"/>
      <c r="E225" s="76"/>
      <c r="G225" s="182"/>
      <c r="K225" s="29" t="s">
        <v>175</v>
      </c>
      <c r="L225" s="29" t="s">
        <v>175</v>
      </c>
      <c r="M225" s="29" t="s">
        <v>175</v>
      </c>
    </row>
    <row r="226">
      <c r="A226" s="76"/>
      <c r="B226" s="181"/>
      <c r="E226" s="76"/>
      <c r="G226" s="182"/>
      <c r="K226" s="29" t="s">
        <v>175</v>
      </c>
      <c r="L226" s="29" t="s">
        <v>175</v>
      </c>
      <c r="M226" s="29" t="s">
        <v>175</v>
      </c>
    </row>
    <row r="227">
      <c r="A227" s="76"/>
      <c r="B227" s="181"/>
      <c r="E227" s="76"/>
      <c r="G227" s="182"/>
      <c r="K227" s="29" t="s">
        <v>175</v>
      </c>
      <c r="L227" s="29" t="s">
        <v>175</v>
      </c>
      <c r="M227" s="29" t="s">
        <v>175</v>
      </c>
    </row>
    <row r="228">
      <c r="A228" s="76"/>
      <c r="B228" s="181"/>
      <c r="E228" s="76"/>
      <c r="G228" s="182"/>
      <c r="K228" s="29" t="s">
        <v>175</v>
      </c>
      <c r="L228" s="29" t="s">
        <v>175</v>
      </c>
      <c r="M228" s="29" t="s">
        <v>175</v>
      </c>
    </row>
    <row r="229">
      <c r="A229" s="76"/>
      <c r="B229" s="181"/>
      <c r="E229" s="76"/>
      <c r="G229" s="182"/>
      <c r="K229" s="29" t="s">
        <v>175</v>
      </c>
      <c r="L229" s="29" t="s">
        <v>175</v>
      </c>
      <c r="M229" s="29" t="s">
        <v>175</v>
      </c>
    </row>
    <row r="230">
      <c r="A230" s="76"/>
      <c r="B230" s="181"/>
      <c r="E230" s="76"/>
      <c r="G230" s="182"/>
      <c r="K230" s="29" t="s">
        <v>175</v>
      </c>
      <c r="L230" s="29" t="s">
        <v>175</v>
      </c>
      <c r="M230" s="29" t="s">
        <v>175</v>
      </c>
    </row>
    <row r="231">
      <c r="A231" s="76"/>
      <c r="B231" s="181"/>
      <c r="E231" s="76"/>
      <c r="G231" s="182"/>
      <c r="K231" s="29" t="s">
        <v>175</v>
      </c>
      <c r="L231" s="29" t="s">
        <v>175</v>
      </c>
      <c r="M231" s="29" t="s">
        <v>175</v>
      </c>
    </row>
    <row r="232">
      <c r="A232" s="76"/>
      <c r="B232" s="181"/>
      <c r="E232" s="76"/>
      <c r="G232" s="182"/>
      <c r="K232" s="29" t="s">
        <v>175</v>
      </c>
      <c r="L232" s="29" t="s">
        <v>175</v>
      </c>
      <c r="M232" s="29" t="s">
        <v>175</v>
      </c>
    </row>
    <row r="233">
      <c r="A233" s="76"/>
      <c r="B233" s="181"/>
      <c r="E233" s="76"/>
      <c r="G233" s="182"/>
      <c r="K233" s="29" t="s">
        <v>175</v>
      </c>
      <c r="L233" s="29" t="s">
        <v>175</v>
      </c>
      <c r="M233" s="29" t="s">
        <v>175</v>
      </c>
    </row>
    <row r="234">
      <c r="A234" s="76"/>
      <c r="B234" s="181"/>
      <c r="E234" s="76"/>
      <c r="G234" s="182"/>
      <c r="K234" s="29" t="s">
        <v>175</v>
      </c>
      <c r="L234" s="29" t="s">
        <v>175</v>
      </c>
      <c r="M234" s="29" t="s">
        <v>175</v>
      </c>
    </row>
    <row r="235">
      <c r="A235" s="76"/>
      <c r="B235" s="181"/>
      <c r="E235" s="76"/>
      <c r="G235" s="182"/>
      <c r="K235" s="29" t="s">
        <v>175</v>
      </c>
      <c r="L235" s="29" t="s">
        <v>175</v>
      </c>
      <c r="M235" s="29" t="s">
        <v>175</v>
      </c>
    </row>
    <row r="236">
      <c r="A236" s="76"/>
      <c r="B236" s="181"/>
      <c r="E236" s="76"/>
      <c r="G236" s="182"/>
      <c r="K236" s="29" t="s">
        <v>175</v>
      </c>
      <c r="L236" s="29" t="s">
        <v>175</v>
      </c>
      <c r="M236" s="29" t="s">
        <v>175</v>
      </c>
    </row>
    <row r="237">
      <c r="A237" s="76"/>
      <c r="B237" s="181"/>
      <c r="E237" s="76"/>
      <c r="G237" s="182"/>
      <c r="K237" s="29" t="s">
        <v>175</v>
      </c>
      <c r="L237" s="29" t="s">
        <v>175</v>
      </c>
      <c r="M237" s="29" t="s">
        <v>175</v>
      </c>
    </row>
    <row r="238">
      <c r="A238" s="76"/>
      <c r="B238" s="181"/>
      <c r="E238" s="76"/>
      <c r="G238" s="182"/>
      <c r="K238" s="29" t="s">
        <v>175</v>
      </c>
      <c r="L238" s="29" t="s">
        <v>175</v>
      </c>
      <c r="M238" s="29" t="s">
        <v>175</v>
      </c>
    </row>
    <row r="239">
      <c r="A239" s="76"/>
      <c r="B239" s="181"/>
      <c r="E239" s="76"/>
      <c r="G239" s="182"/>
      <c r="K239" s="29" t="s">
        <v>175</v>
      </c>
      <c r="L239" s="29" t="s">
        <v>175</v>
      </c>
      <c r="M239" s="29" t="s">
        <v>175</v>
      </c>
    </row>
    <row r="240">
      <c r="A240" s="76"/>
      <c r="B240" s="181"/>
      <c r="E240" s="76"/>
      <c r="G240" s="182"/>
      <c r="K240" s="29" t="s">
        <v>175</v>
      </c>
      <c r="L240" s="29" t="s">
        <v>175</v>
      </c>
      <c r="M240" s="29" t="s">
        <v>175</v>
      </c>
    </row>
    <row r="241">
      <c r="A241" s="76"/>
      <c r="B241" s="181"/>
      <c r="E241" s="76"/>
      <c r="G241" s="182"/>
      <c r="K241" s="29" t="s">
        <v>175</v>
      </c>
      <c r="L241" s="29" t="s">
        <v>175</v>
      </c>
      <c r="M241" s="29" t="s">
        <v>175</v>
      </c>
    </row>
    <row r="242">
      <c r="A242" s="76"/>
      <c r="B242" s="181"/>
      <c r="E242" s="76"/>
      <c r="G242" s="182"/>
      <c r="K242" s="29" t="s">
        <v>175</v>
      </c>
      <c r="L242" s="29" t="s">
        <v>175</v>
      </c>
      <c r="M242" s="29" t="s">
        <v>175</v>
      </c>
    </row>
    <row r="243">
      <c r="A243" s="76"/>
      <c r="B243" s="181"/>
      <c r="E243" s="76"/>
      <c r="G243" s="182"/>
      <c r="K243" s="29" t="s">
        <v>175</v>
      </c>
      <c r="L243" s="29" t="s">
        <v>175</v>
      </c>
      <c r="M243" s="29" t="s">
        <v>175</v>
      </c>
    </row>
    <row r="244">
      <c r="A244" s="76"/>
      <c r="B244" s="181"/>
      <c r="E244" s="76"/>
      <c r="G244" s="182"/>
      <c r="K244" s="29" t="s">
        <v>175</v>
      </c>
      <c r="L244" s="29" t="s">
        <v>175</v>
      </c>
      <c r="M244" s="29" t="s">
        <v>175</v>
      </c>
    </row>
    <row r="245">
      <c r="A245" s="76"/>
      <c r="B245" s="181"/>
      <c r="E245" s="76"/>
      <c r="G245" s="182"/>
      <c r="K245" s="29" t="s">
        <v>175</v>
      </c>
      <c r="L245" s="29" t="s">
        <v>175</v>
      </c>
      <c r="M245" s="29" t="s">
        <v>175</v>
      </c>
    </row>
    <row r="246">
      <c r="A246" s="76"/>
      <c r="B246" s="181"/>
      <c r="E246" s="76"/>
      <c r="G246" s="182"/>
      <c r="K246" s="29" t="s">
        <v>175</v>
      </c>
      <c r="L246" s="29" t="s">
        <v>175</v>
      </c>
      <c r="M246" s="29" t="s">
        <v>175</v>
      </c>
    </row>
    <row r="247">
      <c r="A247" s="76"/>
      <c r="B247" s="181"/>
      <c r="E247" s="76"/>
      <c r="G247" s="182"/>
      <c r="K247" s="29" t="s">
        <v>175</v>
      </c>
      <c r="L247" s="29" t="s">
        <v>175</v>
      </c>
      <c r="M247" s="29" t="s">
        <v>175</v>
      </c>
    </row>
    <row r="248">
      <c r="A248" s="76"/>
      <c r="B248" s="181"/>
      <c r="E248" s="76"/>
      <c r="G248" s="182"/>
      <c r="K248" s="29" t="s">
        <v>175</v>
      </c>
      <c r="L248" s="29" t="s">
        <v>175</v>
      </c>
      <c r="M248" s="29" t="s">
        <v>175</v>
      </c>
    </row>
    <row r="249">
      <c r="A249" s="76"/>
      <c r="B249" s="181"/>
      <c r="E249" s="76"/>
      <c r="G249" s="182"/>
      <c r="K249" s="29" t="s">
        <v>175</v>
      </c>
      <c r="L249" s="29" t="s">
        <v>175</v>
      </c>
      <c r="M249" s="29" t="s">
        <v>175</v>
      </c>
    </row>
    <row r="250">
      <c r="A250" s="76"/>
      <c r="B250" s="181"/>
      <c r="E250" s="76"/>
      <c r="G250" s="182"/>
      <c r="K250" s="29" t="s">
        <v>175</v>
      </c>
      <c r="L250" s="29" t="s">
        <v>175</v>
      </c>
      <c r="M250" s="29" t="s">
        <v>175</v>
      </c>
    </row>
    <row r="251">
      <c r="A251" s="76"/>
      <c r="B251" s="181"/>
      <c r="E251" s="76"/>
      <c r="G251" s="182"/>
      <c r="K251" s="29" t="s">
        <v>175</v>
      </c>
      <c r="L251" s="29" t="s">
        <v>175</v>
      </c>
      <c r="M251" s="29" t="s">
        <v>175</v>
      </c>
    </row>
    <row r="252">
      <c r="A252" s="76"/>
      <c r="B252" s="181"/>
      <c r="E252" s="76"/>
      <c r="G252" s="182"/>
      <c r="K252" s="29" t="s">
        <v>175</v>
      </c>
      <c r="L252" s="29" t="s">
        <v>175</v>
      </c>
      <c r="M252" s="29" t="s">
        <v>175</v>
      </c>
    </row>
    <row r="253">
      <c r="A253" s="76"/>
      <c r="B253" s="181"/>
      <c r="E253" s="76"/>
      <c r="G253" s="182"/>
      <c r="K253" s="29" t="s">
        <v>175</v>
      </c>
      <c r="L253" s="29" t="s">
        <v>175</v>
      </c>
      <c r="M253" s="29" t="s">
        <v>175</v>
      </c>
    </row>
    <row r="254">
      <c r="A254" s="76"/>
      <c r="B254" s="181"/>
      <c r="E254" s="76"/>
      <c r="G254" s="182"/>
      <c r="K254" s="29" t="s">
        <v>175</v>
      </c>
      <c r="L254" s="29" t="s">
        <v>175</v>
      </c>
      <c r="M254" s="29" t="s">
        <v>175</v>
      </c>
    </row>
    <row r="255">
      <c r="A255" s="76"/>
      <c r="B255" s="181"/>
      <c r="E255" s="76"/>
      <c r="G255" s="182"/>
      <c r="K255" s="29" t="s">
        <v>175</v>
      </c>
      <c r="L255" s="29" t="s">
        <v>175</v>
      </c>
      <c r="M255" s="29" t="s">
        <v>175</v>
      </c>
    </row>
    <row r="256">
      <c r="A256" s="76"/>
      <c r="B256" s="181"/>
      <c r="E256" s="76"/>
      <c r="G256" s="182"/>
      <c r="K256" s="29" t="s">
        <v>175</v>
      </c>
      <c r="L256" s="29" t="s">
        <v>175</v>
      </c>
      <c r="M256" s="29" t="s">
        <v>175</v>
      </c>
    </row>
    <row r="257">
      <c r="A257" s="76"/>
      <c r="B257" s="181"/>
      <c r="E257" s="76"/>
      <c r="G257" s="182"/>
      <c r="K257" s="29" t="s">
        <v>175</v>
      </c>
      <c r="L257" s="29" t="s">
        <v>175</v>
      </c>
      <c r="M257" s="29" t="s">
        <v>175</v>
      </c>
    </row>
    <row r="258">
      <c r="A258" s="76"/>
      <c r="B258" s="181"/>
      <c r="E258" s="76"/>
      <c r="G258" s="182"/>
      <c r="K258" s="29" t="s">
        <v>175</v>
      </c>
      <c r="L258" s="29" t="s">
        <v>175</v>
      </c>
      <c r="M258" s="29" t="s">
        <v>175</v>
      </c>
    </row>
    <row r="259">
      <c r="A259" s="76"/>
      <c r="B259" s="181"/>
      <c r="E259" s="76"/>
      <c r="G259" s="182"/>
      <c r="K259" s="29" t="s">
        <v>175</v>
      </c>
      <c r="L259" s="29" t="s">
        <v>175</v>
      </c>
      <c r="M259" s="29" t="s">
        <v>175</v>
      </c>
    </row>
    <row r="260">
      <c r="A260" s="76"/>
      <c r="B260" s="181"/>
      <c r="E260" s="76"/>
      <c r="G260" s="182"/>
      <c r="K260" s="29" t="s">
        <v>175</v>
      </c>
      <c r="L260" s="29" t="s">
        <v>175</v>
      </c>
      <c r="M260" s="29" t="s">
        <v>175</v>
      </c>
    </row>
    <row r="261">
      <c r="A261" s="76"/>
      <c r="B261" s="181"/>
      <c r="E261" s="76"/>
      <c r="G261" s="182"/>
      <c r="K261" s="29" t="s">
        <v>175</v>
      </c>
      <c r="L261" s="29" t="s">
        <v>175</v>
      </c>
      <c r="M261" s="29" t="s">
        <v>175</v>
      </c>
    </row>
    <row r="262">
      <c r="A262" s="76"/>
      <c r="B262" s="181"/>
      <c r="E262" s="76"/>
      <c r="G262" s="182"/>
      <c r="K262" s="29" t="s">
        <v>175</v>
      </c>
      <c r="L262" s="29" t="s">
        <v>175</v>
      </c>
      <c r="M262" s="29" t="s">
        <v>175</v>
      </c>
    </row>
    <row r="263">
      <c r="A263" s="76"/>
      <c r="B263" s="181"/>
      <c r="E263" s="76"/>
      <c r="G263" s="182"/>
      <c r="K263" s="29" t="s">
        <v>175</v>
      </c>
      <c r="L263" s="29" t="s">
        <v>175</v>
      </c>
      <c r="M263" s="29" t="s">
        <v>175</v>
      </c>
    </row>
    <row r="264">
      <c r="A264" s="76"/>
      <c r="B264" s="181"/>
      <c r="E264" s="76"/>
      <c r="G264" s="182"/>
      <c r="K264" s="29" t="s">
        <v>175</v>
      </c>
      <c r="L264" s="29" t="s">
        <v>175</v>
      </c>
      <c r="M264" s="29" t="s">
        <v>175</v>
      </c>
    </row>
    <row r="265">
      <c r="A265" s="76"/>
      <c r="B265" s="181"/>
      <c r="E265" s="76"/>
      <c r="G265" s="182"/>
      <c r="K265" s="29" t="s">
        <v>175</v>
      </c>
      <c r="L265" s="29" t="s">
        <v>175</v>
      </c>
      <c r="M265" s="29" t="s">
        <v>175</v>
      </c>
    </row>
    <row r="266">
      <c r="A266" s="76"/>
      <c r="B266" s="181"/>
      <c r="E266" s="76"/>
      <c r="G266" s="182"/>
      <c r="K266" s="29" t="s">
        <v>175</v>
      </c>
      <c r="L266" s="29" t="s">
        <v>175</v>
      </c>
      <c r="M266" s="29" t="s">
        <v>175</v>
      </c>
    </row>
    <row r="267">
      <c r="A267" s="76"/>
      <c r="B267" s="181"/>
      <c r="E267" s="76"/>
      <c r="G267" s="182"/>
      <c r="K267" s="29" t="s">
        <v>175</v>
      </c>
      <c r="L267" s="29" t="s">
        <v>175</v>
      </c>
      <c r="M267" s="29" t="s">
        <v>175</v>
      </c>
    </row>
    <row r="268">
      <c r="A268" s="76"/>
      <c r="B268" s="181"/>
      <c r="E268" s="76"/>
      <c r="G268" s="182"/>
      <c r="K268" s="29" t="s">
        <v>175</v>
      </c>
      <c r="L268" s="29" t="s">
        <v>175</v>
      </c>
      <c r="M268" s="29" t="s">
        <v>175</v>
      </c>
    </row>
    <row r="269">
      <c r="A269" s="76"/>
      <c r="B269" s="181"/>
      <c r="E269" s="76"/>
      <c r="G269" s="182"/>
      <c r="K269" s="29" t="s">
        <v>175</v>
      </c>
      <c r="L269" s="29" t="s">
        <v>175</v>
      </c>
      <c r="M269" s="29" t="s">
        <v>175</v>
      </c>
    </row>
    <row r="270">
      <c r="A270" s="76"/>
      <c r="B270" s="181"/>
      <c r="E270" s="76"/>
      <c r="G270" s="182"/>
      <c r="K270" s="29" t="s">
        <v>175</v>
      </c>
      <c r="L270" s="29" t="s">
        <v>175</v>
      </c>
      <c r="M270" s="29" t="s">
        <v>175</v>
      </c>
    </row>
    <row r="271">
      <c r="A271" s="76"/>
      <c r="B271" s="181"/>
      <c r="E271" s="76"/>
      <c r="G271" s="182"/>
      <c r="K271" s="29" t="s">
        <v>175</v>
      </c>
      <c r="L271" s="29" t="s">
        <v>175</v>
      </c>
      <c r="M271" s="29" t="s">
        <v>175</v>
      </c>
    </row>
    <row r="272">
      <c r="A272" s="76"/>
      <c r="B272" s="181"/>
      <c r="E272" s="76"/>
      <c r="G272" s="182"/>
      <c r="K272" s="29" t="s">
        <v>175</v>
      </c>
      <c r="L272" s="29" t="s">
        <v>175</v>
      </c>
      <c r="M272" s="29" t="s">
        <v>175</v>
      </c>
    </row>
    <row r="273">
      <c r="A273" s="76"/>
      <c r="B273" s="181"/>
      <c r="E273" s="76"/>
      <c r="G273" s="182"/>
      <c r="K273" s="29" t="s">
        <v>175</v>
      </c>
      <c r="L273" s="29" t="s">
        <v>175</v>
      </c>
      <c r="M273" s="29" t="s">
        <v>175</v>
      </c>
    </row>
    <row r="274">
      <c r="A274" s="76"/>
      <c r="B274" s="181"/>
      <c r="E274" s="76"/>
      <c r="G274" s="182"/>
      <c r="K274" s="29" t="s">
        <v>175</v>
      </c>
      <c r="L274" s="29" t="s">
        <v>175</v>
      </c>
      <c r="M274" s="29" t="s">
        <v>175</v>
      </c>
    </row>
    <row r="275">
      <c r="A275" s="76"/>
      <c r="B275" s="181"/>
      <c r="E275" s="76"/>
      <c r="G275" s="182"/>
      <c r="K275" s="29" t="s">
        <v>175</v>
      </c>
      <c r="L275" s="29" t="s">
        <v>175</v>
      </c>
      <c r="M275" s="29" t="s">
        <v>175</v>
      </c>
    </row>
    <row r="276">
      <c r="A276" s="76"/>
      <c r="B276" s="181"/>
      <c r="E276" s="76"/>
      <c r="G276" s="182"/>
      <c r="K276" s="29" t="s">
        <v>175</v>
      </c>
      <c r="L276" s="29" t="s">
        <v>175</v>
      </c>
      <c r="M276" s="29" t="s">
        <v>175</v>
      </c>
    </row>
    <row r="277">
      <c r="A277" s="76"/>
      <c r="B277" s="181"/>
      <c r="E277" s="76"/>
      <c r="G277" s="182"/>
      <c r="K277" s="29" t="s">
        <v>175</v>
      </c>
      <c r="L277" s="29" t="s">
        <v>175</v>
      </c>
      <c r="M277" s="29" t="s">
        <v>175</v>
      </c>
    </row>
    <row r="278">
      <c r="A278" s="76"/>
      <c r="B278" s="181"/>
      <c r="E278" s="76"/>
      <c r="G278" s="182"/>
      <c r="K278" s="29" t="s">
        <v>175</v>
      </c>
      <c r="L278" s="29" t="s">
        <v>175</v>
      </c>
      <c r="M278" s="29" t="s">
        <v>175</v>
      </c>
    </row>
    <row r="279">
      <c r="A279" s="76"/>
      <c r="B279" s="181"/>
      <c r="E279" s="76"/>
      <c r="G279" s="182"/>
      <c r="K279" s="29" t="s">
        <v>175</v>
      </c>
      <c r="L279" s="29" t="s">
        <v>175</v>
      </c>
      <c r="M279" s="29" t="s">
        <v>175</v>
      </c>
    </row>
    <row r="280">
      <c r="A280" s="76"/>
      <c r="B280" s="181"/>
      <c r="E280" s="76"/>
      <c r="G280" s="182"/>
      <c r="K280" s="29" t="s">
        <v>175</v>
      </c>
      <c r="L280" s="29" t="s">
        <v>175</v>
      </c>
      <c r="M280" s="29" t="s">
        <v>175</v>
      </c>
    </row>
    <row r="281">
      <c r="A281" s="76"/>
      <c r="B281" s="181"/>
      <c r="E281" s="76"/>
      <c r="G281" s="182"/>
      <c r="K281" s="29" t="s">
        <v>175</v>
      </c>
      <c r="L281" s="29" t="s">
        <v>175</v>
      </c>
      <c r="M281" s="29" t="s">
        <v>175</v>
      </c>
    </row>
    <row r="282">
      <c r="A282" s="76"/>
      <c r="B282" s="181"/>
      <c r="E282" s="76"/>
      <c r="G282" s="182"/>
      <c r="K282" s="29" t="s">
        <v>175</v>
      </c>
      <c r="L282" s="29" t="s">
        <v>175</v>
      </c>
      <c r="M282" s="29" t="s">
        <v>175</v>
      </c>
    </row>
    <row r="283">
      <c r="A283" s="76"/>
      <c r="B283" s="181"/>
      <c r="E283" s="76"/>
      <c r="G283" s="182"/>
      <c r="K283" s="29" t="s">
        <v>175</v>
      </c>
      <c r="L283" s="29" t="s">
        <v>175</v>
      </c>
      <c r="M283" s="29" t="s">
        <v>175</v>
      </c>
    </row>
    <row r="284">
      <c r="A284" s="76"/>
      <c r="B284" s="181"/>
      <c r="E284" s="76"/>
      <c r="G284" s="182"/>
      <c r="K284" s="29" t="s">
        <v>175</v>
      </c>
      <c r="L284" s="29" t="s">
        <v>175</v>
      </c>
      <c r="M284" s="29" t="s">
        <v>175</v>
      </c>
    </row>
    <row r="285">
      <c r="A285" s="76"/>
      <c r="B285" s="181"/>
      <c r="E285" s="76"/>
      <c r="G285" s="182"/>
      <c r="K285" s="29" t="s">
        <v>175</v>
      </c>
      <c r="L285" s="29" t="s">
        <v>175</v>
      </c>
      <c r="M285" s="29" t="s">
        <v>175</v>
      </c>
    </row>
    <row r="286">
      <c r="A286" s="76"/>
      <c r="B286" s="181"/>
      <c r="E286" s="76"/>
      <c r="G286" s="182"/>
      <c r="K286" s="29" t="s">
        <v>175</v>
      </c>
      <c r="L286" s="29" t="s">
        <v>175</v>
      </c>
      <c r="M286" s="29" t="s">
        <v>175</v>
      </c>
    </row>
    <row r="287">
      <c r="A287" s="76"/>
      <c r="B287" s="181"/>
      <c r="E287" s="76"/>
      <c r="G287" s="182"/>
      <c r="K287" s="29" t="s">
        <v>175</v>
      </c>
      <c r="L287" s="29" t="s">
        <v>175</v>
      </c>
      <c r="M287" s="29" t="s">
        <v>175</v>
      </c>
    </row>
    <row r="288">
      <c r="A288" s="76"/>
      <c r="B288" s="181"/>
      <c r="E288" s="76"/>
      <c r="G288" s="182"/>
      <c r="K288" s="29" t="s">
        <v>175</v>
      </c>
      <c r="L288" s="29" t="s">
        <v>175</v>
      </c>
      <c r="M288" s="29" t="s">
        <v>175</v>
      </c>
    </row>
    <row r="289">
      <c r="A289" s="76"/>
      <c r="B289" s="181"/>
      <c r="E289" s="76"/>
      <c r="G289" s="182"/>
      <c r="K289" s="29" t="s">
        <v>175</v>
      </c>
      <c r="L289" s="29" t="s">
        <v>175</v>
      </c>
      <c r="M289" s="29" t="s">
        <v>175</v>
      </c>
    </row>
    <row r="290">
      <c r="A290" s="76"/>
      <c r="B290" s="181"/>
      <c r="E290" s="76"/>
      <c r="G290" s="182"/>
      <c r="K290" s="29" t="s">
        <v>175</v>
      </c>
      <c r="L290" s="29" t="s">
        <v>175</v>
      </c>
      <c r="M290" s="29" t="s">
        <v>175</v>
      </c>
    </row>
    <row r="291">
      <c r="A291" s="76"/>
      <c r="B291" s="181"/>
      <c r="E291" s="76"/>
      <c r="G291" s="182"/>
      <c r="K291" s="29" t="s">
        <v>175</v>
      </c>
      <c r="L291" s="29" t="s">
        <v>175</v>
      </c>
      <c r="M291" s="29" t="s">
        <v>175</v>
      </c>
    </row>
    <row r="292">
      <c r="A292" s="76"/>
      <c r="B292" s="181"/>
      <c r="E292" s="76"/>
      <c r="G292" s="182"/>
      <c r="K292" s="29" t="s">
        <v>175</v>
      </c>
      <c r="L292" s="29" t="s">
        <v>175</v>
      </c>
      <c r="M292" s="29" t="s">
        <v>175</v>
      </c>
    </row>
    <row r="293">
      <c r="A293" s="76"/>
      <c r="B293" s="181"/>
      <c r="E293" s="76"/>
      <c r="G293" s="182"/>
      <c r="K293" s="29" t="s">
        <v>175</v>
      </c>
      <c r="L293" s="29" t="s">
        <v>175</v>
      </c>
      <c r="M293" s="29" t="s">
        <v>175</v>
      </c>
    </row>
    <row r="294">
      <c r="A294" s="76"/>
      <c r="B294" s="181"/>
      <c r="E294" s="76"/>
      <c r="G294" s="182"/>
      <c r="K294" s="29" t="s">
        <v>175</v>
      </c>
      <c r="L294" s="29" t="s">
        <v>175</v>
      </c>
      <c r="M294" s="29" t="s">
        <v>175</v>
      </c>
    </row>
    <row r="295">
      <c r="A295" s="76"/>
      <c r="B295" s="181"/>
      <c r="E295" s="76"/>
      <c r="G295" s="182"/>
      <c r="K295" s="29" t="s">
        <v>175</v>
      </c>
      <c r="L295" s="29" t="s">
        <v>175</v>
      </c>
      <c r="M295" s="29" t="s">
        <v>175</v>
      </c>
    </row>
    <row r="296">
      <c r="A296" s="76"/>
      <c r="B296" s="181"/>
      <c r="E296" s="76"/>
      <c r="G296" s="182"/>
      <c r="K296" s="29" t="s">
        <v>175</v>
      </c>
      <c r="L296" s="29" t="s">
        <v>175</v>
      </c>
      <c r="M296" s="29" t="s">
        <v>175</v>
      </c>
    </row>
    <row r="297">
      <c r="A297" s="76"/>
      <c r="B297" s="181"/>
      <c r="E297" s="76"/>
      <c r="G297" s="182"/>
      <c r="K297" s="29" t="s">
        <v>175</v>
      </c>
      <c r="L297" s="29" t="s">
        <v>175</v>
      </c>
      <c r="M297" s="29" t="s">
        <v>175</v>
      </c>
    </row>
    <row r="298">
      <c r="A298" s="76"/>
      <c r="B298" s="181"/>
      <c r="E298" s="76"/>
      <c r="G298" s="182"/>
      <c r="K298" s="29" t="s">
        <v>175</v>
      </c>
      <c r="L298" s="29" t="s">
        <v>175</v>
      </c>
      <c r="M298" s="29" t="s">
        <v>175</v>
      </c>
    </row>
    <row r="299">
      <c r="A299" s="76"/>
      <c r="B299" s="181"/>
      <c r="E299" s="76"/>
      <c r="G299" s="182"/>
      <c r="K299" s="29" t="s">
        <v>175</v>
      </c>
      <c r="L299" s="29" t="s">
        <v>175</v>
      </c>
      <c r="M299" s="29" t="s">
        <v>175</v>
      </c>
    </row>
    <row r="300">
      <c r="A300" s="76"/>
      <c r="B300" s="181"/>
      <c r="E300" s="76"/>
      <c r="G300" s="182"/>
      <c r="K300" s="29" t="s">
        <v>175</v>
      </c>
      <c r="L300" s="29" t="s">
        <v>175</v>
      </c>
      <c r="M300" s="29" t="s">
        <v>175</v>
      </c>
    </row>
    <row r="301">
      <c r="A301" s="76"/>
      <c r="B301" s="181"/>
      <c r="E301" s="76"/>
      <c r="G301" s="182"/>
      <c r="K301" s="29" t="s">
        <v>175</v>
      </c>
      <c r="L301" s="29" t="s">
        <v>175</v>
      </c>
      <c r="M301" s="29" t="s">
        <v>175</v>
      </c>
    </row>
    <row r="302">
      <c r="A302" s="76"/>
      <c r="B302" s="181"/>
      <c r="E302" s="76"/>
      <c r="G302" s="182"/>
      <c r="K302" s="29" t="s">
        <v>175</v>
      </c>
      <c r="L302" s="29" t="s">
        <v>175</v>
      </c>
      <c r="M302" s="29" t="s">
        <v>175</v>
      </c>
    </row>
    <row r="303">
      <c r="A303" s="76"/>
      <c r="B303" s="181"/>
      <c r="E303" s="76"/>
      <c r="G303" s="182"/>
      <c r="K303" s="29" t="s">
        <v>175</v>
      </c>
      <c r="L303" s="29" t="s">
        <v>175</v>
      </c>
      <c r="M303" s="29" t="s">
        <v>175</v>
      </c>
    </row>
    <row r="304">
      <c r="A304" s="76"/>
      <c r="B304" s="181"/>
      <c r="E304" s="76"/>
      <c r="G304" s="182"/>
      <c r="K304" s="29" t="s">
        <v>175</v>
      </c>
      <c r="L304" s="29" t="s">
        <v>175</v>
      </c>
      <c r="M304" s="29" t="s">
        <v>175</v>
      </c>
    </row>
    <row r="305">
      <c r="A305" s="76"/>
      <c r="B305" s="181"/>
      <c r="E305" s="76"/>
      <c r="G305" s="182"/>
      <c r="K305" s="29" t="s">
        <v>175</v>
      </c>
      <c r="L305" s="29" t="s">
        <v>175</v>
      </c>
      <c r="M305" s="29" t="s">
        <v>175</v>
      </c>
    </row>
    <row r="306">
      <c r="A306" s="76"/>
      <c r="B306" s="181"/>
      <c r="E306" s="76"/>
      <c r="G306" s="182"/>
      <c r="K306" s="29" t="s">
        <v>175</v>
      </c>
      <c r="L306" s="29" t="s">
        <v>175</v>
      </c>
      <c r="M306" s="29" t="s">
        <v>175</v>
      </c>
    </row>
    <row r="307">
      <c r="A307" s="76"/>
      <c r="B307" s="181"/>
      <c r="E307" s="76"/>
      <c r="G307" s="182"/>
      <c r="K307" s="29" t="s">
        <v>175</v>
      </c>
      <c r="L307" s="29" t="s">
        <v>175</v>
      </c>
      <c r="M307" s="29" t="s">
        <v>175</v>
      </c>
    </row>
    <row r="308">
      <c r="A308" s="76"/>
      <c r="B308" s="181"/>
      <c r="E308" s="76"/>
      <c r="G308" s="182"/>
      <c r="K308" s="29" t="s">
        <v>175</v>
      </c>
      <c r="L308" s="29" t="s">
        <v>175</v>
      </c>
      <c r="M308" s="29" t="s">
        <v>175</v>
      </c>
    </row>
    <row r="309">
      <c r="A309" s="76"/>
      <c r="B309" s="181"/>
      <c r="E309" s="76"/>
      <c r="G309" s="182"/>
      <c r="K309" s="29" t="s">
        <v>175</v>
      </c>
      <c r="L309" s="29" t="s">
        <v>175</v>
      </c>
      <c r="M309" s="29" t="s">
        <v>175</v>
      </c>
    </row>
    <row r="310">
      <c r="A310" s="76"/>
      <c r="B310" s="181"/>
      <c r="E310" s="76"/>
      <c r="G310" s="182"/>
      <c r="K310" s="29" t="s">
        <v>175</v>
      </c>
      <c r="L310" s="29" t="s">
        <v>175</v>
      </c>
      <c r="M310" s="29" t="s">
        <v>175</v>
      </c>
    </row>
    <row r="311">
      <c r="A311" s="76"/>
      <c r="B311" s="181"/>
      <c r="E311" s="76"/>
      <c r="G311" s="182"/>
      <c r="K311" s="29" t="s">
        <v>175</v>
      </c>
      <c r="L311" s="29" t="s">
        <v>175</v>
      </c>
      <c r="M311" s="29" t="s">
        <v>175</v>
      </c>
    </row>
    <row r="312">
      <c r="A312" s="76"/>
      <c r="B312" s="181"/>
      <c r="E312" s="76"/>
      <c r="G312" s="182"/>
      <c r="K312" s="29" t="s">
        <v>175</v>
      </c>
      <c r="L312" s="29" t="s">
        <v>175</v>
      </c>
      <c r="M312" s="29" t="s">
        <v>175</v>
      </c>
    </row>
    <row r="313">
      <c r="A313" s="76"/>
      <c r="B313" s="181"/>
      <c r="E313" s="76"/>
      <c r="G313" s="182"/>
      <c r="K313" s="29" t="s">
        <v>175</v>
      </c>
      <c r="L313" s="29" t="s">
        <v>175</v>
      </c>
      <c r="M313" s="29" t="s">
        <v>175</v>
      </c>
    </row>
    <row r="314">
      <c r="A314" s="76"/>
      <c r="B314" s="181"/>
      <c r="E314" s="76"/>
      <c r="G314" s="182"/>
      <c r="K314" s="29" t="s">
        <v>175</v>
      </c>
      <c r="L314" s="29" t="s">
        <v>175</v>
      </c>
      <c r="M314" s="29" t="s">
        <v>175</v>
      </c>
    </row>
    <row r="315">
      <c r="A315" s="76"/>
      <c r="B315" s="181"/>
      <c r="E315" s="76"/>
      <c r="G315" s="182"/>
      <c r="K315" s="29" t="s">
        <v>175</v>
      </c>
      <c r="L315" s="29" t="s">
        <v>175</v>
      </c>
      <c r="M315" s="29" t="s">
        <v>175</v>
      </c>
    </row>
    <row r="316">
      <c r="A316" s="76"/>
      <c r="B316" s="181"/>
      <c r="E316" s="76"/>
      <c r="G316" s="182"/>
      <c r="K316" s="29" t="s">
        <v>175</v>
      </c>
      <c r="L316" s="29" t="s">
        <v>175</v>
      </c>
      <c r="M316" s="29" t="s">
        <v>175</v>
      </c>
    </row>
    <row r="317">
      <c r="A317" s="76"/>
      <c r="B317" s="181"/>
      <c r="E317" s="76"/>
      <c r="G317" s="182"/>
      <c r="K317" s="29" t="s">
        <v>175</v>
      </c>
      <c r="L317" s="29" t="s">
        <v>175</v>
      </c>
      <c r="M317" s="29" t="s">
        <v>175</v>
      </c>
    </row>
    <row r="318">
      <c r="A318" s="76"/>
      <c r="B318" s="181"/>
      <c r="E318" s="76"/>
      <c r="G318" s="182"/>
      <c r="K318" s="29" t="s">
        <v>175</v>
      </c>
      <c r="L318" s="29" t="s">
        <v>175</v>
      </c>
      <c r="M318" s="29" t="s">
        <v>175</v>
      </c>
    </row>
    <row r="319">
      <c r="A319" s="76"/>
      <c r="B319" s="181"/>
      <c r="E319" s="76"/>
      <c r="G319" s="182"/>
      <c r="K319" s="29" t="s">
        <v>175</v>
      </c>
      <c r="L319" s="29" t="s">
        <v>175</v>
      </c>
      <c r="M319" s="29" t="s">
        <v>175</v>
      </c>
    </row>
    <row r="320">
      <c r="A320" s="76"/>
      <c r="B320" s="181"/>
      <c r="E320" s="76"/>
      <c r="G320" s="182"/>
      <c r="K320" s="29" t="s">
        <v>175</v>
      </c>
      <c r="L320" s="29" t="s">
        <v>175</v>
      </c>
      <c r="M320" s="29" t="s">
        <v>175</v>
      </c>
    </row>
    <row r="321">
      <c r="A321" s="76"/>
      <c r="B321" s="181"/>
      <c r="E321" s="76"/>
      <c r="G321" s="182"/>
      <c r="K321" s="29" t="s">
        <v>175</v>
      </c>
      <c r="L321" s="29" t="s">
        <v>175</v>
      </c>
      <c r="M321" s="29" t="s">
        <v>175</v>
      </c>
    </row>
    <row r="322">
      <c r="A322" s="76"/>
      <c r="B322" s="181"/>
      <c r="E322" s="76"/>
      <c r="G322" s="182"/>
      <c r="K322" s="29" t="s">
        <v>175</v>
      </c>
      <c r="L322" s="29" t="s">
        <v>175</v>
      </c>
      <c r="M322" s="29" t="s">
        <v>175</v>
      </c>
    </row>
    <row r="323">
      <c r="A323" s="76"/>
      <c r="B323" s="181"/>
      <c r="E323" s="76"/>
      <c r="G323" s="182"/>
      <c r="K323" s="29" t="s">
        <v>175</v>
      </c>
      <c r="L323" s="29" t="s">
        <v>175</v>
      </c>
      <c r="M323" s="29" t="s">
        <v>175</v>
      </c>
    </row>
    <row r="324">
      <c r="A324" s="76"/>
      <c r="B324" s="181"/>
      <c r="E324" s="76"/>
      <c r="G324" s="182"/>
      <c r="K324" s="29" t="s">
        <v>175</v>
      </c>
      <c r="L324" s="29" t="s">
        <v>175</v>
      </c>
      <c r="M324" s="29" t="s">
        <v>175</v>
      </c>
    </row>
    <row r="325">
      <c r="A325" s="76"/>
      <c r="B325" s="181"/>
      <c r="E325" s="76"/>
      <c r="G325" s="182"/>
      <c r="K325" s="29" t="s">
        <v>175</v>
      </c>
      <c r="L325" s="29" t="s">
        <v>175</v>
      </c>
      <c r="M325" s="29" t="s">
        <v>175</v>
      </c>
    </row>
    <row r="326">
      <c r="A326" s="76"/>
      <c r="B326" s="181"/>
      <c r="E326" s="76"/>
      <c r="G326" s="182"/>
      <c r="K326" s="29" t="s">
        <v>175</v>
      </c>
      <c r="L326" s="29" t="s">
        <v>175</v>
      </c>
      <c r="M326" s="29" t="s">
        <v>175</v>
      </c>
    </row>
    <row r="327">
      <c r="A327" s="76"/>
      <c r="B327" s="181"/>
      <c r="E327" s="76"/>
      <c r="G327" s="182"/>
      <c r="K327" s="29" t="s">
        <v>175</v>
      </c>
      <c r="L327" s="29" t="s">
        <v>175</v>
      </c>
      <c r="M327" s="29" t="s">
        <v>175</v>
      </c>
    </row>
    <row r="328">
      <c r="A328" s="76"/>
      <c r="B328" s="181"/>
      <c r="E328" s="76"/>
      <c r="G328" s="182"/>
      <c r="K328" s="29" t="s">
        <v>175</v>
      </c>
      <c r="L328" s="29" t="s">
        <v>175</v>
      </c>
      <c r="M328" s="29" t="s">
        <v>175</v>
      </c>
    </row>
    <row r="329">
      <c r="A329" s="76"/>
      <c r="B329" s="181"/>
      <c r="E329" s="76"/>
      <c r="G329" s="182"/>
      <c r="K329" s="29" t="s">
        <v>175</v>
      </c>
      <c r="L329" s="29" t="s">
        <v>175</v>
      </c>
      <c r="M329" s="29" t="s">
        <v>175</v>
      </c>
    </row>
    <row r="330">
      <c r="A330" s="76"/>
      <c r="B330" s="181"/>
      <c r="E330" s="76"/>
      <c r="G330" s="182"/>
      <c r="K330" s="29" t="s">
        <v>175</v>
      </c>
      <c r="L330" s="29" t="s">
        <v>175</v>
      </c>
      <c r="M330" s="29" t="s">
        <v>175</v>
      </c>
    </row>
    <row r="331">
      <c r="A331" s="76"/>
      <c r="B331" s="181"/>
      <c r="E331" s="76"/>
      <c r="G331" s="182"/>
      <c r="K331" s="29" t="s">
        <v>175</v>
      </c>
      <c r="L331" s="29" t="s">
        <v>175</v>
      </c>
      <c r="M331" s="29" t="s">
        <v>175</v>
      </c>
    </row>
    <row r="332">
      <c r="A332" s="76"/>
      <c r="B332" s="181"/>
      <c r="E332" s="76"/>
      <c r="G332" s="182"/>
      <c r="K332" s="29" t="s">
        <v>175</v>
      </c>
      <c r="L332" s="29" t="s">
        <v>175</v>
      </c>
      <c r="M332" s="29" t="s">
        <v>175</v>
      </c>
    </row>
    <row r="333">
      <c r="A333" s="76"/>
      <c r="B333" s="181"/>
      <c r="E333" s="76"/>
      <c r="G333" s="182"/>
      <c r="K333" s="29" t="s">
        <v>175</v>
      </c>
      <c r="L333" s="29" t="s">
        <v>175</v>
      </c>
      <c r="M333" s="29" t="s">
        <v>175</v>
      </c>
    </row>
    <row r="334">
      <c r="A334" s="76"/>
      <c r="B334" s="181"/>
      <c r="E334" s="76"/>
      <c r="G334" s="182"/>
      <c r="K334" s="29" t="s">
        <v>175</v>
      </c>
      <c r="L334" s="29" t="s">
        <v>175</v>
      </c>
      <c r="M334" s="29" t="s">
        <v>175</v>
      </c>
    </row>
    <row r="335">
      <c r="A335" s="76"/>
      <c r="B335" s="181"/>
      <c r="E335" s="76"/>
      <c r="G335" s="182"/>
      <c r="K335" s="29" t="s">
        <v>175</v>
      </c>
      <c r="L335" s="29" t="s">
        <v>175</v>
      </c>
      <c r="M335" s="29" t="s">
        <v>175</v>
      </c>
    </row>
    <row r="336">
      <c r="A336" s="76"/>
      <c r="B336" s="181"/>
      <c r="E336" s="76"/>
      <c r="G336" s="182"/>
      <c r="K336" s="29" t="s">
        <v>175</v>
      </c>
      <c r="L336" s="29" t="s">
        <v>175</v>
      </c>
      <c r="M336" s="29" t="s">
        <v>175</v>
      </c>
    </row>
    <row r="337">
      <c r="A337" s="76"/>
      <c r="B337" s="181"/>
      <c r="E337" s="76"/>
      <c r="G337" s="182"/>
      <c r="K337" s="29" t="s">
        <v>175</v>
      </c>
      <c r="L337" s="29" t="s">
        <v>175</v>
      </c>
      <c r="M337" s="29" t="s">
        <v>175</v>
      </c>
    </row>
    <row r="338">
      <c r="A338" s="76"/>
      <c r="B338" s="181"/>
      <c r="E338" s="76"/>
      <c r="G338" s="182"/>
      <c r="K338" s="29" t="s">
        <v>175</v>
      </c>
      <c r="L338" s="29" t="s">
        <v>175</v>
      </c>
      <c r="M338" s="29" t="s">
        <v>175</v>
      </c>
    </row>
    <row r="339">
      <c r="A339" s="76"/>
      <c r="B339" s="181"/>
      <c r="E339" s="76"/>
      <c r="G339" s="182"/>
      <c r="K339" s="29" t="s">
        <v>175</v>
      </c>
      <c r="L339" s="29" t="s">
        <v>175</v>
      </c>
      <c r="M339" s="29" t="s">
        <v>175</v>
      </c>
    </row>
    <row r="340">
      <c r="A340" s="76"/>
      <c r="B340" s="181"/>
      <c r="E340" s="76"/>
      <c r="G340" s="182"/>
      <c r="K340" s="29" t="s">
        <v>175</v>
      </c>
      <c r="L340" s="29" t="s">
        <v>175</v>
      </c>
      <c r="M340" s="29" t="s">
        <v>175</v>
      </c>
    </row>
    <row r="341">
      <c r="A341" s="76"/>
      <c r="B341" s="181"/>
      <c r="E341" s="76"/>
      <c r="G341" s="182"/>
      <c r="K341" s="29" t="s">
        <v>175</v>
      </c>
      <c r="L341" s="29" t="s">
        <v>175</v>
      </c>
      <c r="M341" s="29" t="s">
        <v>175</v>
      </c>
    </row>
    <row r="342">
      <c r="A342" s="76"/>
      <c r="B342" s="181"/>
      <c r="E342" s="76"/>
      <c r="G342" s="182"/>
      <c r="K342" s="29" t="s">
        <v>175</v>
      </c>
      <c r="L342" s="29" t="s">
        <v>175</v>
      </c>
      <c r="M342" s="29" t="s">
        <v>175</v>
      </c>
    </row>
    <row r="343">
      <c r="A343" s="76"/>
      <c r="B343" s="181"/>
      <c r="E343" s="76"/>
      <c r="G343" s="182"/>
      <c r="K343" s="29" t="s">
        <v>175</v>
      </c>
      <c r="L343" s="29" t="s">
        <v>175</v>
      </c>
      <c r="M343" s="29" t="s">
        <v>175</v>
      </c>
    </row>
    <row r="344">
      <c r="A344" s="76"/>
      <c r="B344" s="181"/>
      <c r="E344" s="76"/>
      <c r="G344" s="182"/>
      <c r="K344" s="29" t="s">
        <v>175</v>
      </c>
      <c r="L344" s="29" t="s">
        <v>175</v>
      </c>
      <c r="M344" s="29" t="s">
        <v>175</v>
      </c>
    </row>
    <row r="345">
      <c r="A345" s="76"/>
      <c r="B345" s="181"/>
      <c r="E345" s="76"/>
      <c r="G345" s="182"/>
      <c r="K345" s="29" t="s">
        <v>175</v>
      </c>
      <c r="L345" s="29" t="s">
        <v>175</v>
      </c>
      <c r="M345" s="29" t="s">
        <v>175</v>
      </c>
    </row>
    <row r="346">
      <c r="A346" s="76"/>
      <c r="B346" s="181"/>
      <c r="E346" s="76"/>
      <c r="G346" s="182"/>
      <c r="K346" s="29" t="s">
        <v>175</v>
      </c>
      <c r="L346" s="29" t="s">
        <v>175</v>
      </c>
      <c r="M346" s="29" t="s">
        <v>175</v>
      </c>
    </row>
    <row r="347">
      <c r="A347" s="76"/>
      <c r="B347" s="181"/>
      <c r="E347" s="76"/>
      <c r="G347" s="182"/>
      <c r="K347" s="29" t="s">
        <v>175</v>
      </c>
      <c r="L347" s="29" t="s">
        <v>175</v>
      </c>
      <c r="M347" s="29" t="s">
        <v>175</v>
      </c>
    </row>
    <row r="348">
      <c r="A348" s="76"/>
      <c r="B348" s="181"/>
      <c r="E348" s="76"/>
      <c r="G348" s="182"/>
      <c r="K348" s="29" t="s">
        <v>175</v>
      </c>
      <c r="L348" s="29" t="s">
        <v>175</v>
      </c>
      <c r="M348" s="29" t="s">
        <v>175</v>
      </c>
    </row>
    <row r="349">
      <c r="A349" s="76"/>
      <c r="B349" s="181"/>
      <c r="E349" s="76"/>
      <c r="G349" s="182"/>
      <c r="K349" s="29" t="s">
        <v>175</v>
      </c>
      <c r="L349" s="29" t="s">
        <v>175</v>
      </c>
      <c r="M349" s="29" t="s">
        <v>175</v>
      </c>
    </row>
    <row r="350">
      <c r="A350" s="76"/>
      <c r="B350" s="181"/>
      <c r="E350" s="76"/>
      <c r="G350" s="182"/>
      <c r="K350" s="29" t="s">
        <v>175</v>
      </c>
      <c r="L350" s="29" t="s">
        <v>175</v>
      </c>
      <c r="M350" s="29" t="s">
        <v>175</v>
      </c>
    </row>
    <row r="351">
      <c r="A351" s="76"/>
      <c r="B351" s="181"/>
      <c r="E351" s="76"/>
      <c r="G351" s="182"/>
      <c r="K351" s="29" t="s">
        <v>175</v>
      </c>
      <c r="L351" s="29" t="s">
        <v>175</v>
      </c>
      <c r="M351" s="29" t="s">
        <v>175</v>
      </c>
    </row>
    <row r="352">
      <c r="A352" s="76"/>
      <c r="B352" s="181"/>
      <c r="E352" s="76"/>
      <c r="G352" s="182"/>
      <c r="K352" s="29" t="s">
        <v>175</v>
      </c>
      <c r="L352" s="29" t="s">
        <v>175</v>
      </c>
      <c r="M352" s="29" t="s">
        <v>175</v>
      </c>
    </row>
    <row r="353">
      <c r="A353" s="76"/>
      <c r="B353" s="181"/>
      <c r="E353" s="76"/>
      <c r="G353" s="182"/>
      <c r="K353" s="29" t="s">
        <v>175</v>
      </c>
      <c r="L353" s="29" t="s">
        <v>175</v>
      </c>
      <c r="M353" s="29" t="s">
        <v>175</v>
      </c>
    </row>
    <row r="354">
      <c r="A354" s="76"/>
      <c r="B354" s="181"/>
      <c r="E354" s="76"/>
      <c r="G354" s="182"/>
      <c r="K354" s="29" t="s">
        <v>175</v>
      </c>
      <c r="L354" s="29" t="s">
        <v>175</v>
      </c>
      <c r="M354" s="29" t="s">
        <v>175</v>
      </c>
    </row>
    <row r="355">
      <c r="A355" s="76"/>
      <c r="B355" s="181"/>
      <c r="E355" s="76"/>
      <c r="G355" s="182"/>
      <c r="K355" s="29" t="s">
        <v>175</v>
      </c>
      <c r="L355" s="29" t="s">
        <v>175</v>
      </c>
      <c r="M355" s="29" t="s">
        <v>175</v>
      </c>
    </row>
    <row r="356">
      <c r="A356" s="76"/>
      <c r="B356" s="181"/>
      <c r="E356" s="76"/>
      <c r="G356" s="182"/>
      <c r="K356" s="29" t="s">
        <v>175</v>
      </c>
      <c r="L356" s="29" t="s">
        <v>175</v>
      </c>
      <c r="M356" s="29" t="s">
        <v>175</v>
      </c>
    </row>
    <row r="357">
      <c r="A357" s="76"/>
      <c r="B357" s="181"/>
      <c r="E357" s="76"/>
      <c r="G357" s="182"/>
      <c r="K357" s="29" t="s">
        <v>175</v>
      </c>
      <c r="L357" s="29" t="s">
        <v>175</v>
      </c>
      <c r="M357" s="29" t="s">
        <v>175</v>
      </c>
    </row>
    <row r="358">
      <c r="A358" s="76"/>
      <c r="B358" s="181"/>
      <c r="E358" s="76"/>
      <c r="G358" s="182"/>
      <c r="K358" s="29" t="s">
        <v>175</v>
      </c>
      <c r="L358" s="29" t="s">
        <v>175</v>
      </c>
      <c r="M358" s="29" t="s">
        <v>175</v>
      </c>
    </row>
    <row r="359">
      <c r="A359" s="76"/>
      <c r="B359" s="181"/>
      <c r="E359" s="76"/>
      <c r="G359" s="182"/>
      <c r="K359" s="29" t="s">
        <v>175</v>
      </c>
      <c r="L359" s="29" t="s">
        <v>175</v>
      </c>
      <c r="M359" s="29" t="s">
        <v>175</v>
      </c>
    </row>
    <row r="360">
      <c r="A360" s="76"/>
      <c r="B360" s="181"/>
      <c r="E360" s="76"/>
      <c r="G360" s="182"/>
      <c r="K360" s="29" t="s">
        <v>175</v>
      </c>
      <c r="L360" s="29" t="s">
        <v>175</v>
      </c>
      <c r="M360" s="29" t="s">
        <v>175</v>
      </c>
    </row>
    <row r="361">
      <c r="A361" s="76"/>
      <c r="B361" s="181"/>
      <c r="E361" s="76"/>
      <c r="G361" s="182"/>
      <c r="K361" s="29" t="s">
        <v>175</v>
      </c>
      <c r="L361" s="29" t="s">
        <v>175</v>
      </c>
      <c r="M361" s="29" t="s">
        <v>175</v>
      </c>
    </row>
    <row r="362">
      <c r="A362" s="76"/>
      <c r="B362" s="181"/>
      <c r="E362" s="76"/>
      <c r="G362" s="182"/>
      <c r="K362" s="29" t="s">
        <v>175</v>
      </c>
      <c r="L362" s="29" t="s">
        <v>175</v>
      </c>
      <c r="M362" s="29" t="s">
        <v>175</v>
      </c>
    </row>
    <row r="363">
      <c r="A363" s="76"/>
      <c r="B363" s="181"/>
      <c r="E363" s="76"/>
      <c r="G363" s="182"/>
      <c r="K363" s="29" t="s">
        <v>175</v>
      </c>
      <c r="L363" s="29" t="s">
        <v>175</v>
      </c>
      <c r="M363" s="29" t="s">
        <v>175</v>
      </c>
    </row>
    <row r="364">
      <c r="A364" s="76"/>
      <c r="B364" s="181"/>
      <c r="E364" s="76"/>
      <c r="G364" s="182"/>
      <c r="K364" s="29" t="s">
        <v>175</v>
      </c>
      <c r="L364" s="29" t="s">
        <v>175</v>
      </c>
      <c r="M364" s="29" t="s">
        <v>175</v>
      </c>
    </row>
    <row r="365">
      <c r="A365" s="76"/>
      <c r="B365" s="181"/>
      <c r="E365" s="76"/>
      <c r="G365" s="182"/>
      <c r="K365" s="29" t="s">
        <v>175</v>
      </c>
      <c r="L365" s="29" t="s">
        <v>175</v>
      </c>
      <c r="M365" s="29" t="s">
        <v>175</v>
      </c>
    </row>
    <row r="366">
      <c r="A366" s="76"/>
      <c r="B366" s="181"/>
      <c r="E366" s="76"/>
      <c r="G366" s="182"/>
      <c r="K366" s="29" t="s">
        <v>175</v>
      </c>
      <c r="L366" s="29" t="s">
        <v>175</v>
      </c>
      <c r="M366" s="29" t="s">
        <v>175</v>
      </c>
    </row>
    <row r="367">
      <c r="A367" s="76"/>
      <c r="B367" s="181"/>
      <c r="E367" s="76"/>
      <c r="G367" s="182"/>
      <c r="K367" s="29" t="s">
        <v>175</v>
      </c>
      <c r="L367" s="29" t="s">
        <v>175</v>
      </c>
      <c r="M367" s="29" t="s">
        <v>175</v>
      </c>
    </row>
    <row r="368">
      <c r="A368" s="76"/>
      <c r="B368" s="181"/>
      <c r="E368" s="76"/>
      <c r="G368" s="182"/>
      <c r="K368" s="29" t="s">
        <v>175</v>
      </c>
      <c r="L368" s="29" t="s">
        <v>175</v>
      </c>
      <c r="M368" s="29" t="s">
        <v>175</v>
      </c>
    </row>
    <row r="369">
      <c r="A369" s="76"/>
      <c r="B369" s="181"/>
      <c r="E369" s="76"/>
      <c r="G369" s="182"/>
      <c r="K369" s="29" t="s">
        <v>175</v>
      </c>
      <c r="L369" s="29" t="s">
        <v>175</v>
      </c>
      <c r="M369" s="29" t="s">
        <v>175</v>
      </c>
    </row>
    <row r="370">
      <c r="A370" s="76"/>
      <c r="B370" s="181"/>
      <c r="E370" s="76"/>
      <c r="G370" s="182"/>
      <c r="K370" s="29" t="s">
        <v>175</v>
      </c>
      <c r="L370" s="29" t="s">
        <v>175</v>
      </c>
      <c r="M370" s="29" t="s">
        <v>175</v>
      </c>
    </row>
    <row r="371">
      <c r="A371" s="76"/>
      <c r="B371" s="181"/>
      <c r="E371" s="76"/>
      <c r="G371" s="182"/>
      <c r="K371" s="29" t="s">
        <v>175</v>
      </c>
      <c r="L371" s="29" t="s">
        <v>175</v>
      </c>
      <c r="M371" s="29" t="s">
        <v>175</v>
      </c>
    </row>
    <row r="372">
      <c r="A372" s="76"/>
      <c r="B372" s="181"/>
      <c r="E372" s="76"/>
      <c r="G372" s="182"/>
      <c r="K372" s="29" t="s">
        <v>175</v>
      </c>
      <c r="L372" s="29" t="s">
        <v>175</v>
      </c>
      <c r="M372" s="29" t="s">
        <v>175</v>
      </c>
    </row>
    <row r="373">
      <c r="A373" s="76"/>
      <c r="B373" s="181"/>
      <c r="E373" s="76"/>
      <c r="G373" s="182"/>
      <c r="K373" s="29" t="s">
        <v>175</v>
      </c>
      <c r="L373" s="29" t="s">
        <v>175</v>
      </c>
      <c r="M373" s="29" t="s">
        <v>175</v>
      </c>
    </row>
    <row r="374">
      <c r="A374" s="76"/>
      <c r="B374" s="181"/>
      <c r="E374" s="76"/>
      <c r="G374" s="182"/>
      <c r="K374" s="29" t="s">
        <v>175</v>
      </c>
      <c r="L374" s="29" t="s">
        <v>175</v>
      </c>
      <c r="M374" s="29" t="s">
        <v>175</v>
      </c>
    </row>
    <row r="375">
      <c r="A375" s="76"/>
      <c r="B375" s="181"/>
      <c r="E375" s="76"/>
      <c r="G375" s="182"/>
      <c r="K375" s="29" t="s">
        <v>175</v>
      </c>
      <c r="L375" s="29" t="s">
        <v>175</v>
      </c>
      <c r="M375" s="29" t="s">
        <v>175</v>
      </c>
    </row>
    <row r="376">
      <c r="A376" s="76"/>
      <c r="B376" s="181"/>
      <c r="E376" s="76"/>
      <c r="G376" s="182"/>
      <c r="K376" s="29" t="s">
        <v>175</v>
      </c>
      <c r="L376" s="29" t="s">
        <v>175</v>
      </c>
      <c r="M376" s="29" t="s">
        <v>175</v>
      </c>
    </row>
    <row r="377">
      <c r="A377" s="76"/>
      <c r="B377" s="181"/>
      <c r="E377" s="76"/>
      <c r="G377" s="182"/>
      <c r="K377" s="29" t="s">
        <v>175</v>
      </c>
      <c r="L377" s="29" t="s">
        <v>175</v>
      </c>
      <c r="M377" s="29" t="s">
        <v>175</v>
      </c>
    </row>
    <row r="378">
      <c r="A378" s="76"/>
      <c r="B378" s="181"/>
      <c r="E378" s="76"/>
      <c r="G378" s="182"/>
      <c r="K378" s="29" t="s">
        <v>175</v>
      </c>
      <c r="L378" s="29" t="s">
        <v>175</v>
      </c>
      <c r="M378" s="29" t="s">
        <v>175</v>
      </c>
    </row>
    <row r="379">
      <c r="A379" s="76"/>
      <c r="B379" s="181"/>
      <c r="E379" s="76"/>
      <c r="G379" s="182"/>
      <c r="K379" s="29" t="s">
        <v>175</v>
      </c>
      <c r="L379" s="29" t="s">
        <v>175</v>
      </c>
      <c r="M379" s="29" t="s">
        <v>175</v>
      </c>
    </row>
    <row r="380">
      <c r="A380" s="76"/>
      <c r="B380" s="181"/>
      <c r="E380" s="76"/>
      <c r="G380" s="182"/>
      <c r="K380" s="29" t="s">
        <v>175</v>
      </c>
      <c r="L380" s="29" t="s">
        <v>175</v>
      </c>
      <c r="M380" s="29" t="s">
        <v>175</v>
      </c>
    </row>
    <row r="381">
      <c r="A381" s="76"/>
      <c r="B381" s="181"/>
      <c r="E381" s="76"/>
      <c r="G381" s="182"/>
      <c r="K381" s="29" t="s">
        <v>175</v>
      </c>
      <c r="L381" s="29" t="s">
        <v>175</v>
      </c>
      <c r="M381" s="29" t="s">
        <v>175</v>
      </c>
    </row>
    <row r="382">
      <c r="A382" s="76"/>
      <c r="B382" s="181"/>
      <c r="E382" s="76"/>
      <c r="G382" s="182"/>
      <c r="K382" s="29" t="s">
        <v>175</v>
      </c>
      <c r="L382" s="29" t="s">
        <v>175</v>
      </c>
      <c r="M382" s="29" t="s">
        <v>175</v>
      </c>
    </row>
    <row r="383">
      <c r="A383" s="76"/>
      <c r="B383" s="181"/>
      <c r="E383" s="76"/>
      <c r="G383" s="182"/>
      <c r="K383" s="29" t="s">
        <v>175</v>
      </c>
      <c r="L383" s="29" t="s">
        <v>175</v>
      </c>
      <c r="M383" s="29" t="s">
        <v>175</v>
      </c>
    </row>
    <row r="384">
      <c r="A384" s="76"/>
      <c r="B384" s="181"/>
      <c r="E384" s="76"/>
      <c r="G384" s="182"/>
      <c r="K384" s="29" t="s">
        <v>175</v>
      </c>
      <c r="L384" s="29" t="s">
        <v>175</v>
      </c>
      <c r="M384" s="29" t="s">
        <v>175</v>
      </c>
    </row>
    <row r="385">
      <c r="A385" s="76"/>
      <c r="B385" s="181"/>
      <c r="E385" s="76"/>
      <c r="G385" s="182"/>
      <c r="K385" s="29" t="s">
        <v>175</v>
      </c>
      <c r="L385" s="29" t="s">
        <v>175</v>
      </c>
      <c r="M385" s="29" t="s">
        <v>175</v>
      </c>
    </row>
    <row r="386">
      <c r="A386" s="76"/>
      <c r="B386" s="181"/>
      <c r="E386" s="76"/>
      <c r="G386" s="182"/>
      <c r="K386" s="29" t="s">
        <v>175</v>
      </c>
      <c r="L386" s="29" t="s">
        <v>175</v>
      </c>
      <c r="M386" s="29" t="s">
        <v>175</v>
      </c>
    </row>
    <row r="387">
      <c r="A387" s="76"/>
      <c r="B387" s="181"/>
      <c r="E387" s="76"/>
      <c r="G387" s="182"/>
      <c r="K387" s="29" t="s">
        <v>175</v>
      </c>
      <c r="L387" s="29" t="s">
        <v>175</v>
      </c>
      <c r="M387" s="29" t="s">
        <v>175</v>
      </c>
    </row>
    <row r="388">
      <c r="A388" s="76"/>
      <c r="B388" s="181"/>
      <c r="E388" s="76"/>
      <c r="G388" s="182"/>
      <c r="K388" s="29" t="s">
        <v>175</v>
      </c>
      <c r="L388" s="29" t="s">
        <v>175</v>
      </c>
      <c r="M388" s="29" t="s">
        <v>175</v>
      </c>
    </row>
    <row r="389">
      <c r="A389" s="76"/>
      <c r="B389" s="181"/>
      <c r="E389" s="76"/>
      <c r="G389" s="182"/>
      <c r="K389" s="29" t="s">
        <v>175</v>
      </c>
      <c r="L389" s="29" t="s">
        <v>175</v>
      </c>
      <c r="M389" s="29" t="s">
        <v>175</v>
      </c>
    </row>
    <row r="390">
      <c r="A390" s="76"/>
      <c r="B390" s="181"/>
      <c r="E390" s="76"/>
      <c r="G390" s="182"/>
      <c r="K390" s="29" t="s">
        <v>175</v>
      </c>
      <c r="L390" s="29" t="s">
        <v>175</v>
      </c>
      <c r="M390" s="29" t="s">
        <v>175</v>
      </c>
    </row>
    <row r="391">
      <c r="A391" s="76"/>
      <c r="B391" s="181"/>
      <c r="E391" s="76"/>
      <c r="G391" s="182"/>
      <c r="K391" s="29" t="s">
        <v>175</v>
      </c>
      <c r="L391" s="29" t="s">
        <v>175</v>
      </c>
      <c r="M391" s="29" t="s">
        <v>175</v>
      </c>
    </row>
    <row r="392">
      <c r="A392" s="76"/>
      <c r="B392" s="181"/>
      <c r="E392" s="76"/>
      <c r="G392" s="182"/>
      <c r="K392" s="29" t="s">
        <v>175</v>
      </c>
      <c r="L392" s="29" t="s">
        <v>175</v>
      </c>
      <c r="M392" s="29" t="s">
        <v>175</v>
      </c>
    </row>
    <row r="393">
      <c r="A393" s="76"/>
      <c r="B393" s="181"/>
      <c r="E393" s="76"/>
      <c r="G393" s="182"/>
      <c r="K393" s="29" t="s">
        <v>175</v>
      </c>
      <c r="L393" s="29" t="s">
        <v>175</v>
      </c>
      <c r="M393" s="29" t="s">
        <v>175</v>
      </c>
    </row>
    <row r="394">
      <c r="A394" s="76"/>
      <c r="B394" s="181"/>
      <c r="E394" s="76"/>
      <c r="G394" s="182"/>
      <c r="K394" s="29" t="s">
        <v>175</v>
      </c>
      <c r="L394" s="29" t="s">
        <v>175</v>
      </c>
      <c r="M394" s="29" t="s">
        <v>175</v>
      </c>
    </row>
    <row r="395">
      <c r="A395" s="76"/>
      <c r="B395" s="181"/>
      <c r="E395" s="76"/>
      <c r="G395" s="182"/>
      <c r="K395" s="29" t="s">
        <v>175</v>
      </c>
      <c r="L395" s="29" t="s">
        <v>175</v>
      </c>
      <c r="M395" s="29" t="s">
        <v>175</v>
      </c>
    </row>
    <row r="396">
      <c r="A396" s="76"/>
      <c r="B396" s="181"/>
      <c r="E396" s="76"/>
      <c r="G396" s="182"/>
      <c r="K396" s="29" t="s">
        <v>175</v>
      </c>
      <c r="L396" s="29" t="s">
        <v>175</v>
      </c>
      <c r="M396" s="29" t="s">
        <v>175</v>
      </c>
    </row>
    <row r="397">
      <c r="A397" s="76"/>
      <c r="B397" s="181"/>
      <c r="E397" s="76"/>
      <c r="G397" s="182"/>
      <c r="K397" s="29" t="s">
        <v>175</v>
      </c>
      <c r="L397" s="29" t="s">
        <v>175</v>
      </c>
      <c r="M397" s="29" t="s">
        <v>175</v>
      </c>
    </row>
    <row r="398">
      <c r="A398" s="76"/>
      <c r="B398" s="181"/>
      <c r="E398" s="76"/>
      <c r="G398" s="182"/>
      <c r="K398" s="29" t="s">
        <v>175</v>
      </c>
      <c r="L398" s="29" t="s">
        <v>175</v>
      </c>
      <c r="M398" s="29" t="s">
        <v>175</v>
      </c>
    </row>
    <row r="399">
      <c r="A399" s="76"/>
      <c r="B399" s="181"/>
      <c r="E399" s="76"/>
      <c r="G399" s="182"/>
      <c r="K399" s="29" t="s">
        <v>175</v>
      </c>
      <c r="L399" s="29" t="s">
        <v>175</v>
      </c>
      <c r="M399" s="29" t="s">
        <v>175</v>
      </c>
    </row>
    <row r="400">
      <c r="A400" s="76"/>
      <c r="B400" s="181"/>
      <c r="E400" s="76"/>
      <c r="G400" s="182"/>
      <c r="K400" s="29" t="s">
        <v>175</v>
      </c>
      <c r="L400" s="29" t="s">
        <v>175</v>
      </c>
      <c r="M400" s="29" t="s">
        <v>175</v>
      </c>
    </row>
    <row r="401">
      <c r="A401" s="76"/>
      <c r="B401" s="181"/>
      <c r="E401" s="76"/>
      <c r="G401" s="182"/>
      <c r="K401" s="29" t="s">
        <v>175</v>
      </c>
      <c r="L401" s="29" t="s">
        <v>175</v>
      </c>
      <c r="M401" s="29" t="s">
        <v>175</v>
      </c>
    </row>
    <row r="402">
      <c r="A402" s="76"/>
      <c r="B402" s="181"/>
      <c r="E402" s="76"/>
      <c r="G402" s="182"/>
      <c r="K402" s="29" t="s">
        <v>175</v>
      </c>
      <c r="L402" s="29" t="s">
        <v>175</v>
      </c>
      <c r="M402" s="29" t="s">
        <v>175</v>
      </c>
    </row>
    <row r="403">
      <c r="A403" s="76"/>
      <c r="B403" s="181"/>
      <c r="E403" s="76"/>
      <c r="G403" s="182"/>
      <c r="K403" s="29" t="s">
        <v>175</v>
      </c>
      <c r="L403" s="29" t="s">
        <v>175</v>
      </c>
      <c r="M403" s="29" t="s">
        <v>175</v>
      </c>
    </row>
    <row r="404">
      <c r="A404" s="76"/>
      <c r="B404" s="181"/>
      <c r="E404" s="76"/>
      <c r="G404" s="182"/>
      <c r="K404" s="29" t="s">
        <v>175</v>
      </c>
      <c r="L404" s="29" t="s">
        <v>175</v>
      </c>
      <c r="M404" s="29" t="s">
        <v>175</v>
      </c>
    </row>
    <row r="405">
      <c r="A405" s="76"/>
      <c r="B405" s="181"/>
      <c r="E405" s="76"/>
      <c r="G405" s="182"/>
      <c r="K405" s="29" t="s">
        <v>175</v>
      </c>
      <c r="L405" s="29" t="s">
        <v>175</v>
      </c>
      <c r="M405" s="29" t="s">
        <v>175</v>
      </c>
    </row>
    <row r="406">
      <c r="A406" s="76"/>
      <c r="B406" s="181"/>
      <c r="E406" s="76"/>
      <c r="G406" s="182"/>
      <c r="K406" s="29" t="s">
        <v>175</v>
      </c>
      <c r="L406" s="29" t="s">
        <v>175</v>
      </c>
      <c r="M406" s="29" t="s">
        <v>175</v>
      </c>
    </row>
    <row r="407">
      <c r="A407" s="76"/>
      <c r="B407" s="181"/>
      <c r="E407" s="76"/>
      <c r="G407" s="182"/>
      <c r="K407" s="29" t="s">
        <v>175</v>
      </c>
      <c r="L407" s="29" t="s">
        <v>175</v>
      </c>
      <c r="M407" s="29" t="s">
        <v>175</v>
      </c>
    </row>
    <row r="408">
      <c r="A408" s="76"/>
      <c r="B408" s="181"/>
      <c r="E408" s="76"/>
      <c r="G408" s="182"/>
      <c r="K408" s="29" t="s">
        <v>175</v>
      </c>
      <c r="L408" s="29" t="s">
        <v>175</v>
      </c>
      <c r="M408" s="29" t="s">
        <v>175</v>
      </c>
    </row>
    <row r="409">
      <c r="A409" s="76"/>
      <c r="B409" s="181"/>
      <c r="E409" s="76"/>
      <c r="G409" s="182"/>
      <c r="K409" s="29" t="s">
        <v>175</v>
      </c>
      <c r="L409" s="29" t="s">
        <v>175</v>
      </c>
      <c r="M409" s="29" t="s">
        <v>175</v>
      </c>
    </row>
    <row r="410">
      <c r="A410" s="76"/>
      <c r="B410" s="181"/>
      <c r="E410" s="76"/>
      <c r="G410" s="182"/>
      <c r="K410" s="29" t="s">
        <v>175</v>
      </c>
      <c r="L410" s="29" t="s">
        <v>175</v>
      </c>
      <c r="M410" s="29" t="s">
        <v>175</v>
      </c>
    </row>
    <row r="411">
      <c r="A411" s="76"/>
      <c r="B411" s="181"/>
      <c r="E411" s="76"/>
      <c r="G411" s="182"/>
      <c r="K411" s="29" t="s">
        <v>175</v>
      </c>
      <c r="L411" s="29" t="s">
        <v>175</v>
      </c>
      <c r="M411" s="29" t="s">
        <v>175</v>
      </c>
    </row>
    <row r="412">
      <c r="A412" s="76"/>
      <c r="B412" s="181"/>
      <c r="E412" s="76"/>
      <c r="G412" s="182"/>
      <c r="K412" s="29" t="s">
        <v>175</v>
      </c>
      <c r="L412" s="29" t="s">
        <v>175</v>
      </c>
      <c r="M412" s="29" t="s">
        <v>175</v>
      </c>
    </row>
    <row r="413">
      <c r="A413" s="76"/>
      <c r="B413" s="181"/>
      <c r="E413" s="76"/>
      <c r="G413" s="182"/>
      <c r="K413" s="29" t="s">
        <v>175</v>
      </c>
      <c r="L413" s="29" t="s">
        <v>175</v>
      </c>
      <c r="M413" s="29" t="s">
        <v>175</v>
      </c>
    </row>
    <row r="414">
      <c r="A414" s="76"/>
      <c r="B414" s="181"/>
      <c r="E414" s="76"/>
      <c r="G414" s="182"/>
      <c r="K414" s="29" t="s">
        <v>175</v>
      </c>
      <c r="L414" s="29" t="s">
        <v>175</v>
      </c>
      <c r="M414" s="29" t="s">
        <v>175</v>
      </c>
    </row>
    <row r="415">
      <c r="A415" s="76"/>
      <c r="B415" s="181"/>
      <c r="E415" s="76"/>
      <c r="G415" s="182"/>
      <c r="K415" s="29" t="s">
        <v>175</v>
      </c>
      <c r="L415" s="29" t="s">
        <v>175</v>
      </c>
      <c r="M415" s="29" t="s">
        <v>175</v>
      </c>
    </row>
    <row r="416">
      <c r="A416" s="76"/>
      <c r="B416" s="181"/>
      <c r="E416" s="76"/>
      <c r="G416" s="182"/>
      <c r="K416" s="29" t="s">
        <v>175</v>
      </c>
      <c r="L416" s="29" t="s">
        <v>175</v>
      </c>
      <c r="M416" s="29" t="s">
        <v>175</v>
      </c>
    </row>
    <row r="417">
      <c r="A417" s="76"/>
      <c r="B417" s="181"/>
      <c r="E417" s="76"/>
      <c r="G417" s="182"/>
      <c r="K417" s="29" t="s">
        <v>175</v>
      </c>
      <c r="L417" s="29" t="s">
        <v>175</v>
      </c>
      <c r="M417" s="29" t="s">
        <v>175</v>
      </c>
    </row>
    <row r="418">
      <c r="A418" s="76"/>
      <c r="B418" s="181"/>
      <c r="E418" s="76"/>
      <c r="G418" s="182"/>
      <c r="K418" s="29" t="s">
        <v>175</v>
      </c>
      <c r="L418" s="29" t="s">
        <v>175</v>
      </c>
      <c r="M418" s="29" t="s">
        <v>175</v>
      </c>
    </row>
    <row r="419">
      <c r="A419" s="76"/>
      <c r="B419" s="181"/>
      <c r="E419" s="76"/>
      <c r="G419" s="182"/>
      <c r="K419" s="29" t="s">
        <v>175</v>
      </c>
      <c r="L419" s="29" t="s">
        <v>175</v>
      </c>
      <c r="M419" s="29" t="s">
        <v>175</v>
      </c>
    </row>
    <row r="420">
      <c r="A420" s="76"/>
      <c r="B420" s="181"/>
      <c r="E420" s="76"/>
      <c r="G420" s="182"/>
      <c r="K420" s="29" t="s">
        <v>175</v>
      </c>
      <c r="L420" s="29" t="s">
        <v>175</v>
      </c>
      <c r="M420" s="29" t="s">
        <v>175</v>
      </c>
    </row>
    <row r="421">
      <c r="A421" s="76"/>
      <c r="B421" s="181"/>
      <c r="E421" s="76"/>
      <c r="G421" s="182"/>
      <c r="K421" s="29" t="s">
        <v>175</v>
      </c>
      <c r="L421" s="29" t="s">
        <v>175</v>
      </c>
      <c r="M421" s="29" t="s">
        <v>175</v>
      </c>
    </row>
    <row r="422">
      <c r="A422" s="76"/>
      <c r="B422" s="181"/>
      <c r="E422" s="76"/>
      <c r="G422" s="182"/>
      <c r="K422" s="29" t="s">
        <v>175</v>
      </c>
      <c r="L422" s="29" t="s">
        <v>175</v>
      </c>
      <c r="M422" s="29" t="s">
        <v>175</v>
      </c>
    </row>
    <row r="423">
      <c r="A423" s="76"/>
      <c r="B423" s="181"/>
      <c r="E423" s="76"/>
      <c r="G423" s="182"/>
      <c r="K423" s="29" t="s">
        <v>175</v>
      </c>
      <c r="L423" s="29" t="s">
        <v>175</v>
      </c>
      <c r="M423" s="29" t="s">
        <v>175</v>
      </c>
    </row>
    <row r="424">
      <c r="A424" s="76"/>
      <c r="B424" s="181"/>
      <c r="E424" s="76"/>
      <c r="G424" s="182"/>
      <c r="K424" s="29" t="s">
        <v>175</v>
      </c>
      <c r="L424" s="29" t="s">
        <v>175</v>
      </c>
      <c r="M424" s="29" t="s">
        <v>175</v>
      </c>
    </row>
    <row r="425">
      <c r="A425" s="76"/>
      <c r="B425" s="181"/>
      <c r="E425" s="76"/>
      <c r="G425" s="182"/>
      <c r="K425" s="29" t="s">
        <v>175</v>
      </c>
      <c r="L425" s="29" t="s">
        <v>175</v>
      </c>
      <c r="M425" s="29" t="s">
        <v>175</v>
      </c>
    </row>
    <row r="426">
      <c r="A426" s="76"/>
      <c r="B426" s="181"/>
      <c r="E426" s="76"/>
      <c r="G426" s="182"/>
      <c r="K426" s="29" t="s">
        <v>175</v>
      </c>
      <c r="L426" s="29" t="s">
        <v>175</v>
      </c>
      <c r="M426" s="29" t="s">
        <v>175</v>
      </c>
    </row>
    <row r="427">
      <c r="A427" s="76"/>
      <c r="B427" s="181"/>
      <c r="E427" s="76"/>
      <c r="G427" s="182"/>
      <c r="K427" s="29" t="s">
        <v>175</v>
      </c>
      <c r="L427" s="29" t="s">
        <v>175</v>
      </c>
      <c r="M427" s="29" t="s">
        <v>175</v>
      </c>
    </row>
    <row r="428">
      <c r="A428" s="76"/>
      <c r="B428" s="181"/>
      <c r="E428" s="76"/>
      <c r="G428" s="182"/>
      <c r="K428" s="29" t="s">
        <v>175</v>
      </c>
      <c r="L428" s="29" t="s">
        <v>175</v>
      </c>
      <c r="M428" s="29" t="s">
        <v>175</v>
      </c>
    </row>
    <row r="429">
      <c r="A429" s="76"/>
      <c r="B429" s="181"/>
      <c r="E429" s="76"/>
      <c r="G429" s="182"/>
      <c r="K429" s="29" t="s">
        <v>175</v>
      </c>
      <c r="L429" s="29" t="s">
        <v>175</v>
      </c>
      <c r="M429" s="29" t="s">
        <v>175</v>
      </c>
    </row>
    <row r="430">
      <c r="A430" s="76"/>
      <c r="B430" s="181"/>
      <c r="E430" s="76"/>
      <c r="G430" s="182"/>
      <c r="K430" s="29" t="s">
        <v>175</v>
      </c>
      <c r="L430" s="29" t="s">
        <v>175</v>
      </c>
      <c r="M430" s="29" t="s">
        <v>175</v>
      </c>
    </row>
    <row r="431">
      <c r="A431" s="76"/>
      <c r="B431" s="181"/>
      <c r="E431" s="76"/>
      <c r="G431" s="182"/>
      <c r="K431" s="29" t="s">
        <v>175</v>
      </c>
      <c r="L431" s="29" t="s">
        <v>175</v>
      </c>
      <c r="M431" s="29" t="s">
        <v>175</v>
      </c>
    </row>
    <row r="432">
      <c r="A432" s="76"/>
      <c r="B432" s="181"/>
      <c r="E432" s="76"/>
      <c r="G432" s="182"/>
      <c r="K432" s="29" t="s">
        <v>175</v>
      </c>
      <c r="L432" s="29" t="s">
        <v>175</v>
      </c>
      <c r="M432" s="29" t="s">
        <v>175</v>
      </c>
    </row>
    <row r="433">
      <c r="A433" s="76"/>
      <c r="B433" s="181"/>
      <c r="E433" s="76"/>
      <c r="G433" s="182"/>
      <c r="K433" s="29" t="s">
        <v>175</v>
      </c>
      <c r="L433" s="29" t="s">
        <v>175</v>
      </c>
      <c r="M433" s="29" t="s">
        <v>175</v>
      </c>
    </row>
    <row r="434">
      <c r="A434" s="76"/>
      <c r="B434" s="181"/>
      <c r="E434" s="76"/>
      <c r="G434" s="182"/>
      <c r="K434" s="29" t="s">
        <v>175</v>
      </c>
      <c r="L434" s="29" t="s">
        <v>175</v>
      </c>
      <c r="M434" s="29" t="s">
        <v>175</v>
      </c>
    </row>
    <row r="435">
      <c r="A435" s="76"/>
      <c r="B435" s="181"/>
      <c r="E435" s="76"/>
      <c r="G435" s="182"/>
      <c r="K435" s="29" t="s">
        <v>175</v>
      </c>
      <c r="L435" s="29" t="s">
        <v>175</v>
      </c>
      <c r="M435" s="29" t="s">
        <v>175</v>
      </c>
    </row>
    <row r="436">
      <c r="A436" s="76"/>
      <c r="B436" s="181"/>
      <c r="E436" s="76"/>
      <c r="G436" s="182"/>
      <c r="K436" s="29" t="s">
        <v>175</v>
      </c>
      <c r="L436" s="29" t="s">
        <v>175</v>
      </c>
      <c r="M436" s="29" t="s">
        <v>175</v>
      </c>
    </row>
    <row r="437">
      <c r="A437" s="76"/>
      <c r="B437" s="181"/>
      <c r="E437" s="76"/>
      <c r="G437" s="182"/>
      <c r="K437" s="29" t="s">
        <v>175</v>
      </c>
      <c r="L437" s="29" t="s">
        <v>175</v>
      </c>
      <c r="M437" s="29" t="s">
        <v>175</v>
      </c>
    </row>
    <row r="438">
      <c r="A438" s="76"/>
      <c r="B438" s="181"/>
      <c r="E438" s="76"/>
      <c r="G438" s="182"/>
      <c r="K438" s="29" t="s">
        <v>175</v>
      </c>
      <c r="L438" s="29" t="s">
        <v>175</v>
      </c>
      <c r="M438" s="29" t="s">
        <v>175</v>
      </c>
    </row>
    <row r="439">
      <c r="A439" s="76"/>
      <c r="B439" s="181"/>
      <c r="E439" s="76"/>
      <c r="G439" s="182"/>
      <c r="K439" s="29" t="s">
        <v>175</v>
      </c>
      <c r="L439" s="29" t="s">
        <v>175</v>
      </c>
      <c r="M439" s="29" t="s">
        <v>175</v>
      </c>
    </row>
    <row r="440">
      <c r="A440" s="76"/>
      <c r="B440" s="181"/>
      <c r="E440" s="76"/>
      <c r="G440" s="182"/>
      <c r="K440" s="29" t="s">
        <v>175</v>
      </c>
      <c r="L440" s="29" t="s">
        <v>175</v>
      </c>
      <c r="M440" s="29" t="s">
        <v>175</v>
      </c>
    </row>
    <row r="441">
      <c r="A441" s="76"/>
      <c r="B441" s="181"/>
      <c r="E441" s="76"/>
      <c r="G441" s="182"/>
      <c r="K441" s="29" t="s">
        <v>175</v>
      </c>
      <c r="L441" s="29" t="s">
        <v>175</v>
      </c>
      <c r="M441" s="29" t="s">
        <v>175</v>
      </c>
    </row>
    <row r="442">
      <c r="A442" s="76"/>
      <c r="B442" s="181"/>
      <c r="E442" s="76"/>
      <c r="G442" s="182"/>
      <c r="K442" s="29" t="s">
        <v>175</v>
      </c>
      <c r="L442" s="29" t="s">
        <v>175</v>
      </c>
      <c r="M442" s="29" t="s">
        <v>175</v>
      </c>
    </row>
    <row r="443">
      <c r="A443" s="76"/>
      <c r="B443" s="181"/>
      <c r="E443" s="76"/>
      <c r="G443" s="182"/>
      <c r="K443" s="29" t="s">
        <v>175</v>
      </c>
      <c r="L443" s="29" t="s">
        <v>175</v>
      </c>
      <c r="M443" s="29" t="s">
        <v>175</v>
      </c>
    </row>
    <row r="444">
      <c r="A444" s="76"/>
      <c r="B444" s="181"/>
      <c r="E444" s="76"/>
      <c r="G444" s="182"/>
      <c r="K444" s="29" t="s">
        <v>175</v>
      </c>
      <c r="L444" s="29" t="s">
        <v>175</v>
      </c>
      <c r="M444" s="29" t="s">
        <v>175</v>
      </c>
    </row>
    <row r="445">
      <c r="A445" s="76"/>
      <c r="B445" s="181"/>
      <c r="E445" s="76"/>
      <c r="G445" s="182"/>
      <c r="K445" s="29" t="s">
        <v>175</v>
      </c>
      <c r="L445" s="29" t="s">
        <v>175</v>
      </c>
      <c r="M445" s="29" t="s">
        <v>175</v>
      </c>
    </row>
    <row r="446">
      <c r="A446" s="76"/>
      <c r="B446" s="181"/>
      <c r="E446" s="76"/>
      <c r="G446" s="182"/>
      <c r="K446" s="29" t="s">
        <v>175</v>
      </c>
      <c r="L446" s="29" t="s">
        <v>175</v>
      </c>
      <c r="M446" s="29" t="s">
        <v>175</v>
      </c>
    </row>
    <row r="447">
      <c r="A447" s="76"/>
      <c r="B447" s="181"/>
      <c r="E447" s="76"/>
      <c r="G447" s="182"/>
      <c r="K447" s="29" t="s">
        <v>175</v>
      </c>
      <c r="L447" s="29" t="s">
        <v>175</v>
      </c>
      <c r="M447" s="29" t="s">
        <v>175</v>
      </c>
    </row>
    <row r="448">
      <c r="A448" s="76"/>
      <c r="B448" s="181"/>
      <c r="E448" s="76"/>
      <c r="G448" s="182"/>
      <c r="K448" s="29" t="s">
        <v>175</v>
      </c>
      <c r="L448" s="29" t="s">
        <v>175</v>
      </c>
      <c r="M448" s="29" t="s">
        <v>175</v>
      </c>
    </row>
    <row r="449">
      <c r="A449" s="76"/>
      <c r="B449" s="181"/>
      <c r="E449" s="76"/>
      <c r="G449" s="182"/>
      <c r="K449" s="29" t="s">
        <v>175</v>
      </c>
      <c r="L449" s="29" t="s">
        <v>175</v>
      </c>
      <c r="M449" s="29" t="s">
        <v>175</v>
      </c>
    </row>
    <row r="450">
      <c r="A450" s="76"/>
      <c r="B450" s="181"/>
      <c r="E450" s="76"/>
      <c r="G450" s="182"/>
      <c r="K450" s="29" t="s">
        <v>175</v>
      </c>
      <c r="L450" s="29" t="s">
        <v>175</v>
      </c>
      <c r="M450" s="29" t="s">
        <v>175</v>
      </c>
    </row>
    <row r="451">
      <c r="A451" s="76"/>
      <c r="B451" s="181"/>
      <c r="E451" s="76"/>
      <c r="G451" s="182"/>
      <c r="K451" s="29" t="s">
        <v>175</v>
      </c>
      <c r="L451" s="29" t="s">
        <v>175</v>
      </c>
      <c r="M451" s="29" t="s">
        <v>175</v>
      </c>
    </row>
    <row r="452">
      <c r="A452" s="76"/>
      <c r="B452" s="181"/>
      <c r="E452" s="76"/>
      <c r="G452" s="182"/>
      <c r="K452" s="29" t="s">
        <v>175</v>
      </c>
      <c r="L452" s="29" t="s">
        <v>175</v>
      </c>
      <c r="M452" s="29" t="s">
        <v>175</v>
      </c>
    </row>
    <row r="453">
      <c r="A453" s="76"/>
      <c r="B453" s="181"/>
      <c r="E453" s="76"/>
      <c r="G453" s="182"/>
      <c r="K453" s="29" t="s">
        <v>175</v>
      </c>
      <c r="L453" s="29" t="s">
        <v>175</v>
      </c>
      <c r="M453" s="29" t="s">
        <v>175</v>
      </c>
    </row>
    <row r="454">
      <c r="A454" s="76"/>
      <c r="B454" s="181"/>
      <c r="E454" s="76"/>
      <c r="G454" s="182"/>
      <c r="K454" s="29" t="s">
        <v>175</v>
      </c>
      <c r="L454" s="29" t="s">
        <v>175</v>
      </c>
      <c r="M454" s="29" t="s">
        <v>175</v>
      </c>
    </row>
    <row r="455">
      <c r="A455" s="76"/>
      <c r="B455" s="181"/>
      <c r="E455" s="76"/>
      <c r="G455" s="182"/>
      <c r="K455" s="29" t="s">
        <v>175</v>
      </c>
      <c r="L455" s="29" t="s">
        <v>175</v>
      </c>
      <c r="M455" s="29" t="s">
        <v>175</v>
      </c>
    </row>
    <row r="456">
      <c r="A456" s="76"/>
      <c r="B456" s="181"/>
      <c r="E456" s="76"/>
      <c r="G456" s="182"/>
      <c r="K456" s="29" t="s">
        <v>175</v>
      </c>
      <c r="L456" s="29" t="s">
        <v>175</v>
      </c>
      <c r="M456" s="29" t="s">
        <v>175</v>
      </c>
    </row>
    <row r="457">
      <c r="A457" s="76"/>
      <c r="B457" s="181"/>
      <c r="E457" s="76"/>
      <c r="G457" s="182"/>
      <c r="K457" s="29" t="s">
        <v>175</v>
      </c>
      <c r="L457" s="29" t="s">
        <v>175</v>
      </c>
      <c r="M457" s="29" t="s">
        <v>175</v>
      </c>
    </row>
    <row r="458">
      <c r="A458" s="76"/>
      <c r="B458" s="181"/>
      <c r="E458" s="76"/>
      <c r="G458" s="182"/>
      <c r="K458" s="29" t="s">
        <v>175</v>
      </c>
      <c r="L458" s="29" t="s">
        <v>175</v>
      </c>
      <c r="M458" s="29" t="s">
        <v>175</v>
      </c>
    </row>
    <row r="459">
      <c r="A459" s="76"/>
      <c r="B459" s="181"/>
      <c r="E459" s="76"/>
      <c r="G459" s="182"/>
      <c r="K459" s="29" t="s">
        <v>175</v>
      </c>
      <c r="L459" s="29" t="s">
        <v>175</v>
      </c>
      <c r="M459" s="29" t="s">
        <v>175</v>
      </c>
    </row>
    <row r="460">
      <c r="A460" s="76"/>
      <c r="B460" s="181"/>
      <c r="E460" s="76"/>
      <c r="G460" s="182"/>
      <c r="K460" s="29" t="s">
        <v>175</v>
      </c>
      <c r="L460" s="29" t="s">
        <v>175</v>
      </c>
      <c r="M460" s="29" t="s">
        <v>175</v>
      </c>
    </row>
    <row r="461">
      <c r="A461" s="76"/>
      <c r="B461" s="181"/>
      <c r="E461" s="76"/>
      <c r="G461" s="182"/>
      <c r="K461" s="29" t="s">
        <v>175</v>
      </c>
      <c r="L461" s="29" t="s">
        <v>175</v>
      </c>
      <c r="M461" s="29" t="s">
        <v>175</v>
      </c>
    </row>
    <row r="462">
      <c r="A462" s="76"/>
      <c r="B462" s="181"/>
      <c r="E462" s="76"/>
      <c r="G462" s="182"/>
      <c r="K462" s="29" t="s">
        <v>175</v>
      </c>
      <c r="L462" s="29" t="s">
        <v>175</v>
      </c>
      <c r="M462" s="29" t="s">
        <v>175</v>
      </c>
    </row>
    <row r="463">
      <c r="A463" s="76"/>
      <c r="B463" s="181"/>
      <c r="E463" s="76"/>
      <c r="G463" s="182"/>
      <c r="K463" s="29" t="s">
        <v>175</v>
      </c>
      <c r="L463" s="29" t="s">
        <v>175</v>
      </c>
      <c r="M463" s="29" t="s">
        <v>175</v>
      </c>
    </row>
    <row r="464">
      <c r="A464" s="76"/>
      <c r="B464" s="181"/>
      <c r="E464" s="76"/>
      <c r="G464" s="182"/>
      <c r="K464" s="29" t="s">
        <v>175</v>
      </c>
      <c r="L464" s="29" t="s">
        <v>175</v>
      </c>
      <c r="M464" s="29" t="s">
        <v>175</v>
      </c>
    </row>
    <row r="465">
      <c r="A465" s="76"/>
      <c r="B465" s="181"/>
      <c r="E465" s="76"/>
      <c r="G465" s="182"/>
      <c r="K465" s="29" t="s">
        <v>175</v>
      </c>
      <c r="L465" s="29" t="s">
        <v>175</v>
      </c>
      <c r="M465" s="29" t="s">
        <v>175</v>
      </c>
    </row>
    <row r="466">
      <c r="A466" s="76"/>
      <c r="B466" s="181"/>
      <c r="E466" s="76"/>
      <c r="G466" s="182"/>
      <c r="K466" s="29" t="s">
        <v>175</v>
      </c>
      <c r="L466" s="29" t="s">
        <v>175</v>
      </c>
      <c r="M466" s="29" t="s">
        <v>175</v>
      </c>
    </row>
    <row r="467">
      <c r="A467" s="76"/>
      <c r="B467" s="181"/>
      <c r="E467" s="76"/>
      <c r="G467" s="182"/>
      <c r="K467" s="29" t="s">
        <v>175</v>
      </c>
      <c r="L467" s="29" t="s">
        <v>175</v>
      </c>
      <c r="M467" s="29" t="s">
        <v>175</v>
      </c>
    </row>
    <row r="468">
      <c r="A468" s="76"/>
      <c r="B468" s="181"/>
      <c r="E468" s="76"/>
      <c r="G468" s="182"/>
      <c r="K468" s="29" t="s">
        <v>175</v>
      </c>
      <c r="L468" s="29" t="s">
        <v>175</v>
      </c>
      <c r="M468" s="29" t="s">
        <v>175</v>
      </c>
    </row>
    <row r="469">
      <c r="A469" s="76"/>
      <c r="B469" s="181"/>
      <c r="E469" s="76"/>
      <c r="G469" s="182"/>
      <c r="K469" s="29" t="s">
        <v>175</v>
      </c>
      <c r="L469" s="29" t="s">
        <v>175</v>
      </c>
      <c r="M469" s="29" t="s">
        <v>175</v>
      </c>
    </row>
    <row r="470">
      <c r="A470" s="76"/>
      <c r="B470" s="181"/>
      <c r="E470" s="76"/>
      <c r="G470" s="182"/>
      <c r="K470" s="29" t="s">
        <v>175</v>
      </c>
      <c r="L470" s="29" t="s">
        <v>175</v>
      </c>
      <c r="M470" s="29" t="s">
        <v>175</v>
      </c>
    </row>
    <row r="471">
      <c r="A471" s="76"/>
      <c r="B471" s="181"/>
      <c r="E471" s="76"/>
      <c r="G471" s="182"/>
      <c r="K471" s="29" t="s">
        <v>175</v>
      </c>
      <c r="L471" s="29" t="s">
        <v>175</v>
      </c>
      <c r="M471" s="29" t="s">
        <v>175</v>
      </c>
    </row>
    <row r="472">
      <c r="A472" s="76"/>
      <c r="B472" s="181"/>
      <c r="E472" s="76"/>
      <c r="G472" s="182"/>
      <c r="K472" s="29" t="s">
        <v>175</v>
      </c>
      <c r="L472" s="29" t="s">
        <v>175</v>
      </c>
      <c r="M472" s="29" t="s">
        <v>175</v>
      </c>
    </row>
    <row r="473">
      <c r="A473" s="76"/>
      <c r="B473" s="181"/>
      <c r="E473" s="76"/>
      <c r="G473" s="182"/>
      <c r="K473" s="29" t="s">
        <v>175</v>
      </c>
      <c r="L473" s="29" t="s">
        <v>175</v>
      </c>
      <c r="M473" s="29" t="s">
        <v>175</v>
      </c>
    </row>
    <row r="474">
      <c r="A474" s="76"/>
      <c r="B474" s="181"/>
      <c r="E474" s="76"/>
      <c r="G474" s="182"/>
      <c r="K474" s="29" t="s">
        <v>175</v>
      </c>
      <c r="L474" s="29" t="s">
        <v>175</v>
      </c>
      <c r="M474" s="29" t="s">
        <v>175</v>
      </c>
    </row>
    <row r="475">
      <c r="A475" s="76"/>
      <c r="B475" s="181"/>
      <c r="E475" s="76"/>
      <c r="G475" s="182"/>
      <c r="K475" s="29" t="s">
        <v>175</v>
      </c>
      <c r="L475" s="29" t="s">
        <v>175</v>
      </c>
      <c r="M475" s="29" t="s">
        <v>175</v>
      </c>
    </row>
    <row r="476">
      <c r="A476" s="76"/>
      <c r="B476" s="181"/>
      <c r="E476" s="76"/>
      <c r="G476" s="182"/>
      <c r="K476" s="29" t="s">
        <v>175</v>
      </c>
      <c r="L476" s="29" t="s">
        <v>175</v>
      </c>
      <c r="M476" s="29" t="s">
        <v>175</v>
      </c>
    </row>
    <row r="477">
      <c r="A477" s="76"/>
      <c r="B477" s="181"/>
      <c r="E477" s="76"/>
      <c r="G477" s="182"/>
      <c r="K477" s="29" t="s">
        <v>175</v>
      </c>
      <c r="L477" s="29" t="s">
        <v>175</v>
      </c>
      <c r="M477" s="29" t="s">
        <v>175</v>
      </c>
    </row>
    <row r="478">
      <c r="A478" s="76"/>
      <c r="B478" s="181"/>
      <c r="E478" s="76"/>
      <c r="G478" s="182"/>
      <c r="K478" s="29" t="s">
        <v>175</v>
      </c>
      <c r="L478" s="29" t="s">
        <v>175</v>
      </c>
      <c r="M478" s="29" t="s">
        <v>175</v>
      </c>
    </row>
    <row r="479">
      <c r="A479" s="76"/>
      <c r="B479" s="181"/>
      <c r="E479" s="76"/>
      <c r="G479" s="182"/>
      <c r="K479" s="29" t="s">
        <v>175</v>
      </c>
      <c r="L479" s="29" t="s">
        <v>175</v>
      </c>
      <c r="M479" s="29" t="s">
        <v>175</v>
      </c>
    </row>
    <row r="480">
      <c r="A480" s="76"/>
      <c r="B480" s="181"/>
      <c r="E480" s="76"/>
      <c r="G480" s="182"/>
      <c r="K480" s="29" t="s">
        <v>175</v>
      </c>
      <c r="L480" s="29" t="s">
        <v>175</v>
      </c>
      <c r="M480" s="29" t="s">
        <v>175</v>
      </c>
    </row>
    <row r="481">
      <c r="A481" s="76"/>
      <c r="B481" s="181"/>
      <c r="E481" s="76"/>
      <c r="G481" s="182"/>
      <c r="K481" s="29" t="s">
        <v>175</v>
      </c>
      <c r="L481" s="29" t="s">
        <v>175</v>
      </c>
      <c r="M481" s="29" t="s">
        <v>175</v>
      </c>
    </row>
    <row r="482">
      <c r="A482" s="76"/>
      <c r="B482" s="181"/>
      <c r="E482" s="76"/>
      <c r="G482" s="182"/>
      <c r="K482" s="29" t="s">
        <v>175</v>
      </c>
      <c r="L482" s="29" t="s">
        <v>175</v>
      </c>
      <c r="M482" s="29" t="s">
        <v>175</v>
      </c>
    </row>
    <row r="483">
      <c r="A483" s="76"/>
      <c r="B483" s="181"/>
      <c r="E483" s="76"/>
      <c r="G483" s="182"/>
      <c r="K483" s="29" t="s">
        <v>175</v>
      </c>
      <c r="L483" s="29" t="s">
        <v>175</v>
      </c>
      <c r="M483" s="29" t="s">
        <v>175</v>
      </c>
    </row>
    <row r="484">
      <c r="A484" s="76"/>
      <c r="B484" s="181"/>
      <c r="E484" s="76"/>
      <c r="G484" s="182"/>
      <c r="K484" s="29" t="s">
        <v>175</v>
      </c>
      <c r="L484" s="29" t="s">
        <v>175</v>
      </c>
      <c r="M484" s="29" t="s">
        <v>175</v>
      </c>
    </row>
    <row r="485">
      <c r="A485" s="76"/>
      <c r="B485" s="181"/>
      <c r="E485" s="76"/>
      <c r="G485" s="182"/>
      <c r="K485" s="29" t="s">
        <v>175</v>
      </c>
      <c r="L485" s="29" t="s">
        <v>175</v>
      </c>
      <c r="M485" s="29" t="s">
        <v>175</v>
      </c>
    </row>
    <row r="486">
      <c r="A486" s="76"/>
      <c r="B486" s="181"/>
      <c r="E486" s="76"/>
      <c r="G486" s="182"/>
      <c r="K486" s="29" t="s">
        <v>175</v>
      </c>
      <c r="L486" s="29" t="s">
        <v>175</v>
      </c>
      <c r="M486" s="29" t="s">
        <v>175</v>
      </c>
    </row>
    <row r="487">
      <c r="A487" s="76"/>
      <c r="B487" s="181"/>
      <c r="E487" s="76"/>
      <c r="G487" s="182"/>
      <c r="K487" s="29" t="s">
        <v>175</v>
      </c>
      <c r="L487" s="29" t="s">
        <v>175</v>
      </c>
      <c r="M487" s="29" t="s">
        <v>175</v>
      </c>
    </row>
    <row r="488">
      <c r="A488" s="76"/>
      <c r="B488" s="181"/>
      <c r="E488" s="76"/>
      <c r="G488" s="182"/>
      <c r="K488" s="29" t="s">
        <v>175</v>
      </c>
      <c r="L488" s="29" t="s">
        <v>175</v>
      </c>
      <c r="M488" s="29" t="s">
        <v>175</v>
      </c>
    </row>
    <row r="489">
      <c r="A489" s="76"/>
      <c r="B489" s="181"/>
      <c r="E489" s="76"/>
      <c r="G489" s="182"/>
      <c r="K489" s="29" t="s">
        <v>175</v>
      </c>
      <c r="L489" s="29" t="s">
        <v>175</v>
      </c>
      <c r="M489" s="29" t="s">
        <v>175</v>
      </c>
    </row>
    <row r="490">
      <c r="A490" s="76"/>
      <c r="B490" s="181"/>
      <c r="E490" s="76"/>
      <c r="G490" s="182"/>
      <c r="K490" s="29" t="s">
        <v>175</v>
      </c>
      <c r="L490" s="29" t="s">
        <v>175</v>
      </c>
      <c r="M490" s="29" t="s">
        <v>175</v>
      </c>
    </row>
    <row r="491">
      <c r="A491" s="76"/>
      <c r="B491" s="181"/>
      <c r="E491" s="76"/>
      <c r="G491" s="182"/>
      <c r="K491" s="29" t="s">
        <v>175</v>
      </c>
      <c r="L491" s="29" t="s">
        <v>175</v>
      </c>
      <c r="M491" s="29" t="s">
        <v>175</v>
      </c>
    </row>
    <row r="492">
      <c r="A492" s="76"/>
      <c r="B492" s="181"/>
      <c r="E492" s="76"/>
      <c r="G492" s="182"/>
      <c r="K492" s="29" t="s">
        <v>175</v>
      </c>
      <c r="L492" s="29" t="s">
        <v>175</v>
      </c>
      <c r="M492" s="29" t="s">
        <v>175</v>
      </c>
    </row>
    <row r="493">
      <c r="A493" s="76"/>
      <c r="B493" s="181"/>
      <c r="E493" s="76"/>
      <c r="G493" s="182"/>
      <c r="K493" s="29" t="s">
        <v>175</v>
      </c>
      <c r="L493" s="29" t="s">
        <v>175</v>
      </c>
      <c r="M493" s="29" t="s">
        <v>175</v>
      </c>
    </row>
    <row r="494">
      <c r="A494" s="76"/>
      <c r="B494" s="181"/>
      <c r="E494" s="76"/>
      <c r="G494" s="182"/>
      <c r="K494" s="29" t="s">
        <v>175</v>
      </c>
      <c r="L494" s="29" t="s">
        <v>175</v>
      </c>
      <c r="M494" s="29" t="s">
        <v>175</v>
      </c>
    </row>
    <row r="495">
      <c r="A495" s="76"/>
      <c r="B495" s="181"/>
      <c r="E495" s="76"/>
      <c r="G495" s="182"/>
      <c r="K495" s="29" t="s">
        <v>175</v>
      </c>
      <c r="L495" s="29" t="s">
        <v>175</v>
      </c>
      <c r="M495" s="29" t="s">
        <v>175</v>
      </c>
    </row>
    <row r="496">
      <c r="A496" s="76"/>
      <c r="B496" s="181"/>
      <c r="E496" s="76"/>
      <c r="G496" s="182"/>
      <c r="K496" s="29" t="s">
        <v>175</v>
      </c>
      <c r="L496" s="29" t="s">
        <v>175</v>
      </c>
      <c r="M496" s="29" t="s">
        <v>175</v>
      </c>
    </row>
    <row r="497">
      <c r="A497" s="76"/>
      <c r="B497" s="181"/>
      <c r="E497" s="76"/>
      <c r="G497" s="182"/>
      <c r="K497" s="29" t="s">
        <v>175</v>
      </c>
      <c r="L497" s="29" t="s">
        <v>175</v>
      </c>
      <c r="M497" s="29" t="s">
        <v>175</v>
      </c>
    </row>
    <row r="498">
      <c r="A498" s="76"/>
      <c r="B498" s="181"/>
      <c r="E498" s="76"/>
      <c r="G498" s="182"/>
      <c r="K498" s="29" t="s">
        <v>175</v>
      </c>
      <c r="L498" s="29" t="s">
        <v>175</v>
      </c>
      <c r="M498" s="29" t="s">
        <v>175</v>
      </c>
    </row>
    <row r="499">
      <c r="A499" s="76"/>
      <c r="B499" s="181"/>
      <c r="E499" s="76"/>
      <c r="G499" s="182"/>
      <c r="K499" s="29" t="s">
        <v>175</v>
      </c>
      <c r="L499" s="29" t="s">
        <v>175</v>
      </c>
      <c r="M499" s="29" t="s">
        <v>175</v>
      </c>
    </row>
    <row r="500">
      <c r="A500" s="76"/>
      <c r="B500" s="181"/>
      <c r="E500" s="76"/>
      <c r="G500" s="182"/>
      <c r="K500" s="29" t="s">
        <v>175</v>
      </c>
      <c r="L500" s="29" t="s">
        <v>175</v>
      </c>
      <c r="M500" s="29" t="s">
        <v>175</v>
      </c>
    </row>
    <row r="501">
      <c r="A501" s="76"/>
      <c r="B501" s="181"/>
      <c r="E501" s="76"/>
      <c r="G501" s="182"/>
      <c r="K501" s="29" t="s">
        <v>175</v>
      </c>
      <c r="L501" s="29" t="s">
        <v>175</v>
      </c>
      <c r="M501" s="29" t="s">
        <v>175</v>
      </c>
    </row>
    <row r="502">
      <c r="A502" s="76"/>
      <c r="B502" s="181"/>
      <c r="E502" s="76"/>
      <c r="G502" s="182"/>
      <c r="K502" s="29" t="s">
        <v>175</v>
      </c>
      <c r="L502" s="29" t="s">
        <v>175</v>
      </c>
      <c r="M502" s="29" t="s">
        <v>175</v>
      </c>
    </row>
    <row r="503">
      <c r="A503" s="76"/>
      <c r="B503" s="181"/>
      <c r="E503" s="76"/>
      <c r="G503" s="182"/>
      <c r="K503" s="29" t="s">
        <v>175</v>
      </c>
      <c r="L503" s="29" t="s">
        <v>175</v>
      </c>
      <c r="M503" s="29" t="s">
        <v>175</v>
      </c>
    </row>
    <row r="504">
      <c r="A504" s="76"/>
      <c r="B504" s="181"/>
      <c r="E504" s="76"/>
      <c r="G504" s="182"/>
      <c r="K504" s="29" t="s">
        <v>175</v>
      </c>
      <c r="L504" s="29" t="s">
        <v>175</v>
      </c>
      <c r="M504" s="29" t="s">
        <v>175</v>
      </c>
    </row>
    <row r="505">
      <c r="A505" s="76"/>
      <c r="B505" s="181"/>
      <c r="E505" s="76"/>
      <c r="G505" s="182"/>
      <c r="K505" s="29" t="s">
        <v>175</v>
      </c>
      <c r="L505" s="29" t="s">
        <v>175</v>
      </c>
      <c r="M505" s="29" t="s">
        <v>175</v>
      </c>
    </row>
    <row r="506">
      <c r="A506" s="76"/>
      <c r="B506" s="181"/>
      <c r="E506" s="76"/>
      <c r="G506" s="182"/>
      <c r="K506" s="29" t="s">
        <v>175</v>
      </c>
      <c r="L506" s="29" t="s">
        <v>175</v>
      </c>
      <c r="M506" s="29" t="s">
        <v>175</v>
      </c>
    </row>
    <row r="507">
      <c r="A507" s="76"/>
      <c r="B507" s="181"/>
      <c r="E507" s="76"/>
      <c r="G507" s="182"/>
      <c r="K507" s="29" t="s">
        <v>175</v>
      </c>
      <c r="L507" s="29" t="s">
        <v>175</v>
      </c>
      <c r="M507" s="29" t="s">
        <v>175</v>
      </c>
    </row>
    <row r="508">
      <c r="A508" s="76"/>
      <c r="B508" s="181"/>
      <c r="E508" s="76"/>
      <c r="G508" s="182"/>
      <c r="K508" s="29" t="s">
        <v>175</v>
      </c>
      <c r="L508" s="29" t="s">
        <v>175</v>
      </c>
      <c r="M508" s="29" t="s">
        <v>175</v>
      </c>
    </row>
    <row r="509">
      <c r="A509" s="76"/>
      <c r="B509" s="181"/>
      <c r="E509" s="76"/>
      <c r="G509" s="182"/>
      <c r="K509" s="29" t="s">
        <v>175</v>
      </c>
      <c r="L509" s="29" t="s">
        <v>175</v>
      </c>
      <c r="M509" s="29" t="s">
        <v>175</v>
      </c>
    </row>
    <row r="510">
      <c r="A510" s="76"/>
      <c r="B510" s="181"/>
      <c r="E510" s="76"/>
      <c r="G510" s="182"/>
      <c r="K510" s="29" t="s">
        <v>175</v>
      </c>
      <c r="L510" s="29" t="s">
        <v>175</v>
      </c>
      <c r="M510" s="29" t="s">
        <v>175</v>
      </c>
    </row>
    <row r="511">
      <c r="A511" s="76"/>
      <c r="B511" s="181"/>
      <c r="E511" s="76"/>
      <c r="G511" s="182"/>
      <c r="K511" s="29" t="s">
        <v>175</v>
      </c>
      <c r="L511" s="29" t="s">
        <v>175</v>
      </c>
      <c r="M511" s="29" t="s">
        <v>175</v>
      </c>
    </row>
    <row r="512">
      <c r="A512" s="76"/>
      <c r="B512" s="181"/>
      <c r="E512" s="76"/>
      <c r="G512" s="182"/>
      <c r="K512" s="29" t="s">
        <v>175</v>
      </c>
      <c r="L512" s="29" t="s">
        <v>175</v>
      </c>
      <c r="M512" s="29" t="s">
        <v>175</v>
      </c>
    </row>
    <row r="513">
      <c r="A513" s="76"/>
      <c r="B513" s="181"/>
      <c r="E513" s="76"/>
      <c r="G513" s="182"/>
      <c r="K513" s="29" t="s">
        <v>175</v>
      </c>
      <c r="L513" s="29" t="s">
        <v>175</v>
      </c>
      <c r="M513" s="29" t="s">
        <v>175</v>
      </c>
    </row>
    <row r="514">
      <c r="A514" s="76"/>
      <c r="B514" s="181"/>
      <c r="E514" s="76"/>
      <c r="G514" s="182"/>
      <c r="K514" s="29" t="s">
        <v>175</v>
      </c>
      <c r="L514" s="29" t="s">
        <v>175</v>
      </c>
      <c r="M514" s="29" t="s">
        <v>175</v>
      </c>
    </row>
    <row r="515">
      <c r="A515" s="76"/>
      <c r="B515" s="181"/>
      <c r="E515" s="76"/>
      <c r="G515" s="182"/>
      <c r="K515" s="29" t="s">
        <v>175</v>
      </c>
      <c r="L515" s="29" t="s">
        <v>175</v>
      </c>
      <c r="M515" s="29" t="s">
        <v>175</v>
      </c>
    </row>
    <row r="516">
      <c r="A516" s="76"/>
      <c r="B516" s="181"/>
      <c r="E516" s="76"/>
      <c r="G516" s="182"/>
      <c r="K516" s="29" t="s">
        <v>175</v>
      </c>
      <c r="L516" s="29" t="s">
        <v>175</v>
      </c>
      <c r="M516" s="29" t="s">
        <v>175</v>
      </c>
    </row>
    <row r="517">
      <c r="A517" s="76"/>
      <c r="B517" s="181"/>
      <c r="E517" s="76"/>
      <c r="G517" s="182"/>
      <c r="K517" s="29" t="s">
        <v>175</v>
      </c>
      <c r="L517" s="29" t="s">
        <v>175</v>
      </c>
      <c r="M517" s="29" t="s">
        <v>175</v>
      </c>
    </row>
    <row r="518">
      <c r="A518" s="76"/>
      <c r="B518" s="181"/>
      <c r="E518" s="76"/>
      <c r="G518" s="182"/>
      <c r="K518" s="29" t="s">
        <v>175</v>
      </c>
      <c r="L518" s="29" t="s">
        <v>175</v>
      </c>
      <c r="M518" s="29" t="s">
        <v>175</v>
      </c>
    </row>
    <row r="519">
      <c r="A519" s="76"/>
      <c r="B519" s="181"/>
      <c r="E519" s="76"/>
      <c r="G519" s="182"/>
      <c r="K519" s="29" t="s">
        <v>175</v>
      </c>
      <c r="L519" s="29" t="s">
        <v>175</v>
      </c>
      <c r="M519" s="29" t="s">
        <v>175</v>
      </c>
    </row>
    <row r="520">
      <c r="A520" s="76"/>
      <c r="B520" s="181"/>
      <c r="E520" s="76"/>
      <c r="G520" s="182"/>
      <c r="K520" s="29" t="s">
        <v>175</v>
      </c>
      <c r="L520" s="29" t="s">
        <v>175</v>
      </c>
      <c r="M520" s="29" t="s">
        <v>175</v>
      </c>
    </row>
    <row r="521">
      <c r="A521" s="76"/>
      <c r="B521" s="181"/>
      <c r="E521" s="76"/>
      <c r="G521" s="182"/>
      <c r="K521" s="29" t="s">
        <v>175</v>
      </c>
      <c r="L521" s="29" t="s">
        <v>175</v>
      </c>
      <c r="M521" s="29" t="s">
        <v>175</v>
      </c>
    </row>
    <row r="522">
      <c r="A522" s="76"/>
      <c r="B522" s="181"/>
      <c r="E522" s="76"/>
      <c r="G522" s="182"/>
      <c r="K522" s="29" t="s">
        <v>175</v>
      </c>
      <c r="L522" s="29" t="s">
        <v>175</v>
      </c>
      <c r="M522" s="29" t="s">
        <v>175</v>
      </c>
    </row>
    <row r="523">
      <c r="A523" s="76"/>
      <c r="B523" s="181"/>
      <c r="E523" s="76"/>
      <c r="G523" s="182"/>
      <c r="K523" s="29" t="s">
        <v>175</v>
      </c>
      <c r="L523" s="29" t="s">
        <v>175</v>
      </c>
      <c r="M523" s="29" t="s">
        <v>175</v>
      </c>
    </row>
    <row r="524">
      <c r="A524" s="76"/>
      <c r="B524" s="181"/>
      <c r="E524" s="76"/>
      <c r="G524" s="182"/>
      <c r="K524" s="29" t="s">
        <v>175</v>
      </c>
      <c r="L524" s="29" t="s">
        <v>175</v>
      </c>
      <c r="M524" s="29" t="s">
        <v>175</v>
      </c>
    </row>
    <row r="525">
      <c r="A525" s="76"/>
      <c r="B525" s="181"/>
      <c r="E525" s="76"/>
      <c r="G525" s="182"/>
      <c r="K525" s="29" t="s">
        <v>175</v>
      </c>
      <c r="L525" s="29" t="s">
        <v>175</v>
      </c>
      <c r="M525" s="29" t="s">
        <v>175</v>
      </c>
    </row>
    <row r="526">
      <c r="A526" s="76"/>
      <c r="B526" s="181"/>
      <c r="E526" s="76"/>
      <c r="G526" s="182"/>
      <c r="K526" s="29" t="s">
        <v>175</v>
      </c>
      <c r="L526" s="29" t="s">
        <v>175</v>
      </c>
      <c r="M526" s="29" t="s">
        <v>175</v>
      </c>
    </row>
    <row r="527">
      <c r="A527" s="76"/>
      <c r="B527" s="181"/>
      <c r="E527" s="76"/>
      <c r="G527" s="182"/>
      <c r="K527" s="29" t="s">
        <v>175</v>
      </c>
      <c r="L527" s="29" t="s">
        <v>175</v>
      </c>
      <c r="M527" s="29" t="s">
        <v>175</v>
      </c>
    </row>
    <row r="528">
      <c r="A528" s="76"/>
      <c r="B528" s="181"/>
      <c r="E528" s="76"/>
      <c r="G528" s="182"/>
      <c r="K528" s="29" t="s">
        <v>175</v>
      </c>
      <c r="L528" s="29" t="s">
        <v>175</v>
      </c>
      <c r="M528" s="29" t="s">
        <v>175</v>
      </c>
    </row>
    <row r="529">
      <c r="A529" s="76"/>
      <c r="B529" s="181"/>
      <c r="E529" s="76"/>
      <c r="G529" s="182"/>
      <c r="K529" s="29" t="s">
        <v>175</v>
      </c>
      <c r="L529" s="29" t="s">
        <v>175</v>
      </c>
      <c r="M529" s="29" t="s">
        <v>175</v>
      </c>
    </row>
    <row r="530">
      <c r="A530" s="76"/>
      <c r="B530" s="181"/>
      <c r="E530" s="76"/>
      <c r="G530" s="182"/>
      <c r="K530" s="29" t="s">
        <v>175</v>
      </c>
      <c r="L530" s="29" t="s">
        <v>175</v>
      </c>
      <c r="M530" s="29" t="s">
        <v>175</v>
      </c>
    </row>
    <row r="531">
      <c r="A531" s="76"/>
      <c r="B531" s="181"/>
      <c r="E531" s="76"/>
      <c r="G531" s="182"/>
      <c r="K531" s="29" t="s">
        <v>175</v>
      </c>
      <c r="L531" s="29" t="s">
        <v>175</v>
      </c>
      <c r="M531" s="29" t="s">
        <v>175</v>
      </c>
    </row>
    <row r="532">
      <c r="A532" s="76"/>
      <c r="B532" s="181"/>
      <c r="E532" s="76"/>
      <c r="G532" s="182"/>
      <c r="K532" s="29" t="s">
        <v>175</v>
      </c>
      <c r="L532" s="29" t="s">
        <v>175</v>
      </c>
      <c r="M532" s="29" t="s">
        <v>175</v>
      </c>
    </row>
    <row r="533">
      <c r="A533" s="76"/>
      <c r="B533" s="181"/>
      <c r="E533" s="76"/>
      <c r="G533" s="182"/>
      <c r="K533" s="29" t="s">
        <v>175</v>
      </c>
      <c r="L533" s="29" t="s">
        <v>175</v>
      </c>
      <c r="M533" s="29" t="s">
        <v>175</v>
      </c>
    </row>
    <row r="534">
      <c r="A534" s="76"/>
      <c r="B534" s="181"/>
      <c r="E534" s="76"/>
      <c r="G534" s="182"/>
      <c r="K534" s="29" t="s">
        <v>175</v>
      </c>
      <c r="L534" s="29" t="s">
        <v>175</v>
      </c>
      <c r="M534" s="29" t="s">
        <v>175</v>
      </c>
    </row>
    <row r="535">
      <c r="A535" s="76"/>
      <c r="B535" s="181"/>
      <c r="E535" s="76"/>
      <c r="G535" s="182"/>
      <c r="K535" s="29" t="s">
        <v>175</v>
      </c>
      <c r="L535" s="29" t="s">
        <v>175</v>
      </c>
      <c r="M535" s="29" t="s">
        <v>175</v>
      </c>
    </row>
    <row r="536">
      <c r="A536" s="76"/>
      <c r="B536" s="181"/>
      <c r="E536" s="76"/>
      <c r="G536" s="182"/>
      <c r="K536" s="29" t="s">
        <v>175</v>
      </c>
      <c r="L536" s="29" t="s">
        <v>175</v>
      </c>
      <c r="M536" s="29" t="s">
        <v>175</v>
      </c>
    </row>
    <row r="537">
      <c r="A537" s="76"/>
      <c r="B537" s="181"/>
      <c r="E537" s="76"/>
      <c r="G537" s="182"/>
      <c r="K537" s="29" t="s">
        <v>175</v>
      </c>
      <c r="L537" s="29" t="s">
        <v>175</v>
      </c>
      <c r="M537" s="29" t="s">
        <v>175</v>
      </c>
    </row>
    <row r="538">
      <c r="A538" s="76"/>
      <c r="B538" s="181"/>
      <c r="E538" s="76"/>
      <c r="G538" s="182"/>
      <c r="K538" s="29" t="s">
        <v>175</v>
      </c>
      <c r="L538" s="29" t="s">
        <v>175</v>
      </c>
      <c r="M538" s="29" t="s">
        <v>175</v>
      </c>
    </row>
    <row r="539">
      <c r="A539" s="76"/>
      <c r="B539" s="181"/>
      <c r="E539" s="76"/>
      <c r="G539" s="182"/>
      <c r="K539" s="29" t="s">
        <v>175</v>
      </c>
      <c r="L539" s="29" t="s">
        <v>175</v>
      </c>
      <c r="M539" s="29" t="s">
        <v>175</v>
      </c>
    </row>
    <row r="540">
      <c r="A540" s="76"/>
      <c r="B540" s="181"/>
      <c r="E540" s="76"/>
      <c r="G540" s="182"/>
      <c r="K540" s="29" t="s">
        <v>175</v>
      </c>
      <c r="L540" s="29" t="s">
        <v>175</v>
      </c>
      <c r="M540" s="29" t="s">
        <v>175</v>
      </c>
    </row>
    <row r="541">
      <c r="A541" s="76"/>
      <c r="B541" s="181"/>
      <c r="E541" s="76"/>
      <c r="G541" s="182"/>
      <c r="K541" s="29" t="s">
        <v>175</v>
      </c>
      <c r="L541" s="29" t="s">
        <v>175</v>
      </c>
      <c r="M541" s="29" t="s">
        <v>175</v>
      </c>
    </row>
    <row r="542">
      <c r="A542" s="76"/>
      <c r="B542" s="181"/>
      <c r="E542" s="76"/>
      <c r="G542" s="182"/>
      <c r="K542" s="29" t="s">
        <v>175</v>
      </c>
      <c r="L542" s="29" t="s">
        <v>175</v>
      </c>
      <c r="M542" s="29" t="s">
        <v>175</v>
      </c>
    </row>
    <row r="543">
      <c r="A543" s="76"/>
      <c r="B543" s="181"/>
      <c r="E543" s="76"/>
      <c r="G543" s="182"/>
      <c r="K543" s="29" t="s">
        <v>175</v>
      </c>
      <c r="L543" s="29" t="s">
        <v>175</v>
      </c>
      <c r="M543" s="29" t="s">
        <v>175</v>
      </c>
    </row>
    <row r="544">
      <c r="A544" s="76"/>
      <c r="B544" s="181"/>
      <c r="E544" s="76"/>
      <c r="G544" s="182"/>
      <c r="K544" s="29" t="s">
        <v>175</v>
      </c>
      <c r="L544" s="29" t="s">
        <v>175</v>
      </c>
      <c r="M544" s="29" t="s">
        <v>175</v>
      </c>
    </row>
    <row r="545">
      <c r="A545" s="76"/>
      <c r="B545" s="181"/>
      <c r="E545" s="76"/>
      <c r="G545" s="182"/>
      <c r="K545" s="29" t="s">
        <v>175</v>
      </c>
      <c r="L545" s="29" t="s">
        <v>175</v>
      </c>
      <c r="M545" s="29" t="s">
        <v>175</v>
      </c>
    </row>
    <row r="546">
      <c r="A546" s="76"/>
      <c r="B546" s="181"/>
      <c r="E546" s="76"/>
      <c r="G546" s="182"/>
      <c r="K546" s="29" t="s">
        <v>175</v>
      </c>
      <c r="L546" s="29" t="s">
        <v>175</v>
      </c>
      <c r="M546" s="29" t="s">
        <v>175</v>
      </c>
    </row>
    <row r="547">
      <c r="A547" s="76"/>
      <c r="B547" s="181"/>
      <c r="E547" s="76"/>
      <c r="G547" s="182"/>
      <c r="K547" s="29" t="s">
        <v>175</v>
      </c>
      <c r="L547" s="29" t="s">
        <v>175</v>
      </c>
      <c r="M547" s="29" t="s">
        <v>175</v>
      </c>
    </row>
    <row r="548">
      <c r="A548" s="76"/>
      <c r="B548" s="181"/>
      <c r="E548" s="76"/>
      <c r="G548" s="182"/>
      <c r="K548" s="29" t="s">
        <v>175</v>
      </c>
      <c r="L548" s="29" t="s">
        <v>175</v>
      </c>
      <c r="M548" s="29" t="s">
        <v>175</v>
      </c>
    </row>
    <row r="549">
      <c r="A549" s="76"/>
      <c r="B549" s="181"/>
      <c r="E549" s="76"/>
      <c r="G549" s="182"/>
      <c r="K549" s="29" t="s">
        <v>175</v>
      </c>
      <c r="L549" s="29" t="s">
        <v>175</v>
      </c>
      <c r="M549" s="29" t="s">
        <v>175</v>
      </c>
    </row>
    <row r="550">
      <c r="A550" s="76"/>
      <c r="B550" s="181"/>
      <c r="E550" s="76"/>
      <c r="G550" s="182"/>
      <c r="K550" s="29" t="s">
        <v>175</v>
      </c>
      <c r="L550" s="29" t="s">
        <v>175</v>
      </c>
      <c r="M550" s="29" t="s">
        <v>175</v>
      </c>
    </row>
    <row r="551">
      <c r="A551" s="76"/>
      <c r="B551" s="181"/>
      <c r="E551" s="76"/>
      <c r="G551" s="182"/>
      <c r="K551" s="29" t="s">
        <v>175</v>
      </c>
      <c r="L551" s="29" t="s">
        <v>175</v>
      </c>
      <c r="M551" s="29" t="s">
        <v>175</v>
      </c>
    </row>
    <row r="552">
      <c r="A552" s="76"/>
      <c r="B552" s="181"/>
      <c r="E552" s="76"/>
      <c r="G552" s="182"/>
      <c r="K552" s="29" t="s">
        <v>175</v>
      </c>
      <c r="L552" s="29" t="s">
        <v>175</v>
      </c>
      <c r="M552" s="29" t="s">
        <v>175</v>
      </c>
    </row>
    <row r="553">
      <c r="A553" s="76"/>
      <c r="B553" s="181"/>
      <c r="E553" s="76"/>
      <c r="G553" s="182"/>
      <c r="K553" s="29" t="s">
        <v>175</v>
      </c>
      <c r="L553" s="29" t="s">
        <v>175</v>
      </c>
      <c r="M553" s="29" t="s">
        <v>175</v>
      </c>
    </row>
    <row r="554">
      <c r="A554" s="76"/>
      <c r="B554" s="181"/>
      <c r="E554" s="76"/>
      <c r="G554" s="182"/>
      <c r="K554" s="29" t="s">
        <v>175</v>
      </c>
      <c r="L554" s="29" t="s">
        <v>175</v>
      </c>
      <c r="M554" s="29" t="s">
        <v>175</v>
      </c>
    </row>
    <row r="555">
      <c r="A555" s="76"/>
      <c r="B555" s="181"/>
      <c r="E555" s="76"/>
      <c r="G555" s="182"/>
      <c r="K555" s="29" t="s">
        <v>175</v>
      </c>
      <c r="L555" s="29" t="s">
        <v>175</v>
      </c>
      <c r="M555" s="29" t="s">
        <v>175</v>
      </c>
    </row>
    <row r="556">
      <c r="A556" s="76"/>
      <c r="B556" s="181"/>
      <c r="E556" s="76"/>
      <c r="G556" s="182"/>
      <c r="K556" s="29" t="s">
        <v>175</v>
      </c>
      <c r="L556" s="29" t="s">
        <v>175</v>
      </c>
      <c r="M556" s="29" t="s">
        <v>175</v>
      </c>
    </row>
    <row r="557">
      <c r="A557" s="76"/>
      <c r="B557" s="181"/>
      <c r="E557" s="76"/>
      <c r="G557" s="182"/>
      <c r="K557" s="29" t="s">
        <v>175</v>
      </c>
      <c r="L557" s="29" t="s">
        <v>175</v>
      </c>
      <c r="M557" s="29" t="s">
        <v>175</v>
      </c>
    </row>
    <row r="558">
      <c r="A558" s="76"/>
      <c r="B558" s="181"/>
      <c r="E558" s="76"/>
      <c r="G558" s="182"/>
      <c r="K558" s="29" t="s">
        <v>175</v>
      </c>
      <c r="L558" s="29" t="s">
        <v>175</v>
      </c>
      <c r="M558" s="29" t="s">
        <v>175</v>
      </c>
    </row>
    <row r="559">
      <c r="A559" s="76"/>
      <c r="B559" s="181"/>
      <c r="E559" s="76"/>
      <c r="G559" s="182"/>
      <c r="K559" s="29" t="s">
        <v>175</v>
      </c>
      <c r="L559" s="29" t="s">
        <v>175</v>
      </c>
      <c r="M559" s="29" t="s">
        <v>175</v>
      </c>
    </row>
    <row r="560">
      <c r="A560" s="76"/>
      <c r="B560" s="181"/>
      <c r="E560" s="76"/>
      <c r="G560" s="182"/>
      <c r="K560" s="29" t="s">
        <v>175</v>
      </c>
      <c r="L560" s="29" t="s">
        <v>175</v>
      </c>
      <c r="M560" s="29" t="s">
        <v>175</v>
      </c>
    </row>
    <row r="561">
      <c r="A561" s="76"/>
      <c r="B561" s="181"/>
      <c r="E561" s="76"/>
      <c r="G561" s="182"/>
      <c r="K561" s="29" t="s">
        <v>175</v>
      </c>
      <c r="L561" s="29" t="s">
        <v>175</v>
      </c>
      <c r="M561" s="29" t="s">
        <v>175</v>
      </c>
    </row>
    <row r="562">
      <c r="A562" s="76"/>
      <c r="B562" s="181"/>
      <c r="E562" s="76"/>
      <c r="G562" s="182"/>
      <c r="K562" s="29" t="s">
        <v>175</v>
      </c>
      <c r="L562" s="29" t="s">
        <v>175</v>
      </c>
      <c r="M562" s="29" t="s">
        <v>175</v>
      </c>
    </row>
    <row r="563">
      <c r="A563" s="76"/>
      <c r="B563" s="181"/>
      <c r="E563" s="76"/>
      <c r="G563" s="182"/>
      <c r="K563" s="29" t="s">
        <v>175</v>
      </c>
      <c r="L563" s="29" t="s">
        <v>175</v>
      </c>
      <c r="M563" s="29" t="s">
        <v>175</v>
      </c>
    </row>
    <row r="564">
      <c r="A564" s="76"/>
      <c r="B564" s="181"/>
      <c r="E564" s="76"/>
      <c r="G564" s="182"/>
      <c r="K564" s="29" t="s">
        <v>175</v>
      </c>
      <c r="L564" s="29" t="s">
        <v>175</v>
      </c>
      <c r="M564" s="29" t="s">
        <v>175</v>
      </c>
    </row>
    <row r="565">
      <c r="A565" s="76"/>
      <c r="B565" s="181"/>
      <c r="E565" s="76"/>
      <c r="G565" s="182"/>
      <c r="K565" s="29" t="s">
        <v>175</v>
      </c>
      <c r="L565" s="29" t="s">
        <v>175</v>
      </c>
      <c r="M565" s="29" t="s">
        <v>175</v>
      </c>
    </row>
    <row r="566">
      <c r="A566" s="76"/>
      <c r="B566" s="181"/>
      <c r="E566" s="76"/>
      <c r="G566" s="182"/>
      <c r="K566" s="29" t="s">
        <v>175</v>
      </c>
      <c r="L566" s="29" t="s">
        <v>175</v>
      </c>
      <c r="M566" s="29" t="s">
        <v>175</v>
      </c>
    </row>
    <row r="567">
      <c r="A567" s="76"/>
      <c r="B567" s="181"/>
      <c r="E567" s="76"/>
      <c r="G567" s="182"/>
      <c r="K567" s="29" t="s">
        <v>175</v>
      </c>
      <c r="L567" s="29" t="s">
        <v>175</v>
      </c>
      <c r="M567" s="29" t="s">
        <v>175</v>
      </c>
    </row>
    <row r="568">
      <c r="A568" s="76"/>
      <c r="B568" s="181"/>
      <c r="E568" s="76"/>
      <c r="G568" s="182"/>
      <c r="K568" s="29" t="s">
        <v>175</v>
      </c>
      <c r="L568" s="29" t="s">
        <v>175</v>
      </c>
      <c r="M568" s="29" t="s">
        <v>175</v>
      </c>
    </row>
    <row r="569">
      <c r="A569" s="76"/>
      <c r="B569" s="181"/>
      <c r="E569" s="76"/>
      <c r="G569" s="182"/>
      <c r="K569" s="29" t="s">
        <v>175</v>
      </c>
      <c r="L569" s="29" t="s">
        <v>175</v>
      </c>
      <c r="M569" s="29" t="s">
        <v>175</v>
      </c>
    </row>
    <row r="570">
      <c r="A570" s="76"/>
      <c r="B570" s="181"/>
      <c r="E570" s="76"/>
      <c r="G570" s="182"/>
      <c r="K570" s="29" t="s">
        <v>175</v>
      </c>
      <c r="L570" s="29" t="s">
        <v>175</v>
      </c>
      <c r="M570" s="29" t="s">
        <v>175</v>
      </c>
    </row>
    <row r="571">
      <c r="A571" s="76"/>
      <c r="B571" s="181"/>
      <c r="E571" s="76"/>
      <c r="G571" s="182"/>
      <c r="K571" s="29" t="s">
        <v>175</v>
      </c>
      <c r="L571" s="29" t="s">
        <v>175</v>
      </c>
      <c r="M571" s="29" t="s">
        <v>175</v>
      </c>
    </row>
    <row r="572">
      <c r="A572" s="76"/>
      <c r="B572" s="181"/>
      <c r="E572" s="76"/>
      <c r="G572" s="182"/>
      <c r="K572" s="29" t="s">
        <v>175</v>
      </c>
      <c r="L572" s="29" t="s">
        <v>175</v>
      </c>
      <c r="M572" s="29" t="s">
        <v>175</v>
      </c>
    </row>
    <row r="573">
      <c r="A573" s="76"/>
      <c r="B573" s="181"/>
      <c r="E573" s="76"/>
      <c r="G573" s="182"/>
      <c r="K573" s="29" t="s">
        <v>175</v>
      </c>
      <c r="L573" s="29" t="s">
        <v>175</v>
      </c>
      <c r="M573" s="29" t="s">
        <v>175</v>
      </c>
    </row>
    <row r="574">
      <c r="A574" s="76"/>
      <c r="B574" s="181"/>
      <c r="E574" s="76"/>
      <c r="G574" s="182"/>
      <c r="K574" s="29" t="s">
        <v>175</v>
      </c>
      <c r="L574" s="29" t="s">
        <v>175</v>
      </c>
      <c r="M574" s="29" t="s">
        <v>175</v>
      </c>
    </row>
    <row r="575">
      <c r="A575" s="76"/>
      <c r="B575" s="181"/>
      <c r="E575" s="76"/>
      <c r="G575" s="182"/>
      <c r="K575" s="29" t="s">
        <v>175</v>
      </c>
      <c r="L575" s="29" t="s">
        <v>175</v>
      </c>
      <c r="M575" s="29" t="s">
        <v>175</v>
      </c>
    </row>
    <row r="576">
      <c r="A576" s="76"/>
      <c r="B576" s="181"/>
      <c r="E576" s="76"/>
      <c r="G576" s="182"/>
      <c r="K576" s="29" t="s">
        <v>175</v>
      </c>
      <c r="L576" s="29" t="s">
        <v>175</v>
      </c>
      <c r="M576" s="29" t="s">
        <v>175</v>
      </c>
    </row>
    <row r="577">
      <c r="A577" s="76"/>
      <c r="B577" s="181"/>
      <c r="E577" s="76"/>
      <c r="G577" s="182"/>
      <c r="K577" s="29" t="s">
        <v>175</v>
      </c>
      <c r="L577" s="29" t="s">
        <v>175</v>
      </c>
      <c r="M577" s="29" t="s">
        <v>175</v>
      </c>
    </row>
    <row r="578">
      <c r="A578" s="76"/>
      <c r="B578" s="181"/>
      <c r="E578" s="76"/>
      <c r="G578" s="182"/>
      <c r="K578" s="29" t="s">
        <v>175</v>
      </c>
      <c r="L578" s="29" t="s">
        <v>175</v>
      </c>
      <c r="M578" s="29" t="s">
        <v>175</v>
      </c>
    </row>
    <row r="579">
      <c r="A579" s="76"/>
      <c r="B579" s="181"/>
      <c r="E579" s="76"/>
      <c r="G579" s="182"/>
      <c r="K579" s="29" t="s">
        <v>175</v>
      </c>
      <c r="L579" s="29" t="s">
        <v>175</v>
      </c>
      <c r="M579" s="29" t="s">
        <v>175</v>
      </c>
    </row>
    <row r="580">
      <c r="A580" s="76"/>
      <c r="B580" s="181"/>
      <c r="E580" s="76"/>
      <c r="G580" s="182"/>
      <c r="K580" s="29" t="s">
        <v>175</v>
      </c>
      <c r="L580" s="29" t="s">
        <v>175</v>
      </c>
      <c r="M580" s="29" t="s">
        <v>175</v>
      </c>
    </row>
    <row r="581">
      <c r="A581" s="76"/>
      <c r="B581" s="181"/>
      <c r="E581" s="76"/>
      <c r="G581" s="182"/>
      <c r="K581" s="29" t="s">
        <v>175</v>
      </c>
      <c r="L581" s="29" t="s">
        <v>175</v>
      </c>
      <c r="M581" s="29" t="s">
        <v>175</v>
      </c>
    </row>
    <row r="582">
      <c r="A582" s="76"/>
      <c r="B582" s="181"/>
      <c r="E582" s="76"/>
      <c r="G582" s="182"/>
      <c r="K582" s="29" t="s">
        <v>175</v>
      </c>
      <c r="L582" s="29" t="s">
        <v>175</v>
      </c>
      <c r="M582" s="29" t="s">
        <v>175</v>
      </c>
    </row>
    <row r="583">
      <c r="A583" s="76"/>
      <c r="B583" s="181"/>
      <c r="E583" s="76"/>
      <c r="G583" s="182"/>
      <c r="K583" s="29" t="s">
        <v>175</v>
      </c>
      <c r="L583" s="29" t="s">
        <v>175</v>
      </c>
      <c r="M583" s="29" t="s">
        <v>175</v>
      </c>
    </row>
    <row r="584">
      <c r="A584" s="76"/>
      <c r="B584" s="181"/>
      <c r="E584" s="76"/>
      <c r="G584" s="182"/>
      <c r="K584" s="29" t="s">
        <v>175</v>
      </c>
      <c r="L584" s="29" t="s">
        <v>175</v>
      </c>
      <c r="M584" s="29" t="s">
        <v>175</v>
      </c>
    </row>
    <row r="585">
      <c r="A585" s="76"/>
      <c r="B585" s="181"/>
      <c r="E585" s="76"/>
      <c r="G585" s="182"/>
      <c r="K585" s="29" t="s">
        <v>175</v>
      </c>
      <c r="L585" s="29" t="s">
        <v>175</v>
      </c>
      <c r="M585" s="29" t="s">
        <v>175</v>
      </c>
    </row>
    <row r="586">
      <c r="A586" s="76"/>
      <c r="B586" s="181"/>
      <c r="E586" s="76"/>
      <c r="G586" s="182"/>
      <c r="K586" s="29" t="s">
        <v>175</v>
      </c>
      <c r="L586" s="29" t="s">
        <v>175</v>
      </c>
      <c r="M586" s="29" t="s">
        <v>175</v>
      </c>
    </row>
    <row r="587">
      <c r="A587" s="76"/>
      <c r="B587" s="181"/>
      <c r="E587" s="76"/>
      <c r="G587" s="182"/>
      <c r="K587" s="29" t="s">
        <v>175</v>
      </c>
      <c r="L587" s="29" t="s">
        <v>175</v>
      </c>
      <c r="M587" s="29" t="s">
        <v>175</v>
      </c>
    </row>
    <row r="588">
      <c r="A588" s="76"/>
      <c r="B588" s="181"/>
      <c r="E588" s="76"/>
      <c r="G588" s="182"/>
      <c r="K588" s="29" t="s">
        <v>175</v>
      </c>
      <c r="L588" s="29" t="s">
        <v>175</v>
      </c>
      <c r="M588" s="29" t="s">
        <v>175</v>
      </c>
    </row>
    <row r="589">
      <c r="A589" s="76"/>
      <c r="B589" s="181"/>
      <c r="E589" s="76"/>
      <c r="G589" s="182"/>
      <c r="K589" s="29" t="s">
        <v>175</v>
      </c>
      <c r="L589" s="29" t="s">
        <v>175</v>
      </c>
      <c r="M589" s="29" t="s">
        <v>175</v>
      </c>
    </row>
    <row r="590">
      <c r="A590" s="76"/>
      <c r="B590" s="181"/>
      <c r="E590" s="76"/>
      <c r="G590" s="182"/>
      <c r="K590" s="29" t="s">
        <v>175</v>
      </c>
      <c r="L590" s="29" t="s">
        <v>175</v>
      </c>
      <c r="M590" s="29" t="s">
        <v>175</v>
      </c>
    </row>
    <row r="591">
      <c r="A591" s="76"/>
      <c r="B591" s="181"/>
      <c r="E591" s="76"/>
      <c r="G591" s="182"/>
      <c r="K591" s="29" t="s">
        <v>175</v>
      </c>
      <c r="L591" s="29" t="s">
        <v>175</v>
      </c>
      <c r="M591" s="29" t="s">
        <v>175</v>
      </c>
    </row>
    <row r="592">
      <c r="A592" s="76"/>
      <c r="B592" s="181"/>
      <c r="E592" s="76"/>
      <c r="G592" s="182"/>
      <c r="K592" s="29" t="s">
        <v>175</v>
      </c>
      <c r="L592" s="29" t="s">
        <v>175</v>
      </c>
      <c r="M592" s="29" t="s">
        <v>175</v>
      </c>
    </row>
    <row r="593">
      <c r="A593" s="76"/>
      <c r="B593" s="181"/>
      <c r="E593" s="76"/>
      <c r="G593" s="182"/>
      <c r="K593" s="29" t="s">
        <v>175</v>
      </c>
      <c r="L593" s="29" t="s">
        <v>175</v>
      </c>
      <c r="M593" s="29" t="s">
        <v>175</v>
      </c>
    </row>
    <row r="594">
      <c r="A594" s="76"/>
      <c r="B594" s="181"/>
      <c r="E594" s="76"/>
      <c r="G594" s="182"/>
      <c r="K594" s="29" t="s">
        <v>175</v>
      </c>
      <c r="L594" s="29" t="s">
        <v>175</v>
      </c>
      <c r="M594" s="29" t="s">
        <v>175</v>
      </c>
    </row>
    <row r="595">
      <c r="A595" s="76"/>
      <c r="B595" s="181"/>
      <c r="E595" s="76"/>
      <c r="G595" s="182"/>
      <c r="K595" s="29" t="s">
        <v>175</v>
      </c>
      <c r="L595" s="29" t="s">
        <v>175</v>
      </c>
      <c r="M595" s="29" t="s">
        <v>175</v>
      </c>
    </row>
    <row r="596">
      <c r="A596" s="76"/>
      <c r="B596" s="181"/>
      <c r="E596" s="76"/>
      <c r="G596" s="182"/>
      <c r="K596" s="29" t="s">
        <v>175</v>
      </c>
      <c r="L596" s="29" t="s">
        <v>175</v>
      </c>
      <c r="M596" s="29" t="s">
        <v>175</v>
      </c>
    </row>
    <row r="597">
      <c r="A597" s="76"/>
      <c r="B597" s="181"/>
      <c r="E597" s="76"/>
      <c r="G597" s="182"/>
      <c r="K597" s="29" t="s">
        <v>175</v>
      </c>
      <c r="L597" s="29" t="s">
        <v>175</v>
      </c>
      <c r="M597" s="29" t="s">
        <v>175</v>
      </c>
    </row>
    <row r="598">
      <c r="A598" s="76"/>
      <c r="B598" s="181"/>
      <c r="E598" s="76"/>
      <c r="G598" s="182"/>
      <c r="K598" s="29" t="s">
        <v>175</v>
      </c>
      <c r="L598" s="29" t="s">
        <v>175</v>
      </c>
      <c r="M598" s="29" t="s">
        <v>175</v>
      </c>
    </row>
    <row r="599">
      <c r="A599" s="76"/>
      <c r="B599" s="181"/>
      <c r="E599" s="76"/>
      <c r="G599" s="182"/>
      <c r="K599" s="29" t="s">
        <v>175</v>
      </c>
      <c r="L599" s="29" t="s">
        <v>175</v>
      </c>
      <c r="M599" s="29" t="s">
        <v>175</v>
      </c>
    </row>
    <row r="600">
      <c r="A600" s="76"/>
      <c r="B600" s="181"/>
      <c r="E600" s="76"/>
      <c r="G600" s="182"/>
      <c r="K600" s="29" t="s">
        <v>175</v>
      </c>
      <c r="L600" s="29" t="s">
        <v>175</v>
      </c>
      <c r="M600" s="29" t="s">
        <v>175</v>
      </c>
    </row>
    <row r="601">
      <c r="A601" s="76"/>
      <c r="B601" s="181"/>
      <c r="E601" s="76"/>
      <c r="G601" s="182"/>
      <c r="K601" s="29" t="s">
        <v>175</v>
      </c>
      <c r="L601" s="29" t="s">
        <v>175</v>
      </c>
      <c r="M601" s="29" t="s">
        <v>175</v>
      </c>
    </row>
    <row r="602">
      <c r="A602" s="76"/>
      <c r="B602" s="181"/>
      <c r="E602" s="76"/>
      <c r="G602" s="182"/>
      <c r="K602" s="29" t="s">
        <v>175</v>
      </c>
      <c r="L602" s="29" t="s">
        <v>175</v>
      </c>
      <c r="M602" s="29" t="s">
        <v>175</v>
      </c>
    </row>
    <row r="603">
      <c r="A603" s="76"/>
      <c r="B603" s="181"/>
      <c r="E603" s="76"/>
      <c r="G603" s="182"/>
      <c r="K603" s="29" t="s">
        <v>175</v>
      </c>
      <c r="L603" s="29" t="s">
        <v>175</v>
      </c>
      <c r="M603" s="29" t="s">
        <v>175</v>
      </c>
    </row>
    <row r="604">
      <c r="A604" s="76"/>
      <c r="B604" s="181"/>
      <c r="E604" s="76"/>
      <c r="G604" s="182"/>
      <c r="K604" s="29" t="s">
        <v>175</v>
      </c>
      <c r="L604" s="29" t="s">
        <v>175</v>
      </c>
      <c r="M604" s="29" t="s">
        <v>175</v>
      </c>
    </row>
    <row r="605">
      <c r="A605" s="76"/>
      <c r="B605" s="181"/>
      <c r="E605" s="76"/>
      <c r="G605" s="182"/>
      <c r="K605" s="29" t="s">
        <v>175</v>
      </c>
      <c r="L605" s="29" t="s">
        <v>175</v>
      </c>
      <c r="M605" s="29" t="s">
        <v>175</v>
      </c>
    </row>
    <row r="606">
      <c r="A606" s="76"/>
      <c r="B606" s="181"/>
      <c r="E606" s="76"/>
      <c r="G606" s="182"/>
      <c r="K606" s="29" t="s">
        <v>175</v>
      </c>
      <c r="L606" s="29" t="s">
        <v>175</v>
      </c>
      <c r="M606" s="29" t="s">
        <v>175</v>
      </c>
    </row>
    <row r="607">
      <c r="A607" s="76"/>
      <c r="B607" s="181"/>
      <c r="E607" s="76"/>
      <c r="G607" s="182"/>
      <c r="K607" s="29" t="s">
        <v>175</v>
      </c>
      <c r="L607" s="29" t="s">
        <v>175</v>
      </c>
      <c r="M607" s="29" t="s">
        <v>175</v>
      </c>
    </row>
    <row r="608">
      <c r="A608" s="76"/>
      <c r="B608" s="181"/>
      <c r="E608" s="76"/>
      <c r="G608" s="182"/>
      <c r="K608" s="29" t="s">
        <v>175</v>
      </c>
      <c r="L608" s="29" t="s">
        <v>175</v>
      </c>
      <c r="M608" s="29" t="s">
        <v>175</v>
      </c>
    </row>
    <row r="609">
      <c r="A609" s="76"/>
      <c r="B609" s="181"/>
      <c r="E609" s="76"/>
      <c r="G609" s="182"/>
      <c r="K609" s="29" t="s">
        <v>175</v>
      </c>
      <c r="L609" s="29" t="s">
        <v>175</v>
      </c>
      <c r="M609" s="29" t="s">
        <v>175</v>
      </c>
    </row>
    <row r="610">
      <c r="A610" s="76"/>
      <c r="B610" s="181"/>
      <c r="E610" s="76"/>
      <c r="G610" s="182"/>
      <c r="K610" s="29" t="s">
        <v>175</v>
      </c>
      <c r="L610" s="29" t="s">
        <v>175</v>
      </c>
      <c r="M610" s="29" t="s">
        <v>175</v>
      </c>
    </row>
    <row r="611">
      <c r="A611" s="76"/>
      <c r="B611" s="181"/>
      <c r="E611" s="76"/>
      <c r="G611" s="182"/>
      <c r="K611" s="29" t="s">
        <v>175</v>
      </c>
      <c r="L611" s="29" t="s">
        <v>175</v>
      </c>
      <c r="M611" s="29" t="s">
        <v>175</v>
      </c>
    </row>
    <row r="612">
      <c r="A612" s="76"/>
      <c r="B612" s="181"/>
      <c r="E612" s="76"/>
      <c r="G612" s="182"/>
      <c r="K612" s="29" t="s">
        <v>175</v>
      </c>
      <c r="L612" s="29" t="s">
        <v>175</v>
      </c>
      <c r="M612" s="29" t="s">
        <v>175</v>
      </c>
    </row>
    <row r="613">
      <c r="A613" s="76"/>
      <c r="B613" s="181"/>
      <c r="E613" s="76"/>
      <c r="G613" s="182"/>
      <c r="K613" s="29" t="s">
        <v>175</v>
      </c>
      <c r="L613" s="29" t="s">
        <v>175</v>
      </c>
      <c r="M613" s="29" t="s">
        <v>175</v>
      </c>
    </row>
    <row r="614">
      <c r="A614" s="76"/>
      <c r="B614" s="181"/>
      <c r="E614" s="76"/>
      <c r="G614" s="182"/>
      <c r="K614" s="29" t="s">
        <v>175</v>
      </c>
      <c r="L614" s="29" t="s">
        <v>175</v>
      </c>
      <c r="M614" s="29" t="s">
        <v>175</v>
      </c>
    </row>
    <row r="615">
      <c r="A615" s="76"/>
      <c r="B615" s="181"/>
      <c r="E615" s="76"/>
      <c r="G615" s="182"/>
      <c r="K615" s="29" t="s">
        <v>175</v>
      </c>
      <c r="L615" s="29" t="s">
        <v>175</v>
      </c>
      <c r="M615" s="29" t="s">
        <v>175</v>
      </c>
    </row>
    <row r="616">
      <c r="A616" s="76"/>
      <c r="B616" s="181"/>
      <c r="E616" s="76"/>
      <c r="G616" s="182"/>
      <c r="K616" s="29" t="s">
        <v>175</v>
      </c>
      <c r="L616" s="29" t="s">
        <v>175</v>
      </c>
      <c r="M616" s="29" t="s">
        <v>175</v>
      </c>
    </row>
    <row r="617">
      <c r="A617" s="76"/>
      <c r="B617" s="181"/>
      <c r="E617" s="76"/>
      <c r="G617" s="182"/>
      <c r="K617" s="29" t="s">
        <v>175</v>
      </c>
      <c r="L617" s="29" t="s">
        <v>175</v>
      </c>
      <c r="M617" s="29" t="s">
        <v>175</v>
      </c>
    </row>
    <row r="618">
      <c r="A618" s="76"/>
      <c r="B618" s="181"/>
      <c r="E618" s="76"/>
      <c r="G618" s="182"/>
      <c r="K618" s="29" t="s">
        <v>175</v>
      </c>
      <c r="L618" s="29" t="s">
        <v>175</v>
      </c>
      <c r="M618" s="29" t="s">
        <v>175</v>
      </c>
    </row>
    <row r="619">
      <c r="A619" s="76"/>
      <c r="B619" s="181"/>
      <c r="E619" s="76"/>
      <c r="G619" s="182"/>
      <c r="K619" s="29" t="s">
        <v>175</v>
      </c>
      <c r="L619" s="29" t="s">
        <v>175</v>
      </c>
      <c r="M619" s="29" t="s">
        <v>175</v>
      </c>
    </row>
    <row r="620">
      <c r="A620" s="76"/>
      <c r="B620" s="181"/>
      <c r="E620" s="76"/>
      <c r="G620" s="182"/>
      <c r="K620" s="29" t="s">
        <v>175</v>
      </c>
      <c r="L620" s="29" t="s">
        <v>175</v>
      </c>
      <c r="M620" s="29" t="s">
        <v>175</v>
      </c>
    </row>
    <row r="621">
      <c r="A621" s="76"/>
      <c r="B621" s="181"/>
      <c r="E621" s="76"/>
      <c r="G621" s="182"/>
      <c r="K621" s="29" t="s">
        <v>175</v>
      </c>
      <c r="L621" s="29" t="s">
        <v>175</v>
      </c>
      <c r="M621" s="29" t="s">
        <v>175</v>
      </c>
    </row>
    <row r="622">
      <c r="A622" s="76"/>
      <c r="B622" s="181"/>
      <c r="E622" s="76"/>
      <c r="G622" s="182"/>
      <c r="K622" s="29" t="s">
        <v>175</v>
      </c>
      <c r="L622" s="29" t="s">
        <v>175</v>
      </c>
      <c r="M622" s="29" t="s">
        <v>175</v>
      </c>
    </row>
    <row r="623">
      <c r="A623" s="76"/>
      <c r="B623" s="181"/>
      <c r="E623" s="76"/>
      <c r="G623" s="182"/>
      <c r="K623" s="29" t="s">
        <v>175</v>
      </c>
      <c r="L623" s="29" t="s">
        <v>175</v>
      </c>
      <c r="M623" s="29" t="s">
        <v>175</v>
      </c>
    </row>
    <row r="624">
      <c r="A624" s="76"/>
      <c r="B624" s="181"/>
      <c r="E624" s="76"/>
      <c r="G624" s="182"/>
      <c r="K624" s="29" t="s">
        <v>175</v>
      </c>
      <c r="L624" s="29" t="s">
        <v>175</v>
      </c>
      <c r="M624" s="29" t="s">
        <v>175</v>
      </c>
    </row>
    <row r="625">
      <c r="A625" s="76"/>
      <c r="B625" s="181"/>
      <c r="E625" s="76"/>
      <c r="G625" s="182"/>
      <c r="K625" s="29" t="s">
        <v>175</v>
      </c>
      <c r="L625" s="29" t="s">
        <v>175</v>
      </c>
      <c r="M625" s="29" t="s">
        <v>175</v>
      </c>
    </row>
    <row r="626">
      <c r="A626" s="76"/>
      <c r="B626" s="181"/>
      <c r="E626" s="76"/>
      <c r="G626" s="182"/>
      <c r="K626" s="29" t="s">
        <v>175</v>
      </c>
      <c r="L626" s="29" t="s">
        <v>175</v>
      </c>
      <c r="M626" s="29" t="s">
        <v>175</v>
      </c>
    </row>
    <row r="627">
      <c r="A627" s="76"/>
      <c r="B627" s="181"/>
      <c r="E627" s="76"/>
      <c r="G627" s="182"/>
      <c r="K627" s="29" t="s">
        <v>175</v>
      </c>
      <c r="L627" s="29" t="s">
        <v>175</v>
      </c>
      <c r="M627" s="29" t="s">
        <v>175</v>
      </c>
    </row>
    <row r="628">
      <c r="A628" s="76"/>
      <c r="B628" s="181"/>
      <c r="E628" s="76"/>
      <c r="G628" s="182"/>
      <c r="K628" s="29" t="s">
        <v>175</v>
      </c>
      <c r="L628" s="29" t="s">
        <v>175</v>
      </c>
      <c r="M628" s="29" t="s">
        <v>175</v>
      </c>
    </row>
    <row r="629">
      <c r="A629" s="76"/>
      <c r="B629" s="181"/>
      <c r="E629" s="76"/>
      <c r="G629" s="182"/>
      <c r="K629" s="29" t="s">
        <v>175</v>
      </c>
      <c r="L629" s="29" t="s">
        <v>175</v>
      </c>
      <c r="M629" s="29" t="s">
        <v>175</v>
      </c>
    </row>
    <row r="630">
      <c r="A630" s="76"/>
      <c r="B630" s="181"/>
      <c r="E630" s="76"/>
      <c r="G630" s="182"/>
      <c r="K630" s="29" t="s">
        <v>175</v>
      </c>
      <c r="L630" s="29" t="s">
        <v>175</v>
      </c>
      <c r="M630" s="29" t="s">
        <v>175</v>
      </c>
    </row>
    <row r="631">
      <c r="A631" s="76"/>
      <c r="B631" s="181"/>
      <c r="E631" s="76"/>
      <c r="G631" s="182"/>
      <c r="K631" s="29" t="s">
        <v>175</v>
      </c>
      <c r="L631" s="29" t="s">
        <v>175</v>
      </c>
      <c r="M631" s="29" t="s">
        <v>175</v>
      </c>
    </row>
    <row r="632">
      <c r="A632" s="76"/>
      <c r="B632" s="181"/>
      <c r="E632" s="76"/>
      <c r="G632" s="182"/>
      <c r="K632" s="29" t="s">
        <v>175</v>
      </c>
      <c r="L632" s="29" t="s">
        <v>175</v>
      </c>
      <c r="M632" s="29" t="s">
        <v>175</v>
      </c>
    </row>
    <row r="633">
      <c r="A633" s="76"/>
      <c r="B633" s="181"/>
      <c r="E633" s="76"/>
      <c r="G633" s="182"/>
      <c r="K633" s="29" t="s">
        <v>175</v>
      </c>
      <c r="L633" s="29" t="s">
        <v>175</v>
      </c>
      <c r="M633" s="29" t="s">
        <v>175</v>
      </c>
    </row>
    <row r="634">
      <c r="A634" s="76"/>
      <c r="B634" s="181"/>
      <c r="E634" s="76"/>
      <c r="G634" s="182"/>
      <c r="K634" s="29" t="s">
        <v>175</v>
      </c>
      <c r="L634" s="29" t="s">
        <v>175</v>
      </c>
      <c r="M634" s="29" t="s">
        <v>175</v>
      </c>
    </row>
    <row r="635">
      <c r="A635" s="76"/>
      <c r="B635" s="181"/>
      <c r="E635" s="76"/>
      <c r="G635" s="182"/>
      <c r="K635" s="29" t="s">
        <v>175</v>
      </c>
      <c r="L635" s="29" t="s">
        <v>175</v>
      </c>
      <c r="M635" s="29" t="s">
        <v>175</v>
      </c>
    </row>
    <row r="636">
      <c r="A636" s="76"/>
      <c r="B636" s="181"/>
      <c r="E636" s="76"/>
      <c r="G636" s="182"/>
      <c r="K636" s="29" t="s">
        <v>175</v>
      </c>
      <c r="L636" s="29" t="s">
        <v>175</v>
      </c>
      <c r="M636" s="29" t="s">
        <v>175</v>
      </c>
    </row>
    <row r="637">
      <c r="A637" s="76"/>
      <c r="B637" s="181"/>
      <c r="E637" s="76"/>
      <c r="G637" s="182"/>
      <c r="K637" s="29" t="s">
        <v>175</v>
      </c>
      <c r="L637" s="29" t="s">
        <v>175</v>
      </c>
      <c r="M637" s="29" t="s">
        <v>175</v>
      </c>
    </row>
    <row r="638">
      <c r="A638" s="76"/>
      <c r="B638" s="181"/>
      <c r="E638" s="76"/>
      <c r="G638" s="182"/>
      <c r="K638" s="29" t="s">
        <v>175</v>
      </c>
      <c r="L638" s="29" t="s">
        <v>175</v>
      </c>
      <c r="M638" s="29" t="s">
        <v>175</v>
      </c>
    </row>
    <row r="639">
      <c r="A639" s="76"/>
      <c r="B639" s="181"/>
      <c r="E639" s="76"/>
      <c r="G639" s="182"/>
      <c r="K639" s="29" t="s">
        <v>175</v>
      </c>
      <c r="L639" s="29" t="s">
        <v>175</v>
      </c>
      <c r="M639" s="29" t="s">
        <v>175</v>
      </c>
    </row>
    <row r="640">
      <c r="A640" s="76"/>
      <c r="B640" s="181"/>
      <c r="E640" s="76"/>
      <c r="G640" s="182"/>
      <c r="K640" s="29" t="s">
        <v>175</v>
      </c>
      <c r="L640" s="29" t="s">
        <v>175</v>
      </c>
      <c r="M640" s="29" t="s">
        <v>175</v>
      </c>
    </row>
    <row r="641">
      <c r="A641" s="76"/>
      <c r="B641" s="181"/>
      <c r="E641" s="76"/>
      <c r="G641" s="182"/>
      <c r="K641" s="29" t="s">
        <v>175</v>
      </c>
      <c r="L641" s="29" t="s">
        <v>175</v>
      </c>
      <c r="M641" s="29" t="s">
        <v>175</v>
      </c>
    </row>
    <row r="642">
      <c r="A642" s="76"/>
      <c r="B642" s="181"/>
      <c r="E642" s="76"/>
      <c r="G642" s="182"/>
      <c r="K642" s="29" t="s">
        <v>175</v>
      </c>
      <c r="L642" s="29" t="s">
        <v>175</v>
      </c>
      <c r="M642" s="29" t="s">
        <v>175</v>
      </c>
    </row>
    <row r="643">
      <c r="A643" s="76"/>
      <c r="B643" s="181"/>
      <c r="E643" s="76"/>
      <c r="G643" s="182"/>
      <c r="K643" s="29" t="s">
        <v>175</v>
      </c>
      <c r="L643" s="29" t="s">
        <v>175</v>
      </c>
      <c r="M643" s="29" t="s">
        <v>175</v>
      </c>
    </row>
    <row r="644">
      <c r="A644" s="76"/>
      <c r="B644" s="181"/>
      <c r="E644" s="76"/>
      <c r="G644" s="182"/>
      <c r="K644" s="29" t="s">
        <v>175</v>
      </c>
      <c r="L644" s="29" t="s">
        <v>175</v>
      </c>
      <c r="M644" s="29" t="s">
        <v>175</v>
      </c>
    </row>
    <row r="645">
      <c r="A645" s="76"/>
      <c r="B645" s="181"/>
      <c r="E645" s="76"/>
      <c r="G645" s="182"/>
      <c r="K645" s="29" t="s">
        <v>175</v>
      </c>
      <c r="L645" s="29" t="s">
        <v>175</v>
      </c>
      <c r="M645" s="29" t="s">
        <v>175</v>
      </c>
    </row>
    <row r="646">
      <c r="A646" s="76"/>
      <c r="B646" s="181"/>
      <c r="E646" s="76"/>
      <c r="G646" s="182"/>
      <c r="K646" s="29" t="s">
        <v>175</v>
      </c>
      <c r="L646" s="29" t="s">
        <v>175</v>
      </c>
      <c r="M646" s="29" t="s">
        <v>175</v>
      </c>
    </row>
    <row r="647">
      <c r="A647" s="76"/>
      <c r="B647" s="181"/>
      <c r="E647" s="76"/>
      <c r="G647" s="182"/>
      <c r="K647" s="29" t="s">
        <v>175</v>
      </c>
      <c r="L647" s="29" t="s">
        <v>175</v>
      </c>
      <c r="M647" s="29" t="s">
        <v>175</v>
      </c>
    </row>
    <row r="648">
      <c r="A648" s="76"/>
      <c r="B648" s="181"/>
      <c r="E648" s="76"/>
      <c r="G648" s="182"/>
      <c r="K648" s="29" t="s">
        <v>175</v>
      </c>
      <c r="L648" s="29" t="s">
        <v>175</v>
      </c>
      <c r="M648" s="29" t="s">
        <v>175</v>
      </c>
    </row>
    <row r="649">
      <c r="A649" s="76"/>
      <c r="B649" s="181"/>
      <c r="E649" s="76"/>
      <c r="G649" s="182"/>
      <c r="K649" s="29" t="s">
        <v>175</v>
      </c>
      <c r="L649" s="29" t="s">
        <v>175</v>
      </c>
      <c r="M649" s="29" t="s">
        <v>175</v>
      </c>
    </row>
    <row r="650">
      <c r="A650" s="76"/>
      <c r="B650" s="181"/>
      <c r="E650" s="76"/>
      <c r="G650" s="182"/>
      <c r="K650" s="29" t="s">
        <v>175</v>
      </c>
      <c r="L650" s="29" t="s">
        <v>175</v>
      </c>
      <c r="M650" s="29" t="s">
        <v>175</v>
      </c>
    </row>
    <row r="651">
      <c r="A651" s="76"/>
      <c r="B651" s="181"/>
      <c r="E651" s="76"/>
      <c r="G651" s="182"/>
      <c r="K651" s="29" t="s">
        <v>175</v>
      </c>
      <c r="L651" s="29" t="s">
        <v>175</v>
      </c>
      <c r="M651" s="29" t="s">
        <v>175</v>
      </c>
    </row>
    <row r="652">
      <c r="A652" s="76"/>
      <c r="B652" s="181"/>
      <c r="E652" s="76"/>
      <c r="G652" s="182"/>
      <c r="K652" s="29" t="s">
        <v>175</v>
      </c>
      <c r="L652" s="29" t="s">
        <v>175</v>
      </c>
      <c r="M652" s="29" t="s">
        <v>175</v>
      </c>
    </row>
    <row r="653">
      <c r="A653" s="76"/>
      <c r="B653" s="181"/>
      <c r="E653" s="76"/>
      <c r="G653" s="182"/>
      <c r="K653" s="29" t="s">
        <v>175</v>
      </c>
      <c r="L653" s="29" t="s">
        <v>175</v>
      </c>
      <c r="M653" s="29" t="s">
        <v>175</v>
      </c>
    </row>
    <row r="654">
      <c r="A654" s="76"/>
      <c r="B654" s="181"/>
      <c r="E654" s="76"/>
      <c r="G654" s="182"/>
      <c r="K654" s="29" t="s">
        <v>175</v>
      </c>
      <c r="L654" s="29" t="s">
        <v>175</v>
      </c>
      <c r="M654" s="29" t="s">
        <v>175</v>
      </c>
    </row>
    <row r="655">
      <c r="A655" s="76"/>
      <c r="B655" s="181"/>
      <c r="E655" s="76"/>
      <c r="G655" s="182"/>
      <c r="K655" s="29" t="s">
        <v>175</v>
      </c>
      <c r="L655" s="29" t="s">
        <v>175</v>
      </c>
      <c r="M655" s="29" t="s">
        <v>175</v>
      </c>
    </row>
    <row r="656">
      <c r="A656" s="76"/>
      <c r="B656" s="181"/>
      <c r="E656" s="76"/>
      <c r="G656" s="182"/>
      <c r="K656" s="29" t="s">
        <v>175</v>
      </c>
      <c r="L656" s="29" t="s">
        <v>175</v>
      </c>
      <c r="M656" s="29" t="s">
        <v>175</v>
      </c>
    </row>
    <row r="657">
      <c r="A657" s="76"/>
      <c r="B657" s="181"/>
      <c r="E657" s="76"/>
      <c r="G657" s="182"/>
      <c r="K657" s="29" t="s">
        <v>175</v>
      </c>
      <c r="L657" s="29" t="s">
        <v>175</v>
      </c>
      <c r="M657" s="29" t="s">
        <v>175</v>
      </c>
    </row>
    <row r="658">
      <c r="A658" s="76"/>
      <c r="B658" s="181"/>
      <c r="E658" s="76"/>
      <c r="G658" s="182"/>
      <c r="K658" s="29" t="s">
        <v>175</v>
      </c>
      <c r="L658" s="29" t="s">
        <v>175</v>
      </c>
      <c r="M658" s="29" t="s">
        <v>175</v>
      </c>
    </row>
    <row r="659">
      <c r="A659" s="76"/>
      <c r="B659" s="181"/>
      <c r="E659" s="76"/>
      <c r="G659" s="182"/>
      <c r="K659" s="29" t="s">
        <v>175</v>
      </c>
      <c r="L659" s="29" t="s">
        <v>175</v>
      </c>
      <c r="M659" s="29" t="s">
        <v>175</v>
      </c>
    </row>
    <row r="660">
      <c r="A660" s="76"/>
      <c r="B660" s="181"/>
      <c r="E660" s="76"/>
      <c r="G660" s="182"/>
      <c r="K660" s="29" t="s">
        <v>175</v>
      </c>
      <c r="L660" s="29" t="s">
        <v>175</v>
      </c>
      <c r="M660" s="29" t="s">
        <v>175</v>
      </c>
    </row>
    <row r="661">
      <c r="A661" s="76"/>
      <c r="B661" s="181"/>
      <c r="E661" s="76"/>
      <c r="G661" s="182"/>
      <c r="K661" s="29" t="s">
        <v>175</v>
      </c>
      <c r="L661" s="29" t="s">
        <v>175</v>
      </c>
      <c r="M661" s="29" t="s">
        <v>175</v>
      </c>
    </row>
    <row r="662">
      <c r="A662" s="76"/>
      <c r="B662" s="181"/>
      <c r="E662" s="76"/>
      <c r="G662" s="182"/>
      <c r="K662" s="29" t="s">
        <v>175</v>
      </c>
      <c r="L662" s="29" t="s">
        <v>175</v>
      </c>
      <c r="M662" s="29" t="s">
        <v>175</v>
      </c>
    </row>
    <row r="663">
      <c r="A663" s="76"/>
      <c r="B663" s="181"/>
      <c r="E663" s="76"/>
      <c r="G663" s="182"/>
      <c r="K663" s="29" t="s">
        <v>175</v>
      </c>
      <c r="L663" s="29" t="s">
        <v>175</v>
      </c>
      <c r="M663" s="29" t="s">
        <v>175</v>
      </c>
    </row>
    <row r="664">
      <c r="A664" s="76"/>
      <c r="B664" s="181"/>
      <c r="E664" s="76"/>
      <c r="G664" s="182"/>
      <c r="K664" s="29" t="s">
        <v>175</v>
      </c>
      <c r="L664" s="29" t="s">
        <v>175</v>
      </c>
      <c r="M664" s="29" t="s">
        <v>175</v>
      </c>
    </row>
    <row r="665">
      <c r="A665" s="76"/>
      <c r="B665" s="181"/>
      <c r="E665" s="76"/>
      <c r="G665" s="182"/>
      <c r="K665" s="29" t="s">
        <v>175</v>
      </c>
      <c r="L665" s="29" t="s">
        <v>175</v>
      </c>
      <c r="M665" s="29" t="s">
        <v>175</v>
      </c>
    </row>
    <row r="666">
      <c r="A666" s="76"/>
      <c r="B666" s="181"/>
      <c r="E666" s="76"/>
      <c r="G666" s="182"/>
      <c r="K666" s="29" t="s">
        <v>175</v>
      </c>
      <c r="L666" s="29" t="s">
        <v>175</v>
      </c>
      <c r="M666" s="29" t="s">
        <v>175</v>
      </c>
    </row>
    <row r="667">
      <c r="A667" s="76"/>
      <c r="B667" s="181"/>
      <c r="E667" s="76"/>
      <c r="G667" s="182"/>
      <c r="K667" s="29" t="s">
        <v>175</v>
      </c>
      <c r="L667" s="29" t="s">
        <v>175</v>
      </c>
      <c r="M667" s="29" t="s">
        <v>175</v>
      </c>
    </row>
    <row r="668">
      <c r="A668" s="76"/>
      <c r="B668" s="181"/>
      <c r="E668" s="76"/>
      <c r="G668" s="182"/>
      <c r="K668" s="29" t="s">
        <v>175</v>
      </c>
      <c r="L668" s="29" t="s">
        <v>175</v>
      </c>
      <c r="M668" s="29" t="s">
        <v>175</v>
      </c>
    </row>
    <row r="669">
      <c r="A669" s="76"/>
      <c r="B669" s="181"/>
      <c r="E669" s="76"/>
      <c r="G669" s="182"/>
      <c r="K669" s="29" t="s">
        <v>175</v>
      </c>
      <c r="L669" s="29" t="s">
        <v>175</v>
      </c>
      <c r="M669" s="29" t="s">
        <v>175</v>
      </c>
    </row>
    <row r="670">
      <c r="A670" s="76"/>
      <c r="B670" s="181"/>
      <c r="E670" s="76"/>
      <c r="G670" s="182"/>
      <c r="K670" s="29" t="s">
        <v>175</v>
      </c>
      <c r="L670" s="29" t="s">
        <v>175</v>
      </c>
      <c r="M670" s="29" t="s">
        <v>175</v>
      </c>
    </row>
    <row r="671">
      <c r="A671" s="76"/>
      <c r="B671" s="181"/>
      <c r="E671" s="76"/>
      <c r="G671" s="182"/>
      <c r="K671" s="29" t="s">
        <v>175</v>
      </c>
      <c r="L671" s="29" t="s">
        <v>175</v>
      </c>
      <c r="M671" s="29" t="s">
        <v>175</v>
      </c>
    </row>
    <row r="672">
      <c r="A672" s="76"/>
      <c r="B672" s="181"/>
      <c r="E672" s="76"/>
      <c r="G672" s="182"/>
      <c r="K672" s="29" t="s">
        <v>175</v>
      </c>
      <c r="L672" s="29" t="s">
        <v>175</v>
      </c>
      <c r="M672" s="29" t="s">
        <v>175</v>
      </c>
    </row>
    <row r="673">
      <c r="A673" s="76"/>
      <c r="B673" s="181"/>
      <c r="E673" s="76"/>
      <c r="G673" s="182"/>
      <c r="K673" s="29" t="s">
        <v>175</v>
      </c>
      <c r="L673" s="29" t="s">
        <v>175</v>
      </c>
      <c r="M673" s="29" t="s">
        <v>175</v>
      </c>
    </row>
    <row r="674">
      <c r="A674" s="76"/>
      <c r="B674" s="181"/>
      <c r="E674" s="76"/>
      <c r="G674" s="182"/>
      <c r="K674" s="29" t="s">
        <v>175</v>
      </c>
      <c r="L674" s="29" t="s">
        <v>175</v>
      </c>
      <c r="M674" s="29" t="s">
        <v>175</v>
      </c>
    </row>
    <row r="675">
      <c r="A675" s="76"/>
      <c r="B675" s="181"/>
      <c r="E675" s="76"/>
      <c r="G675" s="182"/>
      <c r="K675" s="29" t="s">
        <v>175</v>
      </c>
      <c r="L675" s="29" t="s">
        <v>175</v>
      </c>
      <c r="M675" s="29" t="s">
        <v>175</v>
      </c>
    </row>
    <row r="676">
      <c r="A676" s="76"/>
      <c r="B676" s="181"/>
      <c r="E676" s="76"/>
      <c r="G676" s="182"/>
      <c r="K676" s="29" t="s">
        <v>175</v>
      </c>
      <c r="L676" s="29" t="s">
        <v>175</v>
      </c>
      <c r="M676" s="29" t="s">
        <v>175</v>
      </c>
    </row>
    <row r="677">
      <c r="A677" s="76"/>
      <c r="B677" s="181"/>
      <c r="E677" s="76"/>
      <c r="G677" s="182"/>
      <c r="K677" s="29" t="s">
        <v>175</v>
      </c>
      <c r="L677" s="29" t="s">
        <v>175</v>
      </c>
      <c r="M677" s="29" t="s">
        <v>175</v>
      </c>
    </row>
    <row r="678">
      <c r="A678" s="76"/>
      <c r="B678" s="181"/>
      <c r="E678" s="76"/>
      <c r="G678" s="182"/>
      <c r="K678" s="29" t="s">
        <v>175</v>
      </c>
      <c r="L678" s="29" t="s">
        <v>175</v>
      </c>
      <c r="M678" s="29" t="s">
        <v>175</v>
      </c>
    </row>
    <row r="679">
      <c r="A679" s="76"/>
      <c r="B679" s="181"/>
      <c r="E679" s="76"/>
      <c r="G679" s="182"/>
      <c r="K679" s="29" t="s">
        <v>175</v>
      </c>
      <c r="L679" s="29" t="s">
        <v>175</v>
      </c>
      <c r="M679" s="29" t="s">
        <v>175</v>
      </c>
    </row>
    <row r="680">
      <c r="A680" s="76"/>
      <c r="B680" s="181"/>
      <c r="E680" s="76"/>
      <c r="G680" s="182"/>
      <c r="K680" s="29" t="s">
        <v>175</v>
      </c>
      <c r="L680" s="29" t="s">
        <v>175</v>
      </c>
      <c r="M680" s="29" t="s">
        <v>175</v>
      </c>
    </row>
    <row r="681">
      <c r="A681" s="76"/>
      <c r="B681" s="181"/>
      <c r="E681" s="76"/>
      <c r="G681" s="182"/>
      <c r="K681" s="29" t="s">
        <v>175</v>
      </c>
      <c r="L681" s="29" t="s">
        <v>175</v>
      </c>
      <c r="M681" s="29" t="s">
        <v>175</v>
      </c>
    </row>
    <row r="682">
      <c r="A682" s="76"/>
      <c r="B682" s="181"/>
      <c r="E682" s="76"/>
      <c r="G682" s="182"/>
      <c r="K682" s="29" t="s">
        <v>175</v>
      </c>
      <c r="L682" s="29" t="s">
        <v>175</v>
      </c>
      <c r="M682" s="29" t="s">
        <v>175</v>
      </c>
    </row>
    <row r="683">
      <c r="A683" s="76"/>
      <c r="B683" s="181"/>
      <c r="E683" s="76"/>
      <c r="G683" s="182"/>
      <c r="K683" s="29" t="s">
        <v>175</v>
      </c>
      <c r="L683" s="29" t="s">
        <v>175</v>
      </c>
      <c r="M683" s="29" t="s">
        <v>175</v>
      </c>
    </row>
    <row r="684">
      <c r="A684" s="76"/>
      <c r="B684" s="181"/>
      <c r="E684" s="76"/>
      <c r="G684" s="182"/>
      <c r="K684" s="29" t="s">
        <v>175</v>
      </c>
      <c r="L684" s="29" t="s">
        <v>175</v>
      </c>
      <c r="M684" s="29" t="s">
        <v>175</v>
      </c>
    </row>
    <row r="685">
      <c r="A685" s="76"/>
      <c r="B685" s="181"/>
      <c r="E685" s="76"/>
      <c r="G685" s="182"/>
      <c r="K685" s="29" t="s">
        <v>175</v>
      </c>
      <c r="L685" s="29" t="s">
        <v>175</v>
      </c>
      <c r="M685" s="29" t="s">
        <v>175</v>
      </c>
    </row>
    <row r="686">
      <c r="A686" s="76"/>
      <c r="B686" s="181"/>
      <c r="E686" s="76"/>
      <c r="G686" s="182"/>
      <c r="K686" s="29" t="s">
        <v>175</v>
      </c>
      <c r="L686" s="29" t="s">
        <v>175</v>
      </c>
      <c r="M686" s="29" t="s">
        <v>175</v>
      </c>
    </row>
    <row r="687">
      <c r="A687" s="76"/>
      <c r="B687" s="181"/>
      <c r="E687" s="76"/>
      <c r="G687" s="182"/>
      <c r="K687" s="29" t="s">
        <v>175</v>
      </c>
      <c r="L687" s="29" t="s">
        <v>175</v>
      </c>
      <c r="M687" s="29" t="s">
        <v>175</v>
      </c>
    </row>
    <row r="688">
      <c r="A688" s="76"/>
      <c r="B688" s="181"/>
      <c r="E688" s="76"/>
      <c r="G688" s="182"/>
      <c r="K688" s="29" t="s">
        <v>175</v>
      </c>
      <c r="L688" s="29" t="s">
        <v>175</v>
      </c>
      <c r="M688" s="29" t="s">
        <v>175</v>
      </c>
    </row>
    <row r="689">
      <c r="A689" s="76"/>
      <c r="B689" s="181"/>
      <c r="E689" s="76"/>
      <c r="G689" s="182"/>
      <c r="K689" s="29" t="s">
        <v>175</v>
      </c>
      <c r="L689" s="29" t="s">
        <v>175</v>
      </c>
      <c r="M689" s="29" t="s">
        <v>175</v>
      </c>
    </row>
    <row r="690">
      <c r="A690" s="76"/>
      <c r="B690" s="181"/>
      <c r="E690" s="76"/>
      <c r="G690" s="182"/>
      <c r="K690" s="29" t="s">
        <v>175</v>
      </c>
      <c r="L690" s="29" t="s">
        <v>175</v>
      </c>
      <c r="M690" s="29" t="s">
        <v>175</v>
      </c>
    </row>
    <row r="691">
      <c r="A691" s="76"/>
      <c r="B691" s="181"/>
      <c r="E691" s="76"/>
      <c r="G691" s="182"/>
      <c r="K691" s="29" t="s">
        <v>175</v>
      </c>
      <c r="L691" s="29" t="s">
        <v>175</v>
      </c>
      <c r="M691" s="29" t="s">
        <v>175</v>
      </c>
    </row>
    <row r="692">
      <c r="A692" s="76"/>
      <c r="B692" s="181"/>
      <c r="E692" s="76"/>
      <c r="G692" s="182"/>
      <c r="K692" s="29" t="s">
        <v>175</v>
      </c>
      <c r="L692" s="29" t="s">
        <v>175</v>
      </c>
      <c r="M692" s="29" t="s">
        <v>175</v>
      </c>
    </row>
    <row r="693">
      <c r="A693" s="76"/>
      <c r="B693" s="181"/>
      <c r="E693" s="76"/>
      <c r="G693" s="182"/>
      <c r="K693" s="29" t="s">
        <v>175</v>
      </c>
      <c r="L693" s="29" t="s">
        <v>175</v>
      </c>
      <c r="M693" s="29" t="s">
        <v>175</v>
      </c>
    </row>
    <row r="694">
      <c r="A694" s="76"/>
      <c r="B694" s="181"/>
      <c r="E694" s="76"/>
      <c r="G694" s="182"/>
      <c r="K694" s="29" t="s">
        <v>175</v>
      </c>
      <c r="L694" s="29" t="s">
        <v>175</v>
      </c>
      <c r="M694" s="29" t="s">
        <v>175</v>
      </c>
    </row>
    <row r="695">
      <c r="A695" s="76"/>
      <c r="B695" s="181"/>
      <c r="E695" s="76"/>
      <c r="G695" s="182"/>
      <c r="K695" s="29" t="s">
        <v>175</v>
      </c>
      <c r="L695" s="29" t="s">
        <v>175</v>
      </c>
      <c r="M695" s="29" t="s">
        <v>175</v>
      </c>
    </row>
    <row r="696">
      <c r="A696" s="76"/>
      <c r="B696" s="181"/>
      <c r="E696" s="76"/>
      <c r="G696" s="182"/>
      <c r="K696" s="29" t="s">
        <v>175</v>
      </c>
      <c r="L696" s="29" t="s">
        <v>175</v>
      </c>
      <c r="M696" s="29" t="s">
        <v>175</v>
      </c>
    </row>
    <row r="697">
      <c r="A697" s="76"/>
      <c r="B697" s="181"/>
      <c r="E697" s="76"/>
      <c r="G697" s="182"/>
      <c r="K697" s="29" t="s">
        <v>175</v>
      </c>
      <c r="L697" s="29" t="s">
        <v>175</v>
      </c>
      <c r="M697" s="29" t="s">
        <v>175</v>
      </c>
    </row>
    <row r="698">
      <c r="A698" s="76"/>
      <c r="B698" s="181"/>
      <c r="E698" s="76"/>
      <c r="G698" s="182"/>
      <c r="K698" s="29" t="s">
        <v>175</v>
      </c>
      <c r="L698" s="29" t="s">
        <v>175</v>
      </c>
      <c r="M698" s="29" t="s">
        <v>175</v>
      </c>
    </row>
    <row r="699">
      <c r="A699" s="76"/>
      <c r="B699" s="181"/>
      <c r="E699" s="76"/>
      <c r="G699" s="182"/>
      <c r="K699" s="29" t="s">
        <v>175</v>
      </c>
      <c r="L699" s="29" t="s">
        <v>175</v>
      </c>
      <c r="M699" s="29" t="s">
        <v>175</v>
      </c>
    </row>
    <row r="700">
      <c r="A700" s="76"/>
      <c r="B700" s="181"/>
      <c r="E700" s="76"/>
      <c r="G700" s="182"/>
      <c r="K700" s="29" t="s">
        <v>175</v>
      </c>
      <c r="L700" s="29" t="s">
        <v>175</v>
      </c>
      <c r="M700" s="29" t="s">
        <v>175</v>
      </c>
    </row>
    <row r="701">
      <c r="A701" s="76"/>
      <c r="B701" s="181"/>
      <c r="E701" s="76"/>
      <c r="G701" s="182"/>
      <c r="K701" s="29" t="s">
        <v>175</v>
      </c>
      <c r="L701" s="29" t="s">
        <v>175</v>
      </c>
      <c r="M701" s="29" t="s">
        <v>175</v>
      </c>
    </row>
    <row r="702">
      <c r="A702" s="76"/>
      <c r="B702" s="181"/>
      <c r="E702" s="76"/>
      <c r="G702" s="182"/>
      <c r="K702" s="29" t="s">
        <v>175</v>
      </c>
      <c r="L702" s="29" t="s">
        <v>175</v>
      </c>
      <c r="M702" s="29" t="s">
        <v>175</v>
      </c>
    </row>
    <row r="703">
      <c r="A703" s="76"/>
      <c r="B703" s="181"/>
      <c r="E703" s="76"/>
      <c r="G703" s="182"/>
      <c r="K703" s="29" t="s">
        <v>175</v>
      </c>
      <c r="L703" s="29" t="s">
        <v>175</v>
      </c>
      <c r="M703" s="29" t="s">
        <v>175</v>
      </c>
    </row>
    <row r="704">
      <c r="A704" s="76"/>
      <c r="B704" s="181"/>
      <c r="E704" s="76"/>
      <c r="G704" s="182"/>
      <c r="K704" s="29" t="s">
        <v>175</v>
      </c>
      <c r="L704" s="29" t="s">
        <v>175</v>
      </c>
      <c r="M704" s="29" t="s">
        <v>175</v>
      </c>
    </row>
    <row r="705">
      <c r="A705" s="76"/>
      <c r="B705" s="181"/>
      <c r="E705" s="76"/>
      <c r="G705" s="182"/>
      <c r="K705" s="29" t="s">
        <v>175</v>
      </c>
      <c r="L705" s="29" t="s">
        <v>175</v>
      </c>
      <c r="M705" s="29" t="s">
        <v>175</v>
      </c>
    </row>
    <row r="706">
      <c r="A706" s="76"/>
      <c r="B706" s="181"/>
      <c r="E706" s="76"/>
      <c r="G706" s="182"/>
      <c r="K706" s="29" t="s">
        <v>175</v>
      </c>
      <c r="L706" s="29" t="s">
        <v>175</v>
      </c>
      <c r="M706" s="29" t="s">
        <v>175</v>
      </c>
    </row>
    <row r="707">
      <c r="A707" s="76"/>
      <c r="B707" s="181"/>
      <c r="E707" s="76"/>
      <c r="G707" s="182"/>
      <c r="K707" s="29" t="s">
        <v>175</v>
      </c>
      <c r="L707" s="29" t="s">
        <v>175</v>
      </c>
      <c r="M707" s="29" t="s">
        <v>175</v>
      </c>
    </row>
    <row r="708">
      <c r="A708" s="76"/>
      <c r="B708" s="181"/>
      <c r="E708" s="76"/>
      <c r="G708" s="182"/>
      <c r="K708" s="29" t="s">
        <v>175</v>
      </c>
      <c r="L708" s="29" t="s">
        <v>175</v>
      </c>
      <c r="M708" s="29" t="s">
        <v>175</v>
      </c>
    </row>
    <row r="709">
      <c r="A709" s="76"/>
      <c r="B709" s="181"/>
      <c r="E709" s="76"/>
      <c r="G709" s="182"/>
      <c r="K709" s="29" t="s">
        <v>175</v>
      </c>
      <c r="L709" s="29" t="s">
        <v>175</v>
      </c>
      <c r="M709" s="29" t="s">
        <v>175</v>
      </c>
    </row>
    <row r="710">
      <c r="A710" s="76"/>
      <c r="B710" s="181"/>
      <c r="E710" s="76"/>
      <c r="G710" s="182"/>
      <c r="K710" s="29" t="s">
        <v>175</v>
      </c>
      <c r="L710" s="29" t="s">
        <v>175</v>
      </c>
      <c r="M710" s="29" t="s">
        <v>175</v>
      </c>
    </row>
    <row r="711">
      <c r="A711" s="76"/>
      <c r="B711" s="181"/>
      <c r="E711" s="76"/>
      <c r="G711" s="182"/>
      <c r="K711" s="29" t="s">
        <v>175</v>
      </c>
      <c r="L711" s="29" t="s">
        <v>175</v>
      </c>
      <c r="M711" s="29" t="s">
        <v>175</v>
      </c>
    </row>
    <row r="712">
      <c r="A712" s="76"/>
      <c r="B712" s="181"/>
      <c r="E712" s="76"/>
      <c r="G712" s="182"/>
      <c r="K712" s="29" t="s">
        <v>175</v>
      </c>
      <c r="L712" s="29" t="s">
        <v>175</v>
      </c>
      <c r="M712" s="29" t="s">
        <v>175</v>
      </c>
    </row>
    <row r="713">
      <c r="A713" s="76"/>
      <c r="B713" s="181"/>
      <c r="E713" s="76"/>
      <c r="G713" s="182"/>
      <c r="K713" s="29" t="s">
        <v>175</v>
      </c>
      <c r="L713" s="29" t="s">
        <v>175</v>
      </c>
      <c r="M713" s="29" t="s">
        <v>175</v>
      </c>
    </row>
    <row r="714">
      <c r="A714" s="76"/>
      <c r="B714" s="181"/>
      <c r="E714" s="76"/>
      <c r="G714" s="182"/>
      <c r="K714" s="29" t="s">
        <v>175</v>
      </c>
      <c r="L714" s="29" t="s">
        <v>175</v>
      </c>
      <c r="M714" s="29" t="s">
        <v>175</v>
      </c>
    </row>
    <row r="715">
      <c r="A715" s="76"/>
      <c r="B715" s="181"/>
      <c r="E715" s="76"/>
      <c r="G715" s="182"/>
      <c r="K715" s="29" t="s">
        <v>175</v>
      </c>
      <c r="L715" s="29" t="s">
        <v>175</v>
      </c>
      <c r="M715" s="29" t="s">
        <v>175</v>
      </c>
    </row>
    <row r="716">
      <c r="A716" s="76"/>
      <c r="B716" s="181"/>
      <c r="E716" s="76"/>
      <c r="G716" s="182"/>
      <c r="K716" s="29" t="s">
        <v>175</v>
      </c>
      <c r="L716" s="29" t="s">
        <v>175</v>
      </c>
      <c r="M716" s="29" t="s">
        <v>175</v>
      </c>
    </row>
    <row r="717">
      <c r="A717" s="76"/>
      <c r="B717" s="181"/>
      <c r="E717" s="76"/>
      <c r="G717" s="182"/>
      <c r="K717" s="29" t="s">
        <v>175</v>
      </c>
      <c r="L717" s="29" t="s">
        <v>175</v>
      </c>
      <c r="M717" s="29" t="s">
        <v>175</v>
      </c>
    </row>
    <row r="718">
      <c r="A718" s="76"/>
      <c r="B718" s="181"/>
      <c r="E718" s="76"/>
      <c r="G718" s="182"/>
      <c r="K718" s="29" t="s">
        <v>175</v>
      </c>
      <c r="L718" s="29" t="s">
        <v>175</v>
      </c>
      <c r="M718" s="29" t="s">
        <v>175</v>
      </c>
    </row>
    <row r="719">
      <c r="A719" s="76"/>
      <c r="B719" s="181"/>
      <c r="E719" s="76"/>
      <c r="G719" s="182"/>
      <c r="K719" s="29" t="s">
        <v>175</v>
      </c>
      <c r="L719" s="29" t="s">
        <v>175</v>
      </c>
      <c r="M719" s="29" t="s">
        <v>175</v>
      </c>
    </row>
    <row r="720">
      <c r="A720" s="76"/>
      <c r="B720" s="181"/>
      <c r="E720" s="76"/>
      <c r="G720" s="182"/>
      <c r="K720" s="29" t="s">
        <v>175</v>
      </c>
      <c r="L720" s="29" t="s">
        <v>175</v>
      </c>
      <c r="M720" s="29" t="s">
        <v>175</v>
      </c>
    </row>
    <row r="721">
      <c r="A721" s="76"/>
      <c r="B721" s="181"/>
      <c r="E721" s="76"/>
      <c r="G721" s="182"/>
      <c r="K721" s="29" t="s">
        <v>175</v>
      </c>
      <c r="L721" s="29" t="s">
        <v>175</v>
      </c>
      <c r="M721" s="29" t="s">
        <v>175</v>
      </c>
    </row>
    <row r="722">
      <c r="A722" s="76"/>
      <c r="B722" s="181"/>
      <c r="E722" s="76"/>
      <c r="G722" s="182"/>
      <c r="K722" s="29" t="s">
        <v>175</v>
      </c>
      <c r="L722" s="29" t="s">
        <v>175</v>
      </c>
      <c r="M722" s="29" t="s">
        <v>175</v>
      </c>
    </row>
    <row r="723">
      <c r="A723" s="76"/>
      <c r="B723" s="181"/>
      <c r="E723" s="76"/>
      <c r="G723" s="182"/>
      <c r="K723" s="29" t="s">
        <v>175</v>
      </c>
      <c r="L723" s="29" t="s">
        <v>175</v>
      </c>
      <c r="M723" s="29" t="s">
        <v>175</v>
      </c>
    </row>
    <row r="724">
      <c r="A724" s="76"/>
      <c r="B724" s="181"/>
      <c r="E724" s="76"/>
      <c r="G724" s="182"/>
      <c r="K724" s="29" t="s">
        <v>175</v>
      </c>
      <c r="L724" s="29" t="s">
        <v>175</v>
      </c>
      <c r="M724" s="29" t="s">
        <v>175</v>
      </c>
    </row>
    <row r="725">
      <c r="A725" s="76"/>
      <c r="B725" s="181"/>
      <c r="E725" s="76"/>
      <c r="G725" s="182"/>
      <c r="K725" s="29" t="s">
        <v>175</v>
      </c>
      <c r="L725" s="29" t="s">
        <v>175</v>
      </c>
      <c r="M725" s="29" t="s">
        <v>175</v>
      </c>
    </row>
    <row r="726">
      <c r="A726" s="76"/>
      <c r="B726" s="181"/>
      <c r="E726" s="76"/>
      <c r="G726" s="182"/>
      <c r="K726" s="29" t="s">
        <v>175</v>
      </c>
      <c r="L726" s="29" t="s">
        <v>175</v>
      </c>
      <c r="M726" s="29" t="s">
        <v>175</v>
      </c>
    </row>
    <row r="727">
      <c r="A727" s="76"/>
      <c r="B727" s="181"/>
      <c r="E727" s="76"/>
      <c r="G727" s="182"/>
      <c r="K727" s="29" t="s">
        <v>175</v>
      </c>
      <c r="L727" s="29" t="s">
        <v>175</v>
      </c>
      <c r="M727" s="29" t="s">
        <v>175</v>
      </c>
    </row>
    <row r="728">
      <c r="A728" s="76"/>
      <c r="B728" s="181"/>
      <c r="E728" s="76"/>
      <c r="G728" s="182"/>
      <c r="K728" s="29" t="s">
        <v>175</v>
      </c>
      <c r="L728" s="29" t="s">
        <v>175</v>
      </c>
      <c r="M728" s="29" t="s">
        <v>175</v>
      </c>
    </row>
    <row r="729">
      <c r="A729" s="76"/>
      <c r="B729" s="181"/>
      <c r="E729" s="76"/>
      <c r="G729" s="182"/>
      <c r="K729" s="29" t="s">
        <v>175</v>
      </c>
      <c r="L729" s="29" t="s">
        <v>175</v>
      </c>
      <c r="M729" s="29" t="s">
        <v>175</v>
      </c>
    </row>
    <row r="730">
      <c r="A730" s="76"/>
      <c r="B730" s="181"/>
      <c r="E730" s="76"/>
      <c r="G730" s="182"/>
      <c r="K730" s="29" t="s">
        <v>175</v>
      </c>
      <c r="L730" s="29" t="s">
        <v>175</v>
      </c>
      <c r="M730" s="29" t="s">
        <v>175</v>
      </c>
    </row>
    <row r="731">
      <c r="A731" s="76"/>
      <c r="B731" s="181"/>
      <c r="E731" s="76"/>
      <c r="G731" s="182"/>
      <c r="K731" s="29" t="s">
        <v>175</v>
      </c>
      <c r="L731" s="29" t="s">
        <v>175</v>
      </c>
      <c r="M731" s="29" t="s">
        <v>175</v>
      </c>
    </row>
    <row r="732">
      <c r="A732" s="76"/>
      <c r="B732" s="181"/>
      <c r="E732" s="76"/>
      <c r="G732" s="182"/>
      <c r="K732" s="29" t="s">
        <v>175</v>
      </c>
      <c r="L732" s="29" t="s">
        <v>175</v>
      </c>
      <c r="M732" s="29" t="s">
        <v>175</v>
      </c>
    </row>
    <row r="733">
      <c r="A733" s="76"/>
      <c r="B733" s="181"/>
      <c r="E733" s="76"/>
      <c r="G733" s="182"/>
      <c r="K733" s="29" t="s">
        <v>175</v>
      </c>
      <c r="L733" s="29" t="s">
        <v>175</v>
      </c>
      <c r="M733" s="29" t="s">
        <v>175</v>
      </c>
    </row>
    <row r="734">
      <c r="A734" s="76"/>
      <c r="B734" s="181"/>
      <c r="E734" s="76"/>
      <c r="G734" s="182"/>
      <c r="K734" s="29" t="s">
        <v>175</v>
      </c>
      <c r="L734" s="29" t="s">
        <v>175</v>
      </c>
      <c r="M734" s="29" t="s">
        <v>175</v>
      </c>
    </row>
    <row r="735">
      <c r="A735" s="76"/>
      <c r="B735" s="181"/>
      <c r="E735" s="76"/>
      <c r="G735" s="182"/>
      <c r="K735" s="29" t="s">
        <v>175</v>
      </c>
      <c r="L735" s="29" t="s">
        <v>175</v>
      </c>
      <c r="M735" s="29" t="s">
        <v>175</v>
      </c>
    </row>
    <row r="736">
      <c r="A736" s="76"/>
      <c r="B736" s="181"/>
      <c r="E736" s="76"/>
      <c r="G736" s="182"/>
      <c r="K736" s="29" t="s">
        <v>175</v>
      </c>
      <c r="L736" s="29" t="s">
        <v>175</v>
      </c>
      <c r="M736" s="29" t="s">
        <v>175</v>
      </c>
    </row>
    <row r="737">
      <c r="A737" s="76"/>
      <c r="B737" s="181"/>
      <c r="E737" s="76"/>
      <c r="G737" s="182"/>
      <c r="K737" s="29" t="s">
        <v>175</v>
      </c>
      <c r="L737" s="29" t="s">
        <v>175</v>
      </c>
      <c r="M737" s="29" t="s">
        <v>175</v>
      </c>
    </row>
    <row r="738">
      <c r="A738" s="76"/>
      <c r="B738" s="181"/>
      <c r="E738" s="76"/>
      <c r="G738" s="182"/>
      <c r="K738" s="29" t="s">
        <v>175</v>
      </c>
      <c r="L738" s="29" t="s">
        <v>175</v>
      </c>
      <c r="M738" s="29" t="s">
        <v>175</v>
      </c>
    </row>
    <row r="739">
      <c r="A739" s="76"/>
      <c r="B739" s="181"/>
      <c r="E739" s="76"/>
      <c r="G739" s="182"/>
      <c r="K739" s="29" t="s">
        <v>175</v>
      </c>
      <c r="L739" s="29" t="s">
        <v>175</v>
      </c>
      <c r="M739" s="29" t="s">
        <v>175</v>
      </c>
    </row>
    <row r="740">
      <c r="A740" s="76"/>
      <c r="B740" s="181"/>
      <c r="E740" s="76"/>
      <c r="G740" s="182"/>
      <c r="K740" s="29" t="s">
        <v>175</v>
      </c>
      <c r="L740" s="29" t="s">
        <v>175</v>
      </c>
      <c r="M740" s="29" t="s">
        <v>175</v>
      </c>
    </row>
    <row r="741">
      <c r="A741" s="76"/>
      <c r="B741" s="181"/>
      <c r="E741" s="76"/>
      <c r="G741" s="182"/>
      <c r="K741" s="29" t="s">
        <v>175</v>
      </c>
      <c r="L741" s="29" t="s">
        <v>175</v>
      </c>
      <c r="M741" s="29" t="s">
        <v>175</v>
      </c>
    </row>
    <row r="742">
      <c r="A742" s="76"/>
      <c r="B742" s="181"/>
      <c r="E742" s="76"/>
      <c r="G742" s="182"/>
      <c r="K742" s="29" t="s">
        <v>175</v>
      </c>
      <c r="L742" s="29" t="s">
        <v>175</v>
      </c>
      <c r="M742" s="29" t="s">
        <v>175</v>
      </c>
    </row>
    <row r="743">
      <c r="A743" s="76"/>
      <c r="B743" s="181"/>
      <c r="E743" s="76"/>
      <c r="G743" s="182"/>
      <c r="K743" s="29" t="s">
        <v>175</v>
      </c>
      <c r="L743" s="29" t="s">
        <v>175</v>
      </c>
      <c r="M743" s="29" t="s">
        <v>175</v>
      </c>
    </row>
    <row r="744">
      <c r="A744" s="76"/>
      <c r="B744" s="181"/>
      <c r="E744" s="76"/>
      <c r="G744" s="182"/>
      <c r="K744" s="29" t="s">
        <v>175</v>
      </c>
      <c r="L744" s="29" t="s">
        <v>175</v>
      </c>
      <c r="M744" s="29" t="s">
        <v>175</v>
      </c>
    </row>
    <row r="745">
      <c r="A745" s="76"/>
      <c r="B745" s="181"/>
      <c r="E745" s="76"/>
      <c r="G745" s="182"/>
      <c r="K745" s="29" t="s">
        <v>175</v>
      </c>
      <c r="L745" s="29" t="s">
        <v>175</v>
      </c>
      <c r="M745" s="29" t="s">
        <v>175</v>
      </c>
    </row>
    <row r="746">
      <c r="A746" s="76"/>
      <c r="B746" s="181"/>
      <c r="E746" s="76"/>
      <c r="G746" s="182"/>
      <c r="K746" s="29" t="s">
        <v>175</v>
      </c>
      <c r="L746" s="29" t="s">
        <v>175</v>
      </c>
      <c r="M746" s="29" t="s">
        <v>175</v>
      </c>
    </row>
    <row r="747">
      <c r="A747" s="76"/>
      <c r="B747" s="181"/>
      <c r="E747" s="76"/>
      <c r="G747" s="182"/>
      <c r="K747" s="29" t="s">
        <v>175</v>
      </c>
      <c r="L747" s="29" t="s">
        <v>175</v>
      </c>
      <c r="M747" s="29" t="s">
        <v>175</v>
      </c>
    </row>
    <row r="748">
      <c r="A748" s="76"/>
      <c r="B748" s="181"/>
      <c r="E748" s="76"/>
      <c r="G748" s="182"/>
      <c r="K748" s="29" t="s">
        <v>175</v>
      </c>
      <c r="L748" s="29" t="s">
        <v>175</v>
      </c>
      <c r="M748" s="29" t="s">
        <v>175</v>
      </c>
    </row>
    <row r="749">
      <c r="A749" s="76"/>
      <c r="B749" s="181"/>
      <c r="E749" s="76"/>
      <c r="G749" s="182"/>
      <c r="K749" s="29" t="s">
        <v>175</v>
      </c>
      <c r="L749" s="29" t="s">
        <v>175</v>
      </c>
      <c r="M749" s="29" t="s">
        <v>175</v>
      </c>
    </row>
    <row r="750">
      <c r="A750" s="76"/>
      <c r="B750" s="181"/>
      <c r="E750" s="76"/>
      <c r="G750" s="182"/>
      <c r="K750" s="29" t="s">
        <v>175</v>
      </c>
      <c r="L750" s="29" t="s">
        <v>175</v>
      </c>
      <c r="M750" s="29" t="s">
        <v>175</v>
      </c>
    </row>
    <row r="751">
      <c r="A751" s="76"/>
      <c r="B751" s="181"/>
      <c r="E751" s="76"/>
      <c r="G751" s="182"/>
      <c r="K751" s="29" t="s">
        <v>175</v>
      </c>
      <c r="L751" s="29" t="s">
        <v>175</v>
      </c>
      <c r="M751" s="29" t="s">
        <v>175</v>
      </c>
    </row>
    <row r="752">
      <c r="A752" s="76"/>
      <c r="B752" s="181"/>
      <c r="E752" s="76"/>
      <c r="G752" s="182"/>
      <c r="K752" s="29" t="s">
        <v>175</v>
      </c>
      <c r="L752" s="29" t="s">
        <v>175</v>
      </c>
      <c r="M752" s="29" t="s">
        <v>175</v>
      </c>
    </row>
    <row r="753">
      <c r="A753" s="76"/>
      <c r="B753" s="181"/>
      <c r="E753" s="76"/>
      <c r="G753" s="182"/>
      <c r="K753" s="29" t="s">
        <v>175</v>
      </c>
      <c r="L753" s="29" t="s">
        <v>175</v>
      </c>
      <c r="M753" s="29" t="s">
        <v>175</v>
      </c>
    </row>
    <row r="754">
      <c r="A754" s="76"/>
      <c r="B754" s="181"/>
      <c r="E754" s="76"/>
      <c r="G754" s="182"/>
      <c r="K754" s="29" t="s">
        <v>175</v>
      </c>
      <c r="L754" s="29" t="s">
        <v>175</v>
      </c>
      <c r="M754" s="29" t="s">
        <v>175</v>
      </c>
    </row>
    <row r="755">
      <c r="A755" s="76"/>
      <c r="B755" s="181"/>
      <c r="E755" s="76"/>
      <c r="G755" s="182"/>
      <c r="K755" s="29" t="s">
        <v>175</v>
      </c>
      <c r="L755" s="29" t="s">
        <v>175</v>
      </c>
      <c r="M755" s="29" t="s">
        <v>175</v>
      </c>
    </row>
    <row r="756">
      <c r="A756" s="76"/>
      <c r="B756" s="181"/>
      <c r="E756" s="76"/>
      <c r="G756" s="182"/>
      <c r="K756" s="29" t="s">
        <v>175</v>
      </c>
      <c r="L756" s="29" t="s">
        <v>175</v>
      </c>
      <c r="M756" s="29" t="s">
        <v>175</v>
      </c>
    </row>
    <row r="757">
      <c r="A757" s="76"/>
      <c r="B757" s="181"/>
      <c r="E757" s="76"/>
      <c r="G757" s="182"/>
      <c r="K757" s="29" t="s">
        <v>175</v>
      </c>
      <c r="L757" s="29" t="s">
        <v>175</v>
      </c>
      <c r="M757" s="29" t="s">
        <v>175</v>
      </c>
    </row>
    <row r="758">
      <c r="A758" s="76"/>
      <c r="B758" s="181"/>
      <c r="E758" s="76"/>
      <c r="G758" s="182"/>
      <c r="K758" s="29" t="s">
        <v>175</v>
      </c>
      <c r="L758" s="29" t="s">
        <v>175</v>
      </c>
      <c r="M758" s="29" t="s">
        <v>175</v>
      </c>
    </row>
    <row r="759">
      <c r="A759" s="76"/>
      <c r="B759" s="181"/>
      <c r="E759" s="76"/>
      <c r="G759" s="182"/>
      <c r="K759" s="29" t="s">
        <v>175</v>
      </c>
      <c r="L759" s="29" t="s">
        <v>175</v>
      </c>
      <c r="M759" s="29" t="s">
        <v>175</v>
      </c>
    </row>
    <row r="760">
      <c r="A760" s="76"/>
      <c r="B760" s="181"/>
      <c r="E760" s="76"/>
      <c r="G760" s="182"/>
      <c r="K760" s="29" t="s">
        <v>175</v>
      </c>
      <c r="L760" s="29" t="s">
        <v>175</v>
      </c>
      <c r="M760" s="29" t="s">
        <v>175</v>
      </c>
    </row>
    <row r="761">
      <c r="A761" s="76"/>
      <c r="B761" s="181"/>
      <c r="E761" s="76"/>
      <c r="G761" s="182"/>
      <c r="K761" s="29" t="s">
        <v>175</v>
      </c>
      <c r="L761" s="29" t="s">
        <v>175</v>
      </c>
      <c r="M761" s="29" t="s">
        <v>175</v>
      </c>
    </row>
    <row r="762">
      <c r="A762" s="76"/>
      <c r="B762" s="181"/>
      <c r="E762" s="76"/>
      <c r="G762" s="182"/>
      <c r="K762" s="29" t="s">
        <v>175</v>
      </c>
      <c r="L762" s="29" t="s">
        <v>175</v>
      </c>
      <c r="M762" s="29" t="s">
        <v>175</v>
      </c>
    </row>
    <row r="763">
      <c r="A763" s="76"/>
      <c r="B763" s="181"/>
      <c r="E763" s="76"/>
      <c r="G763" s="182"/>
      <c r="K763" s="29" t="s">
        <v>175</v>
      </c>
      <c r="L763" s="29" t="s">
        <v>175</v>
      </c>
      <c r="M763" s="29" t="s">
        <v>175</v>
      </c>
    </row>
    <row r="764">
      <c r="A764" s="76"/>
      <c r="B764" s="181"/>
      <c r="E764" s="76"/>
      <c r="G764" s="182"/>
      <c r="K764" s="29" t="s">
        <v>175</v>
      </c>
      <c r="L764" s="29" t="s">
        <v>175</v>
      </c>
      <c r="M764" s="29" t="s">
        <v>175</v>
      </c>
    </row>
    <row r="765">
      <c r="A765" s="76"/>
      <c r="B765" s="181"/>
      <c r="E765" s="76"/>
      <c r="G765" s="182"/>
      <c r="K765" s="29" t="s">
        <v>175</v>
      </c>
      <c r="L765" s="29" t="s">
        <v>175</v>
      </c>
      <c r="M765" s="29" t="s">
        <v>175</v>
      </c>
    </row>
    <row r="766">
      <c r="A766" s="76"/>
      <c r="B766" s="181"/>
      <c r="E766" s="76"/>
      <c r="G766" s="182"/>
      <c r="K766" s="29" t="s">
        <v>175</v>
      </c>
      <c r="L766" s="29" t="s">
        <v>175</v>
      </c>
      <c r="M766" s="29" t="s">
        <v>175</v>
      </c>
    </row>
    <row r="767">
      <c r="A767" s="76"/>
      <c r="B767" s="181"/>
      <c r="E767" s="76"/>
      <c r="G767" s="182"/>
      <c r="K767" s="29" t="s">
        <v>175</v>
      </c>
      <c r="L767" s="29" t="s">
        <v>175</v>
      </c>
      <c r="M767" s="29" t="s">
        <v>175</v>
      </c>
    </row>
    <row r="768">
      <c r="A768" s="76"/>
      <c r="B768" s="181"/>
      <c r="E768" s="76"/>
      <c r="G768" s="182"/>
      <c r="K768" s="29" t="s">
        <v>175</v>
      </c>
      <c r="L768" s="29" t="s">
        <v>175</v>
      </c>
      <c r="M768" s="29" t="s">
        <v>175</v>
      </c>
    </row>
    <row r="769">
      <c r="A769" s="76"/>
      <c r="B769" s="181"/>
      <c r="E769" s="76"/>
      <c r="G769" s="182"/>
      <c r="K769" s="29" t="s">
        <v>175</v>
      </c>
      <c r="L769" s="29" t="s">
        <v>175</v>
      </c>
      <c r="M769" s="29" t="s">
        <v>175</v>
      </c>
    </row>
    <row r="770">
      <c r="A770" s="76"/>
      <c r="B770" s="181"/>
      <c r="E770" s="76"/>
      <c r="G770" s="182"/>
      <c r="K770" s="29" t="s">
        <v>175</v>
      </c>
      <c r="L770" s="29" t="s">
        <v>175</v>
      </c>
      <c r="M770" s="29" t="s">
        <v>175</v>
      </c>
    </row>
    <row r="771">
      <c r="A771" s="76"/>
      <c r="B771" s="181"/>
      <c r="E771" s="76"/>
      <c r="G771" s="182"/>
      <c r="K771" s="29" t="s">
        <v>175</v>
      </c>
      <c r="L771" s="29" t="s">
        <v>175</v>
      </c>
      <c r="M771" s="29" t="s">
        <v>175</v>
      </c>
    </row>
    <row r="772">
      <c r="A772" s="76"/>
      <c r="B772" s="181"/>
      <c r="E772" s="76"/>
      <c r="G772" s="182"/>
      <c r="K772" s="29" t="s">
        <v>175</v>
      </c>
      <c r="L772" s="29" t="s">
        <v>175</v>
      </c>
      <c r="M772" s="29" t="s">
        <v>175</v>
      </c>
    </row>
    <row r="773">
      <c r="A773" s="76"/>
      <c r="B773" s="181"/>
      <c r="E773" s="76"/>
      <c r="G773" s="182"/>
      <c r="K773" s="29" t="s">
        <v>175</v>
      </c>
      <c r="L773" s="29" t="s">
        <v>175</v>
      </c>
      <c r="M773" s="29" t="s">
        <v>175</v>
      </c>
    </row>
    <row r="774">
      <c r="A774" s="76"/>
      <c r="B774" s="181"/>
      <c r="E774" s="76"/>
      <c r="G774" s="182"/>
      <c r="K774" s="29" t="s">
        <v>175</v>
      </c>
      <c r="L774" s="29" t="s">
        <v>175</v>
      </c>
      <c r="M774" s="29" t="s">
        <v>175</v>
      </c>
    </row>
    <row r="775">
      <c r="A775" s="76"/>
      <c r="B775" s="181"/>
      <c r="E775" s="76"/>
      <c r="G775" s="182"/>
      <c r="K775" s="29" t="s">
        <v>175</v>
      </c>
      <c r="L775" s="29" t="s">
        <v>175</v>
      </c>
      <c r="M775" s="29" t="s">
        <v>175</v>
      </c>
    </row>
    <row r="776">
      <c r="A776" s="76"/>
      <c r="B776" s="181"/>
      <c r="E776" s="76"/>
      <c r="G776" s="182"/>
      <c r="K776" s="29" t="s">
        <v>175</v>
      </c>
      <c r="L776" s="29" t="s">
        <v>175</v>
      </c>
      <c r="M776" s="29" t="s">
        <v>175</v>
      </c>
    </row>
    <row r="777">
      <c r="A777" s="76"/>
      <c r="B777" s="181"/>
      <c r="E777" s="76"/>
      <c r="G777" s="182"/>
      <c r="K777" s="29" t="s">
        <v>175</v>
      </c>
      <c r="L777" s="29" t="s">
        <v>175</v>
      </c>
      <c r="M777" s="29" t="s">
        <v>175</v>
      </c>
    </row>
    <row r="778">
      <c r="A778" s="76"/>
      <c r="B778" s="181"/>
      <c r="E778" s="76"/>
      <c r="G778" s="182"/>
      <c r="K778" s="29" t="s">
        <v>175</v>
      </c>
      <c r="L778" s="29" t="s">
        <v>175</v>
      </c>
      <c r="M778" s="29" t="s">
        <v>175</v>
      </c>
    </row>
    <row r="779">
      <c r="A779" s="76"/>
      <c r="B779" s="181"/>
      <c r="E779" s="76"/>
      <c r="G779" s="182"/>
      <c r="K779" s="29" t="s">
        <v>175</v>
      </c>
      <c r="L779" s="29" t="s">
        <v>175</v>
      </c>
      <c r="M779" s="29" t="s">
        <v>175</v>
      </c>
    </row>
    <row r="780">
      <c r="A780" s="76"/>
      <c r="B780" s="181"/>
      <c r="E780" s="76"/>
      <c r="G780" s="182"/>
      <c r="K780" s="29" t="s">
        <v>175</v>
      </c>
      <c r="L780" s="29" t="s">
        <v>175</v>
      </c>
      <c r="M780" s="29" t="s">
        <v>175</v>
      </c>
    </row>
    <row r="781">
      <c r="A781" s="76"/>
      <c r="B781" s="181"/>
      <c r="E781" s="76"/>
      <c r="G781" s="182"/>
      <c r="K781" s="29" t="s">
        <v>175</v>
      </c>
      <c r="L781" s="29" t="s">
        <v>175</v>
      </c>
      <c r="M781" s="29" t="s">
        <v>175</v>
      </c>
    </row>
    <row r="782">
      <c r="A782" s="76"/>
      <c r="B782" s="181"/>
      <c r="E782" s="76"/>
      <c r="G782" s="182"/>
      <c r="K782" s="29" t="s">
        <v>175</v>
      </c>
      <c r="L782" s="29" t="s">
        <v>175</v>
      </c>
      <c r="M782" s="29" t="s">
        <v>175</v>
      </c>
    </row>
    <row r="783">
      <c r="A783" s="76"/>
      <c r="B783" s="181"/>
      <c r="E783" s="76"/>
      <c r="G783" s="182"/>
      <c r="K783" s="29" t="s">
        <v>175</v>
      </c>
      <c r="L783" s="29" t="s">
        <v>175</v>
      </c>
      <c r="M783" s="29" t="s">
        <v>175</v>
      </c>
    </row>
    <row r="784">
      <c r="A784" s="76"/>
      <c r="B784" s="181"/>
      <c r="E784" s="76"/>
      <c r="G784" s="182"/>
      <c r="K784" s="29" t="s">
        <v>175</v>
      </c>
      <c r="L784" s="29" t="s">
        <v>175</v>
      </c>
      <c r="M784" s="29" t="s">
        <v>175</v>
      </c>
    </row>
    <row r="785">
      <c r="A785" s="76"/>
      <c r="B785" s="181"/>
      <c r="E785" s="76"/>
      <c r="G785" s="182"/>
      <c r="K785" s="29" t="s">
        <v>175</v>
      </c>
      <c r="L785" s="29" t="s">
        <v>175</v>
      </c>
      <c r="M785" s="29" t="s">
        <v>175</v>
      </c>
    </row>
    <row r="786">
      <c r="A786" s="76"/>
      <c r="B786" s="181"/>
      <c r="E786" s="76"/>
      <c r="G786" s="182"/>
      <c r="K786" s="29" t="s">
        <v>175</v>
      </c>
      <c r="L786" s="29" t="s">
        <v>175</v>
      </c>
      <c r="M786" s="29" t="s">
        <v>175</v>
      </c>
    </row>
    <row r="787">
      <c r="A787" s="76"/>
      <c r="B787" s="181"/>
      <c r="E787" s="76"/>
      <c r="G787" s="182"/>
      <c r="K787" s="29" t="s">
        <v>175</v>
      </c>
      <c r="L787" s="29" t="s">
        <v>175</v>
      </c>
      <c r="M787" s="29" t="s">
        <v>175</v>
      </c>
    </row>
    <row r="788">
      <c r="A788" s="76"/>
      <c r="B788" s="181"/>
      <c r="E788" s="76"/>
      <c r="G788" s="182"/>
      <c r="K788" s="29" t="s">
        <v>175</v>
      </c>
      <c r="L788" s="29" t="s">
        <v>175</v>
      </c>
      <c r="M788" s="29" t="s">
        <v>175</v>
      </c>
    </row>
    <row r="789">
      <c r="A789" s="76"/>
      <c r="B789" s="181"/>
      <c r="E789" s="76"/>
      <c r="G789" s="182"/>
      <c r="K789" s="29" t="s">
        <v>175</v>
      </c>
      <c r="L789" s="29" t="s">
        <v>175</v>
      </c>
      <c r="M789" s="29" t="s">
        <v>175</v>
      </c>
    </row>
    <row r="790">
      <c r="A790" s="76"/>
      <c r="B790" s="181"/>
      <c r="E790" s="76"/>
      <c r="G790" s="182"/>
      <c r="K790" s="29" t="s">
        <v>175</v>
      </c>
      <c r="L790" s="29" t="s">
        <v>175</v>
      </c>
      <c r="M790" s="29" t="s">
        <v>175</v>
      </c>
    </row>
    <row r="791">
      <c r="A791" s="76"/>
      <c r="B791" s="181"/>
      <c r="E791" s="76"/>
      <c r="G791" s="182"/>
      <c r="K791" s="29" t="s">
        <v>175</v>
      </c>
      <c r="L791" s="29" t="s">
        <v>175</v>
      </c>
      <c r="M791" s="29" t="s">
        <v>175</v>
      </c>
    </row>
    <row r="792">
      <c r="A792" s="76"/>
      <c r="B792" s="181"/>
      <c r="E792" s="76"/>
      <c r="G792" s="182"/>
      <c r="K792" s="29" t="s">
        <v>175</v>
      </c>
      <c r="L792" s="29" t="s">
        <v>175</v>
      </c>
      <c r="M792" s="29" t="s">
        <v>175</v>
      </c>
    </row>
    <row r="793">
      <c r="A793" s="76"/>
      <c r="B793" s="181"/>
      <c r="E793" s="76"/>
      <c r="G793" s="182"/>
      <c r="K793" s="29" t="s">
        <v>175</v>
      </c>
      <c r="L793" s="29" t="s">
        <v>175</v>
      </c>
      <c r="M793" s="29" t="s">
        <v>175</v>
      </c>
    </row>
    <row r="794">
      <c r="A794" s="76"/>
      <c r="B794" s="181"/>
      <c r="E794" s="76"/>
      <c r="G794" s="182"/>
      <c r="K794" s="29" t="s">
        <v>175</v>
      </c>
      <c r="L794" s="29" t="s">
        <v>175</v>
      </c>
      <c r="M794" s="29" t="s">
        <v>175</v>
      </c>
    </row>
    <row r="795">
      <c r="A795" s="76"/>
      <c r="B795" s="181"/>
      <c r="E795" s="76"/>
      <c r="G795" s="182"/>
      <c r="K795" s="29" t="s">
        <v>175</v>
      </c>
      <c r="L795" s="29" t="s">
        <v>175</v>
      </c>
      <c r="M795" s="29" t="s">
        <v>175</v>
      </c>
    </row>
    <row r="796">
      <c r="A796" s="76"/>
      <c r="B796" s="181"/>
      <c r="E796" s="76"/>
      <c r="G796" s="182"/>
      <c r="K796" s="29" t="s">
        <v>175</v>
      </c>
      <c r="L796" s="29" t="s">
        <v>175</v>
      </c>
      <c r="M796" s="29" t="s">
        <v>175</v>
      </c>
    </row>
    <row r="797">
      <c r="A797" s="76"/>
      <c r="B797" s="181"/>
      <c r="E797" s="76"/>
      <c r="G797" s="182"/>
      <c r="K797" s="29" t="s">
        <v>175</v>
      </c>
      <c r="L797" s="29" t="s">
        <v>175</v>
      </c>
      <c r="M797" s="29" t="s">
        <v>175</v>
      </c>
    </row>
    <row r="798">
      <c r="A798" s="76"/>
      <c r="B798" s="181"/>
      <c r="E798" s="76"/>
      <c r="G798" s="182"/>
      <c r="K798" s="29" t="s">
        <v>175</v>
      </c>
      <c r="L798" s="29" t="s">
        <v>175</v>
      </c>
      <c r="M798" s="29" t="s">
        <v>175</v>
      </c>
    </row>
    <row r="799">
      <c r="A799" s="76"/>
      <c r="B799" s="181"/>
      <c r="E799" s="76"/>
      <c r="G799" s="182"/>
      <c r="K799" s="29" t="s">
        <v>175</v>
      </c>
      <c r="L799" s="29" t="s">
        <v>175</v>
      </c>
      <c r="M799" s="29" t="s">
        <v>175</v>
      </c>
    </row>
    <row r="800">
      <c r="A800" s="76"/>
      <c r="B800" s="181"/>
      <c r="E800" s="76"/>
      <c r="G800" s="182"/>
      <c r="K800" s="29" t="s">
        <v>175</v>
      </c>
      <c r="L800" s="29" t="s">
        <v>175</v>
      </c>
      <c r="M800" s="29" t="s">
        <v>175</v>
      </c>
    </row>
    <row r="801">
      <c r="A801" s="76"/>
      <c r="B801" s="181"/>
      <c r="E801" s="76"/>
      <c r="G801" s="182"/>
      <c r="K801" s="29" t="s">
        <v>175</v>
      </c>
      <c r="L801" s="29" t="s">
        <v>175</v>
      </c>
      <c r="M801" s="29" t="s">
        <v>175</v>
      </c>
    </row>
    <row r="802">
      <c r="A802" s="76"/>
      <c r="B802" s="181"/>
      <c r="E802" s="76"/>
      <c r="G802" s="182"/>
      <c r="K802" s="29" t="s">
        <v>175</v>
      </c>
      <c r="L802" s="29" t="s">
        <v>175</v>
      </c>
      <c r="M802" s="29" t="s">
        <v>175</v>
      </c>
    </row>
    <row r="803">
      <c r="A803" s="76"/>
      <c r="B803" s="181"/>
      <c r="E803" s="76"/>
      <c r="G803" s="182"/>
      <c r="K803" s="29" t="s">
        <v>175</v>
      </c>
      <c r="L803" s="29" t="s">
        <v>175</v>
      </c>
      <c r="M803" s="29" t="s">
        <v>175</v>
      </c>
    </row>
    <row r="804">
      <c r="A804" s="76"/>
      <c r="B804" s="181"/>
      <c r="E804" s="76"/>
      <c r="G804" s="182"/>
      <c r="K804" s="29" t="s">
        <v>175</v>
      </c>
      <c r="L804" s="29" t="s">
        <v>175</v>
      </c>
      <c r="M804" s="29" t="s">
        <v>175</v>
      </c>
    </row>
    <row r="805">
      <c r="A805" s="76"/>
      <c r="B805" s="181"/>
      <c r="E805" s="76"/>
      <c r="G805" s="182"/>
      <c r="K805" s="29" t="s">
        <v>175</v>
      </c>
      <c r="L805" s="29" t="s">
        <v>175</v>
      </c>
      <c r="M805" s="29" t="s">
        <v>175</v>
      </c>
    </row>
    <row r="806">
      <c r="A806" s="76"/>
      <c r="B806" s="181"/>
      <c r="E806" s="76"/>
      <c r="G806" s="182"/>
      <c r="K806" s="29" t="s">
        <v>175</v>
      </c>
      <c r="L806" s="29" t="s">
        <v>175</v>
      </c>
      <c r="M806" s="29" t="s">
        <v>175</v>
      </c>
    </row>
    <row r="807">
      <c r="A807" s="76"/>
      <c r="B807" s="181"/>
      <c r="E807" s="76"/>
      <c r="G807" s="182"/>
      <c r="K807" s="29" t="s">
        <v>175</v>
      </c>
      <c r="L807" s="29" t="s">
        <v>175</v>
      </c>
      <c r="M807" s="29" t="s">
        <v>175</v>
      </c>
    </row>
    <row r="808">
      <c r="A808" s="76"/>
      <c r="B808" s="181"/>
      <c r="E808" s="76"/>
      <c r="G808" s="182"/>
      <c r="K808" s="29" t="s">
        <v>175</v>
      </c>
      <c r="L808" s="29" t="s">
        <v>175</v>
      </c>
      <c r="M808" s="29" t="s">
        <v>175</v>
      </c>
    </row>
    <row r="809">
      <c r="A809" s="76"/>
      <c r="B809" s="181"/>
      <c r="E809" s="76"/>
      <c r="G809" s="182"/>
      <c r="K809" s="29" t="s">
        <v>175</v>
      </c>
      <c r="L809" s="29" t="s">
        <v>175</v>
      </c>
      <c r="M809" s="29" t="s">
        <v>175</v>
      </c>
    </row>
    <row r="810">
      <c r="A810" s="76"/>
      <c r="B810" s="181"/>
      <c r="E810" s="76"/>
      <c r="G810" s="182"/>
      <c r="K810" s="29" t="s">
        <v>175</v>
      </c>
      <c r="L810" s="29" t="s">
        <v>175</v>
      </c>
      <c r="M810" s="29" t="s">
        <v>175</v>
      </c>
    </row>
    <row r="811">
      <c r="A811" s="76"/>
      <c r="B811" s="181"/>
      <c r="E811" s="76"/>
      <c r="G811" s="182"/>
      <c r="K811" s="29" t="s">
        <v>175</v>
      </c>
      <c r="L811" s="29" t="s">
        <v>175</v>
      </c>
      <c r="M811" s="29" t="s">
        <v>175</v>
      </c>
    </row>
    <row r="812">
      <c r="A812" s="76"/>
      <c r="B812" s="181"/>
      <c r="E812" s="76"/>
      <c r="G812" s="182"/>
      <c r="K812" s="29" t="s">
        <v>175</v>
      </c>
      <c r="L812" s="29" t="s">
        <v>175</v>
      </c>
      <c r="M812" s="29" t="s">
        <v>175</v>
      </c>
    </row>
    <row r="813">
      <c r="A813" s="76"/>
      <c r="B813" s="181"/>
      <c r="E813" s="76"/>
      <c r="G813" s="182"/>
      <c r="K813" s="29" t="s">
        <v>175</v>
      </c>
      <c r="L813" s="29" t="s">
        <v>175</v>
      </c>
      <c r="M813" s="29" t="s">
        <v>175</v>
      </c>
    </row>
    <row r="814">
      <c r="A814" s="76"/>
      <c r="B814" s="181"/>
      <c r="E814" s="76"/>
      <c r="G814" s="182"/>
      <c r="K814" s="29" t="s">
        <v>175</v>
      </c>
      <c r="L814" s="29" t="s">
        <v>175</v>
      </c>
      <c r="M814" s="29" t="s">
        <v>175</v>
      </c>
    </row>
    <row r="815">
      <c r="A815" s="76"/>
      <c r="B815" s="181"/>
      <c r="E815" s="76"/>
      <c r="G815" s="182"/>
      <c r="K815" s="29" t="s">
        <v>175</v>
      </c>
      <c r="L815" s="29" t="s">
        <v>175</v>
      </c>
      <c r="M815" s="29" t="s">
        <v>175</v>
      </c>
    </row>
    <row r="816">
      <c r="A816" s="76"/>
      <c r="B816" s="181"/>
      <c r="E816" s="76"/>
      <c r="G816" s="182"/>
      <c r="K816" s="29" t="s">
        <v>175</v>
      </c>
      <c r="L816" s="29" t="s">
        <v>175</v>
      </c>
      <c r="M816" s="29" t="s">
        <v>175</v>
      </c>
    </row>
    <row r="817">
      <c r="A817" s="76"/>
      <c r="B817" s="181"/>
      <c r="E817" s="76"/>
      <c r="G817" s="182"/>
      <c r="K817" s="29" t="s">
        <v>175</v>
      </c>
      <c r="L817" s="29" t="s">
        <v>175</v>
      </c>
      <c r="M817" s="29" t="s">
        <v>175</v>
      </c>
    </row>
    <row r="818">
      <c r="A818" s="76"/>
      <c r="B818" s="181"/>
      <c r="E818" s="76"/>
      <c r="G818" s="182"/>
      <c r="K818" s="29" t="s">
        <v>175</v>
      </c>
      <c r="L818" s="29" t="s">
        <v>175</v>
      </c>
      <c r="M818" s="29" t="s">
        <v>175</v>
      </c>
    </row>
    <row r="819">
      <c r="A819" s="76"/>
      <c r="B819" s="181"/>
      <c r="E819" s="76"/>
      <c r="G819" s="182"/>
      <c r="K819" s="29" t="s">
        <v>175</v>
      </c>
      <c r="L819" s="29" t="s">
        <v>175</v>
      </c>
      <c r="M819" s="29" t="s">
        <v>175</v>
      </c>
    </row>
    <row r="820">
      <c r="A820" s="76"/>
      <c r="B820" s="181"/>
      <c r="E820" s="76"/>
      <c r="G820" s="182"/>
      <c r="K820" s="29" t="s">
        <v>175</v>
      </c>
      <c r="L820" s="29" t="s">
        <v>175</v>
      </c>
      <c r="M820" s="29" t="s">
        <v>175</v>
      </c>
    </row>
    <row r="821">
      <c r="A821" s="76"/>
      <c r="B821" s="181"/>
      <c r="E821" s="76"/>
      <c r="G821" s="182"/>
      <c r="K821" s="29" t="s">
        <v>175</v>
      </c>
      <c r="L821" s="29" t="s">
        <v>175</v>
      </c>
      <c r="M821" s="29" t="s">
        <v>175</v>
      </c>
    </row>
    <row r="822">
      <c r="A822" s="76"/>
      <c r="B822" s="181"/>
      <c r="E822" s="76"/>
      <c r="G822" s="182"/>
      <c r="K822" s="29" t="s">
        <v>175</v>
      </c>
      <c r="L822" s="29" t="s">
        <v>175</v>
      </c>
      <c r="M822" s="29" t="s">
        <v>175</v>
      </c>
    </row>
    <row r="823">
      <c r="A823" s="76"/>
      <c r="B823" s="181"/>
      <c r="E823" s="76"/>
      <c r="G823" s="182"/>
      <c r="K823" s="29" t="s">
        <v>175</v>
      </c>
      <c r="L823" s="29" t="s">
        <v>175</v>
      </c>
      <c r="M823" s="29" t="s">
        <v>175</v>
      </c>
    </row>
    <row r="824">
      <c r="A824" s="76"/>
      <c r="B824" s="181"/>
      <c r="E824" s="76"/>
      <c r="G824" s="182"/>
      <c r="K824" s="29" t="s">
        <v>175</v>
      </c>
      <c r="L824" s="29" t="s">
        <v>175</v>
      </c>
      <c r="M824" s="29" t="s">
        <v>175</v>
      </c>
    </row>
    <row r="825">
      <c r="A825" s="76"/>
      <c r="B825" s="181"/>
      <c r="E825" s="76"/>
      <c r="G825" s="182"/>
      <c r="K825" s="29" t="s">
        <v>175</v>
      </c>
      <c r="L825" s="29" t="s">
        <v>175</v>
      </c>
      <c r="M825" s="29" t="s">
        <v>175</v>
      </c>
    </row>
    <row r="826">
      <c r="A826" s="76"/>
      <c r="B826" s="181"/>
      <c r="E826" s="76"/>
      <c r="G826" s="182"/>
      <c r="K826" s="29" t="s">
        <v>175</v>
      </c>
      <c r="L826" s="29" t="s">
        <v>175</v>
      </c>
      <c r="M826" s="29" t="s">
        <v>175</v>
      </c>
    </row>
    <row r="827">
      <c r="A827" s="76"/>
      <c r="B827" s="181"/>
      <c r="E827" s="76"/>
      <c r="G827" s="182"/>
      <c r="K827" s="29" t="s">
        <v>175</v>
      </c>
      <c r="L827" s="29" t="s">
        <v>175</v>
      </c>
      <c r="M827" s="29" t="s">
        <v>175</v>
      </c>
    </row>
    <row r="828">
      <c r="A828" s="76"/>
      <c r="B828" s="181"/>
      <c r="E828" s="76"/>
      <c r="G828" s="182"/>
      <c r="K828" s="29" t="s">
        <v>175</v>
      </c>
      <c r="L828" s="29" t="s">
        <v>175</v>
      </c>
      <c r="M828" s="29" t="s">
        <v>175</v>
      </c>
    </row>
    <row r="829">
      <c r="A829" s="76"/>
      <c r="B829" s="181"/>
      <c r="E829" s="76"/>
      <c r="G829" s="182"/>
      <c r="K829" s="29" t="s">
        <v>175</v>
      </c>
      <c r="L829" s="29" t="s">
        <v>175</v>
      </c>
      <c r="M829" s="29" t="s">
        <v>175</v>
      </c>
    </row>
    <row r="830">
      <c r="A830" s="76"/>
      <c r="B830" s="181"/>
      <c r="E830" s="76"/>
      <c r="G830" s="182"/>
      <c r="K830" s="29" t="s">
        <v>175</v>
      </c>
      <c r="L830" s="29" t="s">
        <v>175</v>
      </c>
      <c r="M830" s="29" t="s">
        <v>175</v>
      </c>
    </row>
    <row r="831">
      <c r="A831" s="76"/>
      <c r="B831" s="181"/>
      <c r="E831" s="76"/>
      <c r="G831" s="182"/>
      <c r="K831" s="29" t="s">
        <v>175</v>
      </c>
      <c r="L831" s="29" t="s">
        <v>175</v>
      </c>
      <c r="M831" s="29" t="s">
        <v>175</v>
      </c>
    </row>
    <row r="832">
      <c r="A832" s="76"/>
      <c r="B832" s="181"/>
      <c r="E832" s="76"/>
      <c r="G832" s="182"/>
      <c r="K832" s="29" t="s">
        <v>175</v>
      </c>
      <c r="L832" s="29" t="s">
        <v>175</v>
      </c>
      <c r="M832" s="29" t="s">
        <v>175</v>
      </c>
    </row>
    <row r="833">
      <c r="A833" s="76"/>
      <c r="B833" s="181"/>
      <c r="E833" s="76"/>
      <c r="G833" s="182"/>
      <c r="K833" s="29" t="s">
        <v>175</v>
      </c>
      <c r="L833" s="29" t="s">
        <v>175</v>
      </c>
      <c r="M833" s="29" t="s">
        <v>175</v>
      </c>
    </row>
    <row r="834">
      <c r="A834" s="76"/>
      <c r="B834" s="181"/>
      <c r="E834" s="76"/>
      <c r="G834" s="182"/>
      <c r="K834" s="29" t="s">
        <v>175</v>
      </c>
      <c r="L834" s="29" t="s">
        <v>175</v>
      </c>
      <c r="M834" s="29" t="s">
        <v>175</v>
      </c>
    </row>
    <row r="835">
      <c r="A835" s="76"/>
      <c r="B835" s="181"/>
      <c r="E835" s="76"/>
      <c r="G835" s="182"/>
      <c r="K835" s="29" t="s">
        <v>175</v>
      </c>
      <c r="L835" s="29" t="s">
        <v>175</v>
      </c>
      <c r="M835" s="29" t="s">
        <v>175</v>
      </c>
    </row>
    <row r="836">
      <c r="A836" s="76"/>
      <c r="B836" s="181"/>
      <c r="E836" s="76"/>
      <c r="G836" s="182"/>
      <c r="K836" s="29" t="s">
        <v>175</v>
      </c>
      <c r="L836" s="29" t="s">
        <v>175</v>
      </c>
      <c r="M836" s="29" t="s">
        <v>175</v>
      </c>
    </row>
    <row r="837">
      <c r="A837" s="76"/>
      <c r="B837" s="181"/>
      <c r="E837" s="76"/>
      <c r="G837" s="182"/>
      <c r="K837" s="29" t="s">
        <v>175</v>
      </c>
      <c r="L837" s="29" t="s">
        <v>175</v>
      </c>
      <c r="M837" s="29" t="s">
        <v>175</v>
      </c>
    </row>
    <row r="838">
      <c r="A838" s="76"/>
      <c r="B838" s="181"/>
      <c r="E838" s="76"/>
      <c r="G838" s="182"/>
      <c r="K838" s="29" t="s">
        <v>175</v>
      </c>
      <c r="L838" s="29" t="s">
        <v>175</v>
      </c>
      <c r="M838" s="29" t="s">
        <v>175</v>
      </c>
    </row>
    <row r="839">
      <c r="A839" s="76"/>
      <c r="B839" s="181"/>
      <c r="E839" s="76"/>
      <c r="G839" s="182"/>
      <c r="K839" s="29" t="s">
        <v>175</v>
      </c>
      <c r="L839" s="29" t="s">
        <v>175</v>
      </c>
      <c r="M839" s="29" t="s">
        <v>175</v>
      </c>
    </row>
    <row r="840">
      <c r="A840" s="76"/>
      <c r="B840" s="181"/>
      <c r="E840" s="76"/>
      <c r="G840" s="182"/>
      <c r="K840" s="29" t="s">
        <v>175</v>
      </c>
      <c r="L840" s="29" t="s">
        <v>175</v>
      </c>
      <c r="M840" s="29" t="s">
        <v>175</v>
      </c>
    </row>
    <row r="841">
      <c r="A841" s="76"/>
      <c r="B841" s="181"/>
      <c r="E841" s="76"/>
      <c r="G841" s="182"/>
      <c r="K841" s="29" t="s">
        <v>175</v>
      </c>
      <c r="L841" s="29" t="s">
        <v>175</v>
      </c>
      <c r="M841" s="29" t="s">
        <v>175</v>
      </c>
    </row>
    <row r="842">
      <c r="A842" s="76"/>
      <c r="B842" s="181"/>
      <c r="E842" s="76"/>
      <c r="G842" s="182"/>
      <c r="K842" s="29" t="s">
        <v>175</v>
      </c>
      <c r="L842" s="29" t="s">
        <v>175</v>
      </c>
      <c r="M842" s="29" t="s">
        <v>175</v>
      </c>
    </row>
    <row r="843">
      <c r="A843" s="76"/>
      <c r="B843" s="181"/>
      <c r="E843" s="76"/>
      <c r="G843" s="182"/>
      <c r="K843" s="29" t="s">
        <v>175</v>
      </c>
      <c r="L843" s="29" t="s">
        <v>175</v>
      </c>
      <c r="M843" s="29" t="s">
        <v>175</v>
      </c>
    </row>
    <row r="844">
      <c r="A844" s="76"/>
      <c r="B844" s="181"/>
      <c r="E844" s="76"/>
      <c r="G844" s="182"/>
      <c r="K844" s="29" t="s">
        <v>175</v>
      </c>
      <c r="L844" s="29" t="s">
        <v>175</v>
      </c>
      <c r="M844" s="29" t="s">
        <v>175</v>
      </c>
    </row>
    <row r="845">
      <c r="A845" s="76"/>
      <c r="B845" s="181"/>
      <c r="E845" s="76"/>
      <c r="G845" s="182"/>
      <c r="K845" s="29" t="s">
        <v>175</v>
      </c>
      <c r="L845" s="29" t="s">
        <v>175</v>
      </c>
      <c r="M845" s="29" t="s">
        <v>175</v>
      </c>
    </row>
    <row r="846">
      <c r="A846" s="76"/>
      <c r="B846" s="181"/>
      <c r="E846" s="76"/>
      <c r="G846" s="182"/>
      <c r="K846" s="29" t="s">
        <v>175</v>
      </c>
      <c r="L846" s="29" t="s">
        <v>175</v>
      </c>
      <c r="M846" s="29" t="s">
        <v>175</v>
      </c>
    </row>
    <row r="847">
      <c r="A847" s="76"/>
      <c r="B847" s="181"/>
      <c r="E847" s="76"/>
      <c r="G847" s="182"/>
      <c r="K847" s="29" t="s">
        <v>175</v>
      </c>
      <c r="L847" s="29" t="s">
        <v>175</v>
      </c>
      <c r="M847" s="29" t="s">
        <v>175</v>
      </c>
    </row>
    <row r="848">
      <c r="A848" s="76"/>
      <c r="B848" s="181"/>
      <c r="E848" s="76"/>
      <c r="G848" s="182"/>
      <c r="K848" s="29" t="s">
        <v>175</v>
      </c>
      <c r="L848" s="29" t="s">
        <v>175</v>
      </c>
      <c r="M848" s="29" t="s">
        <v>175</v>
      </c>
    </row>
    <row r="849">
      <c r="A849" s="76"/>
      <c r="B849" s="181"/>
      <c r="E849" s="76"/>
      <c r="G849" s="182"/>
      <c r="K849" s="29" t="s">
        <v>175</v>
      </c>
      <c r="L849" s="29" t="s">
        <v>175</v>
      </c>
      <c r="M849" s="29" t="s">
        <v>175</v>
      </c>
    </row>
    <row r="850">
      <c r="A850" s="76"/>
      <c r="B850" s="181"/>
      <c r="E850" s="76"/>
      <c r="G850" s="182"/>
      <c r="K850" s="29" t="s">
        <v>175</v>
      </c>
      <c r="L850" s="29" t="s">
        <v>175</v>
      </c>
      <c r="M850" s="29" t="s">
        <v>175</v>
      </c>
    </row>
    <row r="851">
      <c r="A851" s="76"/>
      <c r="B851" s="181"/>
      <c r="E851" s="76"/>
      <c r="G851" s="182"/>
      <c r="K851" s="29" t="s">
        <v>175</v>
      </c>
      <c r="L851" s="29" t="s">
        <v>175</v>
      </c>
      <c r="M851" s="29" t="s">
        <v>175</v>
      </c>
    </row>
    <row r="852">
      <c r="A852" s="76"/>
      <c r="B852" s="181"/>
      <c r="E852" s="76"/>
      <c r="G852" s="182"/>
      <c r="K852" s="29" t="s">
        <v>175</v>
      </c>
      <c r="L852" s="29" t="s">
        <v>175</v>
      </c>
      <c r="M852" s="29" t="s">
        <v>175</v>
      </c>
    </row>
    <row r="853">
      <c r="A853" s="76"/>
      <c r="B853" s="181"/>
      <c r="E853" s="76"/>
      <c r="G853" s="182"/>
      <c r="K853" s="29" t="s">
        <v>175</v>
      </c>
      <c r="L853" s="29" t="s">
        <v>175</v>
      </c>
      <c r="M853" s="29" t="s">
        <v>175</v>
      </c>
    </row>
    <row r="854">
      <c r="A854" s="76"/>
      <c r="B854" s="181"/>
      <c r="E854" s="76"/>
      <c r="G854" s="182"/>
      <c r="K854" s="29" t="s">
        <v>175</v>
      </c>
      <c r="L854" s="29" t="s">
        <v>175</v>
      </c>
      <c r="M854" s="29" t="s">
        <v>175</v>
      </c>
    </row>
    <row r="855">
      <c r="A855" s="76"/>
      <c r="B855" s="181"/>
      <c r="E855" s="76"/>
      <c r="G855" s="182"/>
      <c r="K855" s="29" t="s">
        <v>175</v>
      </c>
      <c r="L855" s="29" t="s">
        <v>175</v>
      </c>
      <c r="M855" s="29" t="s">
        <v>175</v>
      </c>
    </row>
    <row r="856">
      <c r="A856" s="76"/>
      <c r="B856" s="181"/>
      <c r="E856" s="76"/>
      <c r="G856" s="182"/>
      <c r="K856" s="29" t="s">
        <v>175</v>
      </c>
      <c r="L856" s="29" t="s">
        <v>175</v>
      </c>
      <c r="M856" s="29" t="s">
        <v>175</v>
      </c>
    </row>
    <row r="857">
      <c r="A857" s="76"/>
      <c r="B857" s="181"/>
      <c r="E857" s="76"/>
      <c r="G857" s="182"/>
      <c r="K857" s="29" t="s">
        <v>175</v>
      </c>
      <c r="L857" s="29" t="s">
        <v>175</v>
      </c>
      <c r="M857" s="29" t="s">
        <v>175</v>
      </c>
    </row>
    <row r="858">
      <c r="A858" s="76"/>
      <c r="B858" s="181"/>
      <c r="E858" s="76"/>
      <c r="G858" s="182"/>
      <c r="K858" s="29" t="s">
        <v>175</v>
      </c>
      <c r="L858" s="29" t="s">
        <v>175</v>
      </c>
      <c r="M858" s="29" t="s">
        <v>175</v>
      </c>
    </row>
    <row r="859">
      <c r="A859" s="76"/>
      <c r="B859" s="181"/>
      <c r="E859" s="76"/>
      <c r="G859" s="182"/>
      <c r="K859" s="29" t="s">
        <v>175</v>
      </c>
      <c r="L859" s="29" t="s">
        <v>175</v>
      </c>
      <c r="M859" s="29" t="s">
        <v>175</v>
      </c>
    </row>
    <row r="860">
      <c r="A860" s="76"/>
      <c r="B860" s="181"/>
      <c r="E860" s="76"/>
      <c r="G860" s="182"/>
      <c r="K860" s="29" t="s">
        <v>175</v>
      </c>
      <c r="L860" s="29" t="s">
        <v>175</v>
      </c>
      <c r="M860" s="29" t="s">
        <v>175</v>
      </c>
    </row>
    <row r="861">
      <c r="A861" s="76"/>
      <c r="B861" s="181"/>
      <c r="E861" s="76"/>
      <c r="G861" s="182"/>
      <c r="K861" s="29" t="s">
        <v>175</v>
      </c>
      <c r="L861" s="29" t="s">
        <v>175</v>
      </c>
      <c r="M861" s="29" t="s">
        <v>175</v>
      </c>
    </row>
    <row r="862">
      <c r="A862" s="76"/>
      <c r="B862" s="181"/>
      <c r="E862" s="76"/>
      <c r="G862" s="182"/>
      <c r="K862" s="29" t="s">
        <v>175</v>
      </c>
      <c r="L862" s="29" t="s">
        <v>175</v>
      </c>
      <c r="M862" s="29" t="s">
        <v>175</v>
      </c>
    </row>
    <row r="863">
      <c r="A863" s="76"/>
      <c r="B863" s="181"/>
      <c r="E863" s="76"/>
      <c r="G863" s="182"/>
      <c r="K863" s="29" t="s">
        <v>175</v>
      </c>
      <c r="L863" s="29" t="s">
        <v>175</v>
      </c>
      <c r="M863" s="29" t="s">
        <v>175</v>
      </c>
    </row>
    <row r="864">
      <c r="A864" s="76"/>
      <c r="B864" s="181"/>
      <c r="E864" s="76"/>
      <c r="G864" s="182"/>
      <c r="K864" s="29" t="s">
        <v>175</v>
      </c>
      <c r="L864" s="29" t="s">
        <v>175</v>
      </c>
      <c r="M864" s="29" t="s">
        <v>175</v>
      </c>
    </row>
    <row r="865">
      <c r="A865" s="76"/>
      <c r="B865" s="181"/>
      <c r="E865" s="76"/>
      <c r="G865" s="182"/>
      <c r="K865" s="29" t="s">
        <v>175</v>
      </c>
      <c r="L865" s="29" t="s">
        <v>175</v>
      </c>
      <c r="M865" s="29" t="s">
        <v>175</v>
      </c>
    </row>
    <row r="866">
      <c r="A866" s="76"/>
      <c r="B866" s="181"/>
      <c r="E866" s="76"/>
      <c r="G866" s="182"/>
      <c r="K866" s="29" t="s">
        <v>175</v>
      </c>
      <c r="L866" s="29" t="s">
        <v>175</v>
      </c>
      <c r="M866" s="29" t="s">
        <v>175</v>
      </c>
    </row>
    <row r="867">
      <c r="A867" s="76"/>
      <c r="B867" s="181"/>
      <c r="E867" s="76"/>
      <c r="G867" s="182"/>
      <c r="K867" s="29" t="s">
        <v>175</v>
      </c>
      <c r="L867" s="29" t="s">
        <v>175</v>
      </c>
      <c r="M867" s="29" t="s">
        <v>175</v>
      </c>
    </row>
    <row r="868">
      <c r="A868" s="76"/>
      <c r="B868" s="181"/>
      <c r="E868" s="76"/>
      <c r="G868" s="182"/>
      <c r="K868" s="29" t="s">
        <v>175</v>
      </c>
      <c r="L868" s="29" t="s">
        <v>175</v>
      </c>
      <c r="M868" s="29" t="s">
        <v>175</v>
      </c>
    </row>
    <row r="869">
      <c r="A869" s="76"/>
      <c r="B869" s="181"/>
      <c r="E869" s="76"/>
      <c r="G869" s="182"/>
      <c r="K869" s="29" t="s">
        <v>175</v>
      </c>
      <c r="L869" s="29" t="s">
        <v>175</v>
      </c>
      <c r="M869" s="29" t="s">
        <v>175</v>
      </c>
    </row>
    <row r="870">
      <c r="A870" s="76"/>
      <c r="B870" s="181"/>
      <c r="E870" s="76"/>
      <c r="G870" s="182"/>
      <c r="K870" s="29" t="s">
        <v>175</v>
      </c>
      <c r="L870" s="29" t="s">
        <v>175</v>
      </c>
      <c r="M870" s="29" t="s">
        <v>175</v>
      </c>
    </row>
    <row r="871">
      <c r="A871" s="76"/>
      <c r="B871" s="181"/>
      <c r="E871" s="76"/>
      <c r="G871" s="182"/>
      <c r="K871" s="29" t="s">
        <v>175</v>
      </c>
      <c r="L871" s="29" t="s">
        <v>175</v>
      </c>
      <c r="M871" s="29" t="s">
        <v>175</v>
      </c>
    </row>
    <row r="872">
      <c r="A872" s="76"/>
      <c r="B872" s="181"/>
      <c r="E872" s="76"/>
      <c r="G872" s="182"/>
      <c r="K872" s="29" t="s">
        <v>175</v>
      </c>
      <c r="L872" s="29" t="s">
        <v>175</v>
      </c>
      <c r="M872" s="29" t="s">
        <v>175</v>
      </c>
    </row>
    <row r="873">
      <c r="A873" s="76"/>
      <c r="B873" s="181"/>
      <c r="E873" s="76"/>
      <c r="G873" s="182"/>
      <c r="K873" s="29" t="s">
        <v>175</v>
      </c>
      <c r="L873" s="29" t="s">
        <v>175</v>
      </c>
      <c r="M873" s="29" t="s">
        <v>175</v>
      </c>
    </row>
    <row r="874">
      <c r="A874" s="76"/>
      <c r="B874" s="181"/>
      <c r="E874" s="76"/>
      <c r="G874" s="182"/>
      <c r="K874" s="29" t="s">
        <v>175</v>
      </c>
      <c r="L874" s="29" t="s">
        <v>175</v>
      </c>
      <c r="M874" s="29" t="s">
        <v>175</v>
      </c>
    </row>
    <row r="875">
      <c r="A875" s="76"/>
      <c r="B875" s="181"/>
      <c r="E875" s="76"/>
      <c r="G875" s="182"/>
      <c r="K875" s="29" t="s">
        <v>175</v>
      </c>
      <c r="L875" s="29" t="s">
        <v>175</v>
      </c>
      <c r="M875" s="29" t="s">
        <v>175</v>
      </c>
    </row>
    <row r="876">
      <c r="A876" s="76"/>
      <c r="B876" s="181"/>
      <c r="E876" s="76"/>
      <c r="G876" s="182"/>
      <c r="K876" s="29" t="s">
        <v>175</v>
      </c>
      <c r="L876" s="29" t="s">
        <v>175</v>
      </c>
      <c r="M876" s="29" t="s">
        <v>175</v>
      </c>
    </row>
    <row r="877">
      <c r="A877" s="76"/>
      <c r="B877" s="181"/>
      <c r="E877" s="76"/>
      <c r="G877" s="182"/>
      <c r="K877" s="29" t="s">
        <v>175</v>
      </c>
      <c r="L877" s="29" t="s">
        <v>175</v>
      </c>
      <c r="M877" s="29" t="s">
        <v>175</v>
      </c>
    </row>
    <row r="878">
      <c r="A878" s="76"/>
      <c r="B878" s="181"/>
      <c r="E878" s="76"/>
      <c r="G878" s="182"/>
      <c r="K878" s="29" t="s">
        <v>175</v>
      </c>
      <c r="L878" s="29" t="s">
        <v>175</v>
      </c>
      <c r="M878" s="29" t="s">
        <v>175</v>
      </c>
    </row>
    <row r="879">
      <c r="A879" s="76"/>
      <c r="B879" s="181"/>
      <c r="E879" s="76"/>
      <c r="G879" s="182"/>
      <c r="K879" s="29" t="s">
        <v>175</v>
      </c>
      <c r="L879" s="29" t="s">
        <v>175</v>
      </c>
      <c r="M879" s="29" t="s">
        <v>175</v>
      </c>
    </row>
    <row r="880">
      <c r="A880" s="76"/>
      <c r="B880" s="181"/>
      <c r="E880" s="76"/>
      <c r="G880" s="182"/>
      <c r="K880" s="29" t="s">
        <v>175</v>
      </c>
      <c r="L880" s="29" t="s">
        <v>175</v>
      </c>
      <c r="M880" s="29" t="s">
        <v>175</v>
      </c>
    </row>
    <row r="881">
      <c r="A881" s="76"/>
      <c r="B881" s="181"/>
      <c r="E881" s="76"/>
      <c r="G881" s="182"/>
      <c r="K881" s="29" t="s">
        <v>175</v>
      </c>
      <c r="L881" s="29" t="s">
        <v>175</v>
      </c>
      <c r="M881" s="29" t="s">
        <v>175</v>
      </c>
    </row>
    <row r="882">
      <c r="A882" s="76"/>
      <c r="B882" s="181"/>
      <c r="E882" s="76"/>
      <c r="G882" s="182"/>
      <c r="K882" s="29" t="s">
        <v>175</v>
      </c>
      <c r="L882" s="29" t="s">
        <v>175</v>
      </c>
      <c r="M882" s="29" t="s">
        <v>175</v>
      </c>
    </row>
    <row r="883">
      <c r="A883" s="76"/>
      <c r="B883" s="181"/>
      <c r="E883" s="76"/>
      <c r="G883" s="182"/>
      <c r="K883" s="29" t="s">
        <v>175</v>
      </c>
      <c r="L883" s="29" t="s">
        <v>175</v>
      </c>
      <c r="M883" s="29" t="s">
        <v>175</v>
      </c>
    </row>
    <row r="884">
      <c r="A884" s="76"/>
      <c r="B884" s="181"/>
      <c r="E884" s="76"/>
      <c r="G884" s="182"/>
      <c r="K884" s="29" t="s">
        <v>175</v>
      </c>
      <c r="L884" s="29" t="s">
        <v>175</v>
      </c>
      <c r="M884" s="29" t="s">
        <v>175</v>
      </c>
    </row>
    <row r="885">
      <c r="A885" s="76"/>
      <c r="B885" s="181"/>
      <c r="E885" s="76"/>
      <c r="G885" s="182"/>
      <c r="K885" s="29" t="s">
        <v>175</v>
      </c>
      <c r="L885" s="29" t="s">
        <v>175</v>
      </c>
      <c r="M885" s="29" t="s">
        <v>175</v>
      </c>
    </row>
    <row r="886">
      <c r="A886" s="76"/>
      <c r="B886" s="181"/>
      <c r="E886" s="76"/>
      <c r="G886" s="182"/>
      <c r="K886" s="29" t="s">
        <v>175</v>
      </c>
      <c r="L886" s="29" t="s">
        <v>175</v>
      </c>
      <c r="M886" s="29" t="s">
        <v>175</v>
      </c>
    </row>
    <row r="887">
      <c r="A887" s="76"/>
      <c r="B887" s="181"/>
      <c r="E887" s="76"/>
      <c r="G887" s="182"/>
      <c r="K887" s="29" t="s">
        <v>175</v>
      </c>
      <c r="L887" s="29" t="s">
        <v>175</v>
      </c>
      <c r="M887" s="29" t="s">
        <v>175</v>
      </c>
    </row>
    <row r="888">
      <c r="A888" s="76"/>
      <c r="B888" s="181"/>
      <c r="E888" s="76"/>
      <c r="G888" s="182"/>
      <c r="K888" s="29" t="s">
        <v>175</v>
      </c>
      <c r="L888" s="29" t="s">
        <v>175</v>
      </c>
      <c r="M888" s="29" t="s">
        <v>175</v>
      </c>
    </row>
    <row r="889">
      <c r="A889" s="76"/>
      <c r="B889" s="181"/>
      <c r="E889" s="76"/>
      <c r="G889" s="182"/>
      <c r="K889" s="29" t="s">
        <v>175</v>
      </c>
      <c r="L889" s="29" t="s">
        <v>175</v>
      </c>
      <c r="M889" s="29" t="s">
        <v>175</v>
      </c>
    </row>
    <row r="890">
      <c r="A890" s="76"/>
      <c r="B890" s="181"/>
      <c r="E890" s="76"/>
      <c r="G890" s="182"/>
      <c r="K890" s="29" t="s">
        <v>175</v>
      </c>
      <c r="L890" s="29" t="s">
        <v>175</v>
      </c>
      <c r="M890" s="29" t="s">
        <v>175</v>
      </c>
    </row>
    <row r="891">
      <c r="A891" s="76"/>
      <c r="B891" s="181"/>
      <c r="E891" s="76"/>
      <c r="G891" s="182"/>
      <c r="K891" s="29" t="s">
        <v>175</v>
      </c>
      <c r="L891" s="29" t="s">
        <v>175</v>
      </c>
      <c r="M891" s="29" t="s">
        <v>175</v>
      </c>
    </row>
    <row r="892">
      <c r="A892" s="76"/>
      <c r="B892" s="181"/>
      <c r="E892" s="76"/>
      <c r="G892" s="182"/>
      <c r="K892" s="29" t="s">
        <v>175</v>
      </c>
      <c r="L892" s="29" t="s">
        <v>175</v>
      </c>
      <c r="M892" s="29" t="s">
        <v>175</v>
      </c>
    </row>
    <row r="893">
      <c r="A893" s="76"/>
      <c r="B893" s="181"/>
      <c r="E893" s="76"/>
      <c r="G893" s="182"/>
      <c r="K893" s="29" t="s">
        <v>175</v>
      </c>
      <c r="L893" s="29" t="s">
        <v>175</v>
      </c>
      <c r="M893" s="29" t="s">
        <v>175</v>
      </c>
    </row>
    <row r="894">
      <c r="A894" s="76"/>
      <c r="B894" s="181"/>
      <c r="E894" s="76"/>
      <c r="G894" s="182"/>
      <c r="K894" s="29" t="s">
        <v>175</v>
      </c>
      <c r="L894" s="29" t="s">
        <v>175</v>
      </c>
      <c r="M894" s="29" t="s">
        <v>175</v>
      </c>
    </row>
    <row r="895">
      <c r="A895" s="76"/>
      <c r="B895" s="181"/>
      <c r="E895" s="76"/>
      <c r="G895" s="182"/>
      <c r="K895" s="29" t="s">
        <v>175</v>
      </c>
      <c r="L895" s="29" t="s">
        <v>175</v>
      </c>
      <c r="M895" s="29" t="s">
        <v>175</v>
      </c>
    </row>
    <row r="896">
      <c r="A896" s="76"/>
      <c r="B896" s="181"/>
      <c r="E896" s="76"/>
      <c r="G896" s="182"/>
      <c r="K896" s="29" t="s">
        <v>175</v>
      </c>
      <c r="L896" s="29" t="s">
        <v>175</v>
      </c>
      <c r="M896" s="29" t="s">
        <v>175</v>
      </c>
    </row>
    <row r="897">
      <c r="A897" s="76"/>
      <c r="B897" s="181"/>
      <c r="E897" s="76"/>
      <c r="G897" s="182"/>
      <c r="K897" s="29" t="s">
        <v>175</v>
      </c>
      <c r="L897" s="29" t="s">
        <v>175</v>
      </c>
      <c r="M897" s="29" t="s">
        <v>175</v>
      </c>
    </row>
    <row r="898">
      <c r="A898" s="76"/>
      <c r="B898" s="181"/>
      <c r="E898" s="76"/>
      <c r="G898" s="182"/>
      <c r="K898" s="29" t="s">
        <v>175</v>
      </c>
      <c r="L898" s="29" t="s">
        <v>175</v>
      </c>
      <c r="M898" s="29" t="s">
        <v>175</v>
      </c>
    </row>
    <row r="899">
      <c r="A899" s="76"/>
      <c r="B899" s="181"/>
      <c r="E899" s="76"/>
      <c r="G899" s="182"/>
      <c r="K899" s="29" t="s">
        <v>175</v>
      </c>
      <c r="L899" s="29" t="s">
        <v>175</v>
      </c>
      <c r="M899" s="29" t="s">
        <v>175</v>
      </c>
    </row>
    <row r="900">
      <c r="A900" s="76"/>
      <c r="B900" s="181"/>
      <c r="E900" s="76"/>
      <c r="G900" s="182"/>
      <c r="K900" s="29" t="s">
        <v>175</v>
      </c>
      <c r="L900" s="29" t="s">
        <v>175</v>
      </c>
      <c r="M900" s="29" t="s">
        <v>175</v>
      </c>
    </row>
    <row r="901">
      <c r="A901" s="76"/>
      <c r="B901" s="181"/>
      <c r="E901" s="76"/>
      <c r="G901" s="182"/>
      <c r="K901" s="29" t="s">
        <v>175</v>
      </c>
      <c r="L901" s="29" t="s">
        <v>175</v>
      </c>
      <c r="M901" s="29" t="s">
        <v>175</v>
      </c>
    </row>
    <row r="902">
      <c r="A902" s="76"/>
      <c r="B902" s="181"/>
      <c r="E902" s="76"/>
      <c r="G902" s="182"/>
      <c r="K902" s="29" t="s">
        <v>175</v>
      </c>
      <c r="L902" s="29" t="s">
        <v>175</v>
      </c>
      <c r="M902" s="29" t="s">
        <v>175</v>
      </c>
    </row>
    <row r="903">
      <c r="A903" s="76"/>
      <c r="B903" s="181"/>
      <c r="E903" s="76"/>
      <c r="G903" s="182"/>
      <c r="K903" s="29" t="s">
        <v>175</v>
      </c>
      <c r="L903" s="29" t="s">
        <v>175</v>
      </c>
      <c r="M903" s="29" t="s">
        <v>175</v>
      </c>
    </row>
    <row r="904">
      <c r="A904" s="76"/>
      <c r="B904" s="181"/>
      <c r="E904" s="76"/>
      <c r="G904" s="182"/>
      <c r="K904" s="29" t="s">
        <v>175</v>
      </c>
      <c r="L904" s="29" t="s">
        <v>175</v>
      </c>
      <c r="M904" s="29" t="s">
        <v>175</v>
      </c>
    </row>
    <row r="905">
      <c r="A905" s="76"/>
      <c r="B905" s="181"/>
      <c r="E905" s="76"/>
      <c r="G905" s="182"/>
      <c r="K905" s="29" t="s">
        <v>175</v>
      </c>
      <c r="L905" s="29" t="s">
        <v>175</v>
      </c>
      <c r="M905" s="29" t="s">
        <v>175</v>
      </c>
    </row>
    <row r="906">
      <c r="A906" s="76"/>
      <c r="B906" s="181"/>
      <c r="E906" s="76"/>
      <c r="G906" s="182"/>
      <c r="K906" s="29" t="s">
        <v>175</v>
      </c>
      <c r="L906" s="29" t="s">
        <v>175</v>
      </c>
      <c r="M906" s="29" t="s">
        <v>175</v>
      </c>
    </row>
    <row r="907">
      <c r="A907" s="76"/>
      <c r="B907" s="181"/>
      <c r="E907" s="76"/>
      <c r="G907" s="182"/>
      <c r="K907" s="29" t="s">
        <v>175</v>
      </c>
      <c r="L907" s="29" t="s">
        <v>175</v>
      </c>
      <c r="M907" s="29" t="s">
        <v>175</v>
      </c>
    </row>
    <row r="908">
      <c r="A908" s="76"/>
      <c r="B908" s="181"/>
      <c r="E908" s="76"/>
      <c r="G908" s="182"/>
      <c r="K908" s="29" t="s">
        <v>175</v>
      </c>
      <c r="L908" s="29" t="s">
        <v>175</v>
      </c>
      <c r="M908" s="29" t="s">
        <v>175</v>
      </c>
    </row>
    <row r="909">
      <c r="A909" s="76"/>
      <c r="B909" s="181"/>
      <c r="E909" s="76"/>
      <c r="G909" s="182"/>
      <c r="K909" s="29" t="s">
        <v>175</v>
      </c>
      <c r="L909" s="29" t="s">
        <v>175</v>
      </c>
      <c r="M909" s="29" t="s">
        <v>175</v>
      </c>
    </row>
    <row r="910">
      <c r="A910" s="76"/>
      <c r="B910" s="181"/>
      <c r="E910" s="76"/>
      <c r="G910" s="182"/>
      <c r="K910" s="29" t="s">
        <v>175</v>
      </c>
      <c r="L910" s="29" t="s">
        <v>175</v>
      </c>
      <c r="M910" s="29" t="s">
        <v>175</v>
      </c>
    </row>
    <row r="911">
      <c r="A911" s="76"/>
      <c r="B911" s="181"/>
      <c r="E911" s="76"/>
      <c r="G911" s="182"/>
      <c r="K911" s="29" t="s">
        <v>175</v>
      </c>
      <c r="L911" s="29" t="s">
        <v>175</v>
      </c>
      <c r="M911" s="29" t="s">
        <v>175</v>
      </c>
    </row>
    <row r="912">
      <c r="A912" s="76"/>
      <c r="B912" s="181"/>
      <c r="E912" s="76"/>
      <c r="G912" s="182"/>
      <c r="K912" s="29" t="s">
        <v>175</v>
      </c>
      <c r="L912" s="29" t="s">
        <v>175</v>
      </c>
      <c r="M912" s="29" t="s">
        <v>175</v>
      </c>
    </row>
    <row r="913">
      <c r="A913" s="76"/>
      <c r="B913" s="181"/>
      <c r="E913" s="76"/>
      <c r="G913" s="182"/>
      <c r="K913" s="29" t="s">
        <v>175</v>
      </c>
      <c r="L913" s="29" t="s">
        <v>175</v>
      </c>
      <c r="M913" s="29" t="s">
        <v>175</v>
      </c>
    </row>
    <row r="914">
      <c r="A914" s="76"/>
      <c r="B914" s="181"/>
      <c r="E914" s="76"/>
      <c r="G914" s="182"/>
      <c r="K914" s="29" t="s">
        <v>175</v>
      </c>
      <c r="L914" s="29" t="s">
        <v>175</v>
      </c>
      <c r="M914" s="29" t="s">
        <v>175</v>
      </c>
    </row>
    <row r="915">
      <c r="A915" s="76"/>
      <c r="B915" s="181"/>
      <c r="E915" s="76"/>
      <c r="G915" s="182"/>
      <c r="K915" s="29" t="s">
        <v>175</v>
      </c>
      <c r="L915" s="29" t="s">
        <v>175</v>
      </c>
      <c r="M915" s="29" t="s">
        <v>175</v>
      </c>
    </row>
    <row r="916">
      <c r="A916" s="76"/>
      <c r="B916" s="181"/>
      <c r="E916" s="76"/>
      <c r="G916" s="182"/>
      <c r="K916" s="29" t="s">
        <v>175</v>
      </c>
      <c r="L916" s="29" t="s">
        <v>175</v>
      </c>
      <c r="M916" s="29" t="s">
        <v>175</v>
      </c>
    </row>
    <row r="917">
      <c r="A917" s="76"/>
      <c r="B917" s="181"/>
      <c r="E917" s="76"/>
      <c r="G917" s="182"/>
      <c r="K917" s="29" t="s">
        <v>175</v>
      </c>
      <c r="L917" s="29" t="s">
        <v>175</v>
      </c>
      <c r="M917" s="29" t="s">
        <v>175</v>
      </c>
    </row>
    <row r="918">
      <c r="A918" s="76"/>
      <c r="B918" s="181"/>
      <c r="E918" s="76"/>
      <c r="G918" s="182"/>
      <c r="K918" s="29" t="s">
        <v>175</v>
      </c>
      <c r="L918" s="29" t="s">
        <v>175</v>
      </c>
      <c r="M918" s="29" t="s">
        <v>175</v>
      </c>
    </row>
    <row r="919">
      <c r="A919" s="76"/>
      <c r="B919" s="181"/>
      <c r="E919" s="76"/>
      <c r="G919" s="182"/>
      <c r="K919" s="29" t="s">
        <v>175</v>
      </c>
      <c r="L919" s="29" t="s">
        <v>175</v>
      </c>
      <c r="M919" s="29" t="s">
        <v>175</v>
      </c>
    </row>
    <row r="920">
      <c r="A920" s="76"/>
      <c r="B920" s="181"/>
      <c r="E920" s="76"/>
      <c r="G920" s="182"/>
      <c r="K920" s="29" t="s">
        <v>175</v>
      </c>
      <c r="L920" s="29" t="s">
        <v>175</v>
      </c>
      <c r="M920" s="29" t="s">
        <v>175</v>
      </c>
    </row>
    <row r="921">
      <c r="A921" s="76"/>
      <c r="B921" s="181"/>
      <c r="E921" s="76"/>
      <c r="G921" s="182"/>
      <c r="K921" s="29" t="s">
        <v>175</v>
      </c>
      <c r="L921" s="29" t="s">
        <v>175</v>
      </c>
      <c r="M921" s="29" t="s">
        <v>175</v>
      </c>
    </row>
    <row r="922">
      <c r="A922" s="76"/>
      <c r="B922" s="181"/>
      <c r="E922" s="76"/>
      <c r="G922" s="182"/>
      <c r="K922" s="29" t="s">
        <v>175</v>
      </c>
      <c r="L922" s="29" t="s">
        <v>175</v>
      </c>
      <c r="M922" s="29" t="s">
        <v>175</v>
      </c>
    </row>
    <row r="923">
      <c r="A923" s="76"/>
      <c r="B923" s="181"/>
      <c r="E923" s="76"/>
      <c r="G923" s="182"/>
      <c r="K923" s="29" t="s">
        <v>175</v>
      </c>
      <c r="L923" s="29" t="s">
        <v>175</v>
      </c>
      <c r="M923" s="29" t="s">
        <v>175</v>
      </c>
    </row>
    <row r="924">
      <c r="A924" s="76"/>
      <c r="B924" s="181"/>
      <c r="E924" s="76"/>
      <c r="G924" s="182"/>
      <c r="K924" s="29" t="s">
        <v>175</v>
      </c>
      <c r="L924" s="29" t="s">
        <v>175</v>
      </c>
      <c r="M924" s="29" t="s">
        <v>175</v>
      </c>
    </row>
    <row r="925">
      <c r="A925" s="76"/>
      <c r="B925" s="181"/>
      <c r="E925" s="76"/>
      <c r="G925" s="182"/>
      <c r="K925" s="29" t="s">
        <v>175</v>
      </c>
      <c r="L925" s="29" t="s">
        <v>175</v>
      </c>
      <c r="M925" s="29" t="s">
        <v>175</v>
      </c>
    </row>
    <row r="926">
      <c r="A926" s="76"/>
      <c r="B926" s="181"/>
      <c r="E926" s="76"/>
      <c r="G926" s="182"/>
      <c r="K926" s="29" t="s">
        <v>175</v>
      </c>
      <c r="L926" s="29" t="s">
        <v>175</v>
      </c>
      <c r="M926" s="29" t="s">
        <v>175</v>
      </c>
    </row>
    <row r="927">
      <c r="A927" s="76"/>
      <c r="B927" s="181"/>
      <c r="E927" s="76"/>
      <c r="G927" s="182"/>
      <c r="K927" s="29" t="s">
        <v>175</v>
      </c>
      <c r="L927" s="29" t="s">
        <v>175</v>
      </c>
      <c r="M927" s="29" t="s">
        <v>175</v>
      </c>
    </row>
    <row r="928">
      <c r="A928" s="76"/>
      <c r="B928" s="181"/>
      <c r="E928" s="76"/>
      <c r="G928" s="182"/>
      <c r="K928" s="29" t="s">
        <v>175</v>
      </c>
      <c r="L928" s="29" t="s">
        <v>175</v>
      </c>
      <c r="M928" s="29" t="s">
        <v>175</v>
      </c>
    </row>
    <row r="929">
      <c r="A929" s="76"/>
      <c r="B929" s="181"/>
      <c r="E929" s="76"/>
      <c r="G929" s="182"/>
      <c r="K929" s="29" t="s">
        <v>175</v>
      </c>
      <c r="L929" s="29" t="s">
        <v>175</v>
      </c>
      <c r="M929" s="29" t="s">
        <v>175</v>
      </c>
    </row>
    <row r="930">
      <c r="A930" s="76"/>
      <c r="B930" s="181"/>
      <c r="E930" s="76"/>
      <c r="G930" s="182"/>
      <c r="K930" s="29" t="s">
        <v>175</v>
      </c>
      <c r="L930" s="29" t="s">
        <v>175</v>
      </c>
      <c r="M930" s="29" t="s">
        <v>175</v>
      </c>
    </row>
    <row r="931">
      <c r="A931" s="76"/>
      <c r="B931" s="181"/>
      <c r="E931" s="76"/>
      <c r="G931" s="182"/>
      <c r="K931" s="29" t="s">
        <v>175</v>
      </c>
      <c r="L931" s="29" t="s">
        <v>175</v>
      </c>
      <c r="M931" s="29" t="s">
        <v>175</v>
      </c>
    </row>
    <row r="932">
      <c r="A932" s="76"/>
      <c r="B932" s="181"/>
      <c r="E932" s="76"/>
      <c r="G932" s="182"/>
      <c r="K932" s="29" t="s">
        <v>175</v>
      </c>
      <c r="L932" s="29" t="s">
        <v>175</v>
      </c>
      <c r="M932" s="29" t="s">
        <v>175</v>
      </c>
    </row>
    <row r="933">
      <c r="A933" s="76"/>
      <c r="B933" s="181"/>
      <c r="E933" s="76"/>
      <c r="G933" s="182"/>
      <c r="K933" s="29" t="s">
        <v>175</v>
      </c>
      <c r="L933" s="29" t="s">
        <v>175</v>
      </c>
      <c r="M933" s="29" t="s">
        <v>175</v>
      </c>
    </row>
    <row r="934">
      <c r="A934" s="76"/>
      <c r="B934" s="181"/>
      <c r="E934" s="76"/>
      <c r="G934" s="182"/>
      <c r="K934" s="29" t="s">
        <v>175</v>
      </c>
      <c r="L934" s="29" t="s">
        <v>175</v>
      </c>
      <c r="M934" s="29" t="s">
        <v>175</v>
      </c>
    </row>
    <row r="935">
      <c r="A935" s="76"/>
      <c r="B935" s="181"/>
      <c r="E935" s="76"/>
      <c r="G935" s="182"/>
      <c r="K935" s="29" t="s">
        <v>175</v>
      </c>
      <c r="L935" s="29" t="s">
        <v>175</v>
      </c>
      <c r="M935" s="29" t="s">
        <v>175</v>
      </c>
    </row>
    <row r="936">
      <c r="A936" s="76"/>
      <c r="B936" s="181"/>
      <c r="E936" s="76"/>
      <c r="G936" s="182"/>
      <c r="K936" s="29" t="s">
        <v>175</v>
      </c>
      <c r="L936" s="29" t="s">
        <v>175</v>
      </c>
      <c r="M936" s="29" t="s">
        <v>175</v>
      </c>
    </row>
    <row r="937">
      <c r="A937" s="76"/>
      <c r="B937" s="181"/>
      <c r="E937" s="76"/>
      <c r="G937" s="182"/>
      <c r="K937" s="29" t="s">
        <v>175</v>
      </c>
      <c r="L937" s="29" t="s">
        <v>175</v>
      </c>
      <c r="M937" s="29" t="s">
        <v>175</v>
      </c>
    </row>
    <row r="938">
      <c r="A938" s="76"/>
      <c r="B938" s="181"/>
      <c r="E938" s="76"/>
      <c r="G938" s="182"/>
      <c r="K938" s="29" t="s">
        <v>175</v>
      </c>
      <c r="L938" s="29" t="s">
        <v>175</v>
      </c>
      <c r="M938" s="29" t="s">
        <v>175</v>
      </c>
    </row>
    <row r="939">
      <c r="A939" s="76"/>
      <c r="B939" s="181"/>
      <c r="E939" s="76"/>
      <c r="G939" s="182"/>
      <c r="K939" s="29" t="s">
        <v>175</v>
      </c>
      <c r="L939" s="29" t="s">
        <v>175</v>
      </c>
      <c r="M939" s="29" t="s">
        <v>175</v>
      </c>
    </row>
    <row r="940">
      <c r="A940" s="76"/>
      <c r="B940" s="181"/>
      <c r="E940" s="76"/>
      <c r="G940" s="182"/>
      <c r="K940" s="29" t="s">
        <v>175</v>
      </c>
      <c r="L940" s="29" t="s">
        <v>175</v>
      </c>
      <c r="M940" s="29" t="s">
        <v>175</v>
      </c>
    </row>
    <row r="941">
      <c r="A941" s="76"/>
      <c r="B941" s="181"/>
      <c r="E941" s="76"/>
      <c r="G941" s="182"/>
      <c r="K941" s="29" t="s">
        <v>175</v>
      </c>
      <c r="L941" s="29" t="s">
        <v>175</v>
      </c>
      <c r="M941" s="29" t="s">
        <v>175</v>
      </c>
    </row>
    <row r="942">
      <c r="A942" s="76"/>
      <c r="B942" s="181"/>
      <c r="E942" s="76"/>
      <c r="G942" s="182"/>
      <c r="K942" s="29" t="s">
        <v>175</v>
      </c>
      <c r="L942" s="29" t="s">
        <v>175</v>
      </c>
      <c r="M942" s="29" t="s">
        <v>175</v>
      </c>
    </row>
    <row r="943">
      <c r="A943" s="76"/>
      <c r="B943" s="181"/>
      <c r="E943" s="76"/>
      <c r="G943" s="182"/>
      <c r="K943" s="29" t="s">
        <v>175</v>
      </c>
      <c r="L943" s="29" t="s">
        <v>175</v>
      </c>
      <c r="M943" s="29" t="s">
        <v>175</v>
      </c>
    </row>
    <row r="944">
      <c r="A944" s="76"/>
      <c r="B944" s="181"/>
      <c r="E944" s="76"/>
      <c r="G944" s="182"/>
      <c r="K944" s="29" t="s">
        <v>175</v>
      </c>
      <c r="L944" s="29" t="s">
        <v>175</v>
      </c>
      <c r="M944" s="29" t="s">
        <v>175</v>
      </c>
    </row>
    <row r="945">
      <c r="A945" s="76"/>
      <c r="B945" s="181"/>
      <c r="E945" s="76"/>
      <c r="G945" s="182"/>
      <c r="K945" s="29" t="s">
        <v>175</v>
      </c>
      <c r="L945" s="29" t="s">
        <v>175</v>
      </c>
      <c r="M945" s="29" t="s">
        <v>175</v>
      </c>
    </row>
    <row r="946">
      <c r="A946" s="76"/>
      <c r="B946" s="181"/>
      <c r="E946" s="76"/>
      <c r="G946" s="182"/>
      <c r="K946" s="29" t="s">
        <v>175</v>
      </c>
      <c r="L946" s="29" t="s">
        <v>175</v>
      </c>
      <c r="M946" s="29" t="s">
        <v>175</v>
      </c>
    </row>
    <row r="947">
      <c r="A947" s="76"/>
      <c r="B947" s="181"/>
      <c r="E947" s="76"/>
      <c r="G947" s="182"/>
      <c r="K947" s="29" t="s">
        <v>175</v>
      </c>
      <c r="L947" s="29" t="s">
        <v>175</v>
      </c>
      <c r="M947" s="29" t="s">
        <v>175</v>
      </c>
    </row>
    <row r="948">
      <c r="A948" s="76"/>
      <c r="B948" s="181"/>
      <c r="E948" s="76"/>
      <c r="G948" s="182"/>
      <c r="K948" s="29" t="s">
        <v>175</v>
      </c>
      <c r="L948" s="29" t="s">
        <v>175</v>
      </c>
      <c r="M948" s="29" t="s">
        <v>175</v>
      </c>
    </row>
    <row r="949">
      <c r="A949" s="76"/>
      <c r="B949" s="181"/>
      <c r="E949" s="76"/>
      <c r="G949" s="182"/>
      <c r="K949" s="29" t="s">
        <v>175</v>
      </c>
      <c r="L949" s="29" t="s">
        <v>175</v>
      </c>
      <c r="M949" s="29" t="s">
        <v>175</v>
      </c>
    </row>
    <row r="950">
      <c r="A950" s="76"/>
      <c r="B950" s="181"/>
      <c r="E950" s="76"/>
      <c r="G950" s="182"/>
      <c r="K950" s="29" t="s">
        <v>175</v>
      </c>
      <c r="L950" s="29" t="s">
        <v>175</v>
      </c>
      <c r="M950" s="29" t="s">
        <v>175</v>
      </c>
    </row>
    <row r="951">
      <c r="A951" s="76"/>
      <c r="B951" s="181"/>
      <c r="E951" s="76"/>
      <c r="G951" s="182"/>
      <c r="K951" s="29" t="s">
        <v>175</v>
      </c>
      <c r="L951" s="29" t="s">
        <v>175</v>
      </c>
      <c r="M951" s="29" t="s">
        <v>175</v>
      </c>
    </row>
    <row r="952">
      <c r="A952" s="76"/>
      <c r="B952" s="181"/>
      <c r="E952" s="76"/>
      <c r="G952" s="182"/>
      <c r="K952" s="29" t="s">
        <v>175</v>
      </c>
      <c r="L952" s="29" t="s">
        <v>175</v>
      </c>
      <c r="M952" s="29" t="s">
        <v>175</v>
      </c>
    </row>
    <row r="953">
      <c r="A953" s="76"/>
      <c r="B953" s="181"/>
      <c r="E953" s="76"/>
      <c r="G953" s="182"/>
      <c r="K953" s="29" t="s">
        <v>175</v>
      </c>
      <c r="L953" s="29" t="s">
        <v>175</v>
      </c>
      <c r="M953" s="29" t="s">
        <v>175</v>
      </c>
    </row>
    <row r="954">
      <c r="A954" s="76"/>
      <c r="B954" s="181"/>
      <c r="E954" s="76"/>
      <c r="G954" s="182"/>
      <c r="K954" s="29" t="s">
        <v>175</v>
      </c>
      <c r="L954" s="29" t="s">
        <v>175</v>
      </c>
      <c r="M954" s="29" t="s">
        <v>175</v>
      </c>
    </row>
    <row r="955">
      <c r="A955" s="76"/>
      <c r="B955" s="181"/>
      <c r="E955" s="76"/>
      <c r="G955" s="182"/>
      <c r="K955" s="29" t="s">
        <v>175</v>
      </c>
      <c r="L955" s="29" t="s">
        <v>175</v>
      </c>
      <c r="M955" s="29" t="s">
        <v>175</v>
      </c>
    </row>
    <row r="956">
      <c r="A956" s="76"/>
      <c r="B956" s="181"/>
      <c r="E956" s="76"/>
      <c r="G956" s="182"/>
      <c r="K956" s="29" t="s">
        <v>175</v>
      </c>
      <c r="L956" s="29" t="s">
        <v>175</v>
      </c>
      <c r="M956" s="29" t="s">
        <v>175</v>
      </c>
    </row>
    <row r="957">
      <c r="A957" s="76"/>
      <c r="B957" s="181"/>
      <c r="E957" s="76"/>
      <c r="G957" s="182"/>
      <c r="K957" s="29" t="s">
        <v>175</v>
      </c>
      <c r="L957" s="29" t="s">
        <v>175</v>
      </c>
      <c r="M957" s="29" t="s">
        <v>175</v>
      </c>
    </row>
    <row r="958">
      <c r="A958" s="76"/>
      <c r="B958" s="181"/>
      <c r="E958" s="76"/>
      <c r="G958" s="182"/>
      <c r="K958" s="29" t="s">
        <v>175</v>
      </c>
      <c r="L958" s="29" t="s">
        <v>175</v>
      </c>
      <c r="M958" s="29" t="s">
        <v>175</v>
      </c>
    </row>
    <row r="959">
      <c r="A959" s="76"/>
      <c r="B959" s="181"/>
      <c r="E959" s="76"/>
      <c r="G959" s="182"/>
      <c r="K959" s="29" t="s">
        <v>175</v>
      </c>
      <c r="L959" s="29" t="s">
        <v>175</v>
      </c>
      <c r="M959" s="29" t="s">
        <v>175</v>
      </c>
    </row>
    <row r="960">
      <c r="A960" s="76"/>
      <c r="B960" s="181"/>
      <c r="E960" s="76"/>
      <c r="G960" s="182"/>
      <c r="K960" s="29" t="s">
        <v>175</v>
      </c>
      <c r="L960" s="29" t="s">
        <v>175</v>
      </c>
      <c r="M960" s="29" t="s">
        <v>175</v>
      </c>
    </row>
    <row r="961">
      <c r="A961" s="76"/>
      <c r="B961" s="181"/>
      <c r="E961" s="76"/>
      <c r="G961" s="182"/>
      <c r="K961" s="29" t="s">
        <v>175</v>
      </c>
      <c r="L961" s="29" t="s">
        <v>175</v>
      </c>
      <c r="M961" s="29" t="s">
        <v>175</v>
      </c>
    </row>
    <row r="962">
      <c r="A962" s="76"/>
      <c r="B962" s="181"/>
      <c r="E962" s="76"/>
      <c r="G962" s="182"/>
      <c r="K962" s="29" t="s">
        <v>175</v>
      </c>
      <c r="L962" s="29" t="s">
        <v>175</v>
      </c>
      <c r="M962" s="29" t="s">
        <v>175</v>
      </c>
    </row>
    <row r="963">
      <c r="A963" s="76"/>
      <c r="B963" s="181"/>
      <c r="E963" s="76"/>
      <c r="G963" s="182"/>
      <c r="K963" s="29" t="s">
        <v>175</v>
      </c>
      <c r="L963" s="29" t="s">
        <v>175</v>
      </c>
      <c r="M963" s="29" t="s">
        <v>175</v>
      </c>
    </row>
    <row r="964">
      <c r="A964" s="76"/>
      <c r="B964" s="181"/>
      <c r="E964" s="76"/>
      <c r="G964" s="182"/>
      <c r="K964" s="29" t="s">
        <v>175</v>
      </c>
      <c r="L964" s="29" t="s">
        <v>175</v>
      </c>
      <c r="M964" s="29" t="s">
        <v>175</v>
      </c>
    </row>
    <row r="965">
      <c r="A965" s="76"/>
      <c r="B965" s="181"/>
      <c r="E965" s="76"/>
      <c r="G965" s="182"/>
      <c r="K965" s="29" t="s">
        <v>175</v>
      </c>
      <c r="L965" s="29" t="s">
        <v>175</v>
      </c>
      <c r="M965" s="29" t="s">
        <v>175</v>
      </c>
    </row>
    <row r="966">
      <c r="A966" s="76"/>
      <c r="B966" s="181"/>
      <c r="E966" s="76"/>
      <c r="G966" s="182"/>
      <c r="K966" s="29" t="s">
        <v>175</v>
      </c>
      <c r="L966" s="29" t="s">
        <v>175</v>
      </c>
      <c r="M966" s="29" t="s">
        <v>175</v>
      </c>
    </row>
    <row r="967">
      <c r="A967" s="76"/>
      <c r="B967" s="181"/>
      <c r="E967" s="76"/>
      <c r="G967" s="182"/>
      <c r="K967" s="29" t="s">
        <v>175</v>
      </c>
      <c r="L967" s="29" t="s">
        <v>175</v>
      </c>
      <c r="M967" s="29" t="s">
        <v>175</v>
      </c>
    </row>
    <row r="968">
      <c r="A968" s="76"/>
      <c r="B968" s="181"/>
      <c r="E968" s="76"/>
      <c r="G968" s="182"/>
      <c r="K968" s="29" t="s">
        <v>175</v>
      </c>
      <c r="L968" s="29" t="s">
        <v>175</v>
      </c>
      <c r="M968" s="29" t="s">
        <v>175</v>
      </c>
    </row>
    <row r="969">
      <c r="A969" s="76"/>
      <c r="B969" s="181"/>
      <c r="E969" s="76"/>
      <c r="G969" s="182"/>
      <c r="K969" s="29" t="s">
        <v>175</v>
      </c>
      <c r="L969" s="29" t="s">
        <v>175</v>
      </c>
      <c r="M969" s="29" t="s">
        <v>175</v>
      </c>
    </row>
    <row r="970">
      <c r="A970" s="76"/>
      <c r="B970" s="181"/>
      <c r="E970" s="76"/>
      <c r="G970" s="182"/>
      <c r="K970" s="29" t="s">
        <v>175</v>
      </c>
      <c r="L970" s="29" t="s">
        <v>175</v>
      </c>
      <c r="M970" s="29" t="s">
        <v>175</v>
      </c>
    </row>
    <row r="971">
      <c r="A971" s="76"/>
      <c r="B971" s="181"/>
      <c r="E971" s="76"/>
      <c r="G971" s="182"/>
      <c r="K971" s="29" t="s">
        <v>175</v>
      </c>
      <c r="L971" s="29" t="s">
        <v>175</v>
      </c>
      <c r="M971" s="29" t="s">
        <v>175</v>
      </c>
    </row>
    <row r="972">
      <c r="A972" s="76"/>
      <c r="B972" s="181"/>
      <c r="E972" s="76"/>
      <c r="G972" s="182"/>
      <c r="K972" s="29" t="s">
        <v>175</v>
      </c>
      <c r="L972" s="29" t="s">
        <v>175</v>
      </c>
      <c r="M972" s="29" t="s">
        <v>175</v>
      </c>
    </row>
    <row r="973">
      <c r="A973" s="76"/>
      <c r="B973" s="181"/>
      <c r="E973" s="76"/>
      <c r="G973" s="182"/>
      <c r="K973" s="29" t="s">
        <v>175</v>
      </c>
      <c r="L973" s="29" t="s">
        <v>175</v>
      </c>
      <c r="M973" s="29" t="s">
        <v>175</v>
      </c>
    </row>
    <row r="974">
      <c r="A974" s="76"/>
      <c r="B974" s="181"/>
      <c r="E974" s="76"/>
      <c r="G974" s="182"/>
      <c r="K974" s="29" t="s">
        <v>175</v>
      </c>
      <c r="L974" s="29" t="s">
        <v>175</v>
      </c>
      <c r="M974" s="29" t="s">
        <v>175</v>
      </c>
    </row>
    <row r="975">
      <c r="A975" s="76"/>
      <c r="B975" s="181"/>
      <c r="E975" s="76"/>
      <c r="G975" s="182"/>
      <c r="K975" s="29" t="s">
        <v>175</v>
      </c>
      <c r="L975" s="29" t="s">
        <v>175</v>
      </c>
      <c r="M975" s="29" t="s">
        <v>175</v>
      </c>
    </row>
    <row r="976">
      <c r="A976" s="76"/>
      <c r="B976" s="181"/>
      <c r="E976" s="76"/>
      <c r="G976" s="182"/>
      <c r="K976" s="29" t="s">
        <v>175</v>
      </c>
      <c r="L976" s="29" t="s">
        <v>175</v>
      </c>
      <c r="M976" s="29" t="s">
        <v>175</v>
      </c>
    </row>
    <row r="977">
      <c r="A977" s="76"/>
      <c r="B977" s="181"/>
      <c r="E977" s="76"/>
      <c r="G977" s="182"/>
      <c r="K977" s="29" t="s">
        <v>175</v>
      </c>
      <c r="L977" s="29" t="s">
        <v>175</v>
      </c>
      <c r="M977" s="29" t="s">
        <v>175</v>
      </c>
    </row>
    <row r="978">
      <c r="A978" s="76"/>
      <c r="B978" s="181"/>
      <c r="E978" s="76"/>
      <c r="G978" s="182"/>
      <c r="K978" s="29" t="s">
        <v>175</v>
      </c>
      <c r="L978" s="29" t="s">
        <v>175</v>
      </c>
      <c r="M978" s="29" t="s">
        <v>175</v>
      </c>
    </row>
    <row r="979">
      <c r="A979" s="76"/>
      <c r="B979" s="181"/>
      <c r="E979" s="76"/>
      <c r="G979" s="182"/>
      <c r="K979" s="29" t="s">
        <v>175</v>
      </c>
      <c r="L979" s="29" t="s">
        <v>175</v>
      </c>
      <c r="M979" s="29" t="s">
        <v>175</v>
      </c>
    </row>
    <row r="980">
      <c r="A980" s="76"/>
      <c r="B980" s="181"/>
      <c r="E980" s="76"/>
      <c r="G980" s="182"/>
      <c r="K980" s="29" t="s">
        <v>175</v>
      </c>
      <c r="L980" s="29" t="s">
        <v>175</v>
      </c>
      <c r="M980" s="29" t="s">
        <v>175</v>
      </c>
    </row>
    <row r="981">
      <c r="A981" s="76"/>
      <c r="B981" s="181"/>
      <c r="E981" s="76"/>
      <c r="G981" s="182"/>
      <c r="K981" s="29" t="s">
        <v>175</v>
      </c>
      <c r="L981" s="29" t="s">
        <v>175</v>
      </c>
      <c r="M981" s="29" t="s">
        <v>175</v>
      </c>
    </row>
    <row r="982">
      <c r="A982" s="76"/>
      <c r="B982" s="181"/>
      <c r="E982" s="76"/>
      <c r="G982" s="182"/>
      <c r="K982" s="29" t="s">
        <v>175</v>
      </c>
      <c r="L982" s="29" t="s">
        <v>175</v>
      </c>
      <c r="M982" s="29" t="s">
        <v>175</v>
      </c>
    </row>
    <row r="983">
      <c r="A983" s="76"/>
      <c r="B983" s="181"/>
      <c r="E983" s="76"/>
      <c r="G983" s="182"/>
      <c r="K983" s="29" t="s">
        <v>175</v>
      </c>
      <c r="L983" s="29" t="s">
        <v>175</v>
      </c>
      <c r="M983" s="29" t="s">
        <v>175</v>
      </c>
    </row>
    <row r="984">
      <c r="A984" s="76"/>
      <c r="B984" s="181"/>
      <c r="E984" s="76"/>
      <c r="G984" s="182"/>
      <c r="K984" s="29" t="s">
        <v>175</v>
      </c>
      <c r="L984" s="29" t="s">
        <v>175</v>
      </c>
      <c r="M984" s="29" t="s">
        <v>175</v>
      </c>
    </row>
    <row r="985">
      <c r="A985" s="76"/>
      <c r="B985" s="181"/>
      <c r="E985" s="76"/>
      <c r="G985" s="182"/>
      <c r="K985" s="29" t="s">
        <v>175</v>
      </c>
      <c r="L985" s="29" t="s">
        <v>175</v>
      </c>
      <c r="M985" s="29" t="s">
        <v>175</v>
      </c>
    </row>
    <row r="986">
      <c r="A986" s="76"/>
      <c r="B986" s="181"/>
      <c r="E986" s="76"/>
      <c r="G986" s="182"/>
      <c r="K986" s="29" t="s">
        <v>175</v>
      </c>
      <c r="L986" s="29" t="s">
        <v>175</v>
      </c>
      <c r="M986" s="29" t="s">
        <v>175</v>
      </c>
    </row>
    <row r="987">
      <c r="A987" s="76"/>
      <c r="B987" s="181"/>
      <c r="E987" s="76"/>
      <c r="G987" s="182"/>
      <c r="K987" s="29" t="s">
        <v>175</v>
      </c>
      <c r="L987" s="29" t="s">
        <v>175</v>
      </c>
      <c r="M987" s="29" t="s">
        <v>175</v>
      </c>
    </row>
    <row r="988">
      <c r="A988" s="76"/>
      <c r="B988" s="181"/>
      <c r="E988" s="76"/>
      <c r="G988" s="182"/>
      <c r="K988" s="29" t="s">
        <v>175</v>
      </c>
      <c r="L988" s="29" t="s">
        <v>175</v>
      </c>
      <c r="M988" s="29" t="s">
        <v>175</v>
      </c>
    </row>
    <row r="989">
      <c r="A989" s="76"/>
      <c r="B989" s="181"/>
      <c r="E989" s="76"/>
      <c r="G989" s="182"/>
      <c r="K989" s="29" t="s">
        <v>175</v>
      </c>
      <c r="L989" s="29" t="s">
        <v>175</v>
      </c>
      <c r="M989" s="29" t="s">
        <v>175</v>
      </c>
    </row>
    <row r="990">
      <c r="A990" s="76"/>
      <c r="B990" s="181"/>
      <c r="E990" s="76"/>
      <c r="G990" s="182"/>
      <c r="K990" s="29" t="s">
        <v>175</v>
      </c>
      <c r="L990" s="29" t="s">
        <v>175</v>
      </c>
      <c r="M990" s="29" t="s">
        <v>175</v>
      </c>
    </row>
    <row r="991">
      <c r="A991" s="76"/>
      <c r="B991" s="181"/>
      <c r="E991" s="76"/>
      <c r="G991" s="182"/>
      <c r="K991" s="29" t="s">
        <v>175</v>
      </c>
      <c r="L991" s="29" t="s">
        <v>175</v>
      </c>
      <c r="M991" s="29" t="s">
        <v>175</v>
      </c>
    </row>
    <row r="992">
      <c r="A992" s="76"/>
      <c r="B992" s="181"/>
      <c r="E992" s="76"/>
      <c r="G992" s="182"/>
      <c r="K992" s="29" t="s">
        <v>175</v>
      </c>
      <c r="L992" s="29" t="s">
        <v>175</v>
      </c>
      <c r="M992" s="29" t="s">
        <v>175</v>
      </c>
    </row>
    <row r="993">
      <c r="A993" s="76"/>
      <c r="B993" s="181"/>
      <c r="E993" s="76"/>
      <c r="G993" s="182"/>
      <c r="K993" s="29" t="s">
        <v>175</v>
      </c>
      <c r="L993" s="29" t="s">
        <v>175</v>
      </c>
      <c r="M993" s="29" t="s">
        <v>175</v>
      </c>
    </row>
    <row r="994">
      <c r="A994" s="76"/>
      <c r="B994" s="181"/>
      <c r="E994" s="76"/>
      <c r="G994" s="182"/>
      <c r="K994" s="29" t="s">
        <v>175</v>
      </c>
      <c r="L994" s="29" t="s">
        <v>175</v>
      </c>
      <c r="M994" s="29" t="s">
        <v>175</v>
      </c>
    </row>
    <row r="995">
      <c r="A995" s="76"/>
      <c r="B995" s="181"/>
      <c r="E995" s="76"/>
      <c r="G995" s="182"/>
      <c r="K995" s="29" t="s">
        <v>175</v>
      </c>
      <c r="L995" s="29" t="s">
        <v>175</v>
      </c>
      <c r="M995" s="29" t="s">
        <v>175</v>
      </c>
    </row>
    <row r="996">
      <c r="A996" s="76"/>
      <c r="B996" s="181"/>
      <c r="E996" s="76"/>
      <c r="G996" s="182"/>
      <c r="K996" s="29" t="s">
        <v>175</v>
      </c>
      <c r="L996" s="29" t="s">
        <v>175</v>
      </c>
      <c r="M996" s="29" t="s">
        <v>175</v>
      </c>
    </row>
    <row r="997">
      <c r="A997" s="76"/>
      <c r="B997" s="181"/>
      <c r="E997" s="76"/>
      <c r="G997" s="182"/>
      <c r="K997" s="29" t="s">
        <v>175</v>
      </c>
      <c r="L997" s="29" t="s">
        <v>175</v>
      </c>
      <c r="M997" s="29" t="s">
        <v>175</v>
      </c>
    </row>
    <row r="998">
      <c r="A998" s="76"/>
      <c r="B998" s="181"/>
      <c r="E998" s="76"/>
      <c r="G998" s="182"/>
      <c r="K998" s="29" t="s">
        <v>175</v>
      </c>
      <c r="L998" s="29" t="s">
        <v>175</v>
      </c>
      <c r="M998" s="29" t="s">
        <v>175</v>
      </c>
    </row>
    <row r="999">
      <c r="A999" s="76"/>
      <c r="B999" s="181"/>
      <c r="E999" s="76"/>
      <c r="G999" s="182"/>
      <c r="K999" s="29" t="s">
        <v>175</v>
      </c>
      <c r="L999" s="29" t="s">
        <v>175</v>
      </c>
      <c r="M999" s="29" t="s">
        <v>175</v>
      </c>
    </row>
  </sheetData>
  <autoFilter ref="$B$3:$M$57">
    <sortState ref="B3:M57">
      <sortCondition ref="B3:B57"/>
      <sortCondition ref="D3:D57"/>
    </sortState>
  </autoFilter>
  <mergeCells count="1">
    <mergeCell ref="A1:B1"/>
  </mergeCells>
  <conditionalFormatting sqref="A4:M999">
    <cfRule type="expression" dxfId="6" priority="1" stopIfTrue="1">
      <formula>AND($D$2&lt;&gt;"", $D4=$D$2)</formula>
    </cfRule>
  </conditionalFormatting>
  <dataValidations>
    <dataValidation type="list" allowBlank="1" showErrorMessage="1" sqref="D2">
      <formula1>Calc_Data!$N$2:$N999</formula1>
    </dataValidation>
    <dataValidation type="list" allowBlank="1" showErrorMessage="1" sqref="J4:J57">
      <formula1>"Jan,Feb,Mar,Apr,May,Jun,Jul,Aug,Sep,Oct,Nov,Dec"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2.0"/>
    <col customWidth="1" min="3" max="3" width="24.0"/>
    <col customWidth="1" min="4" max="4" width="15.75"/>
  </cols>
  <sheetData>
    <row r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>
      <c r="A2" s="123"/>
      <c r="B2" s="124" t="s">
        <v>173</v>
      </c>
      <c r="C2" s="125" t="s">
        <v>174</v>
      </c>
      <c r="D2" s="124" t="str">
        <f t="array" ref="D2">IF(OR(ISBLANK(C5), C5=""), "", _xlfn.XLOOKUP(C5, 'Payments Log Archive'!A:A, 'Payments Log Archive'!N:N, "", 0, -1))</f>
        <v>REC-0014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>
      <c r="A3" s="123"/>
      <c r="B3" s="126"/>
      <c r="C3" s="126"/>
      <c r="D3" s="126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>
      <c r="A4" s="123"/>
      <c r="B4" s="127"/>
      <c r="C4" s="128" t="s">
        <v>175</v>
      </c>
      <c r="D4" s="129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>
      <c r="A5" s="123"/>
      <c r="B5" s="130" t="s">
        <v>176</v>
      </c>
      <c r="C5" s="131" t="str">
        <f t="array" ref="C5">IF(OR(ISBLANK(C7), C7="Select"), "", _xlfn.XLOOKUP(C7, 'Monthly Billing Tab'!D4:D1001, 'Monthly Billing Tab'!B4:B1001, ""))</f>
        <v>ANX-19-B</v>
      </c>
      <c r="D5" s="132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>
      <c r="A6" s="123"/>
      <c r="B6" s="133" t="s">
        <v>178</v>
      </c>
      <c r="C6" s="134">
        <f>TODAY()</f>
        <v>46272</v>
      </c>
      <c r="D6" s="135" t="s">
        <v>175</v>
      </c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>
      <c r="A7" s="123"/>
      <c r="B7" s="133" t="s">
        <v>180</v>
      </c>
      <c r="C7" s="136" t="s">
        <v>16</v>
      </c>
      <c r="D7" s="135" t="s">
        <v>175</v>
      </c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>
      <c r="A8" s="123"/>
      <c r="B8" s="137" t="s">
        <v>181</v>
      </c>
      <c r="C8" s="138">
        <f t="array" ref="C8">IF(OR(ISBLANK(C7), C7="Select"), "", LET(adj, _xlfn.XLOOKUP(C7, 'Monthly Billing Tab'!D4:D1001, 'Monthly Billing Tab'!H4:H1001, ""), IF(ISNUMBER(adj), ABS(adj), _xlfn.XLOOKUP(C7, 'Monthly Billing Tab'!D4:D1001, 'Monthly Billing Tab'!F4:F1001, ""))))</f>
        <v>1200</v>
      </c>
      <c r="D8" s="135" t="s">
        <v>175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>
      <c r="A9" s="123"/>
      <c r="B9" s="133" t="s">
        <v>182</v>
      </c>
      <c r="C9" s="140" t="str">
        <f t="array" ref="C9">IF(OR(ISBLANK(C7), C7="Select"), "", LET(entry_date, _xlfn.XLOOKUP(C7, 'Monthly Billing Tab'!D4:D1001, 'Monthly Billing Tab'!G4:G1001, 1), entry_day, DAY(entry_date), target_month, _xlfn.XLOOKUP(C7, 'Monthly Billing Tab'!D4:D1001, 'Monthly Billing Tab'!J4:J1001, ""), yr, IF(C10="", 2026, C10), IF(target_month="", "", LET(start_date, DATE(yr, MONTH(1&amp;target_month), entry_day), TEXT(start_date, "d mmm yyyy") &amp; " to " &amp; TEXT(EDATE(start_date, 1) - 1, "d mmm yyyy")))))</f>
        <v>7 Sep 2026 to 6 Oct 2026</v>
      </c>
      <c r="D9" s="135" t="s">
        <v>175</v>
      </c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>
      <c r="A10" s="123"/>
      <c r="B10" s="137"/>
      <c r="C10" s="140"/>
      <c r="D10" s="135" t="s">
        <v>175</v>
      </c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>
      <c r="A11" s="123"/>
      <c r="B11" s="141" t="s">
        <v>183</v>
      </c>
      <c r="C11" s="142">
        <f t="array" ref="C11">IF(OR(ISBLANK(C7), C7="Select"), "", _xlfn.XLOOKUP(C7, 'Monthly Billing Tab'!D4:D1001, 'Monthly Billing Tab'!L4:L1001, ""))</f>
        <v>0</v>
      </c>
      <c r="D11" s="135" t="s">
        <v>175</v>
      </c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>
      <c r="A12" s="123"/>
      <c r="B12" s="31" t="s">
        <v>184</v>
      </c>
      <c r="C12" s="143">
        <f>IF(OR(ISBLANK(C5), C5=""), "", VLOOKUP(C5, 'Master Roster'!A:G, 7, FALSE))</f>
        <v>46180</v>
      </c>
      <c r="D12" s="135" t="s">
        <v>175</v>
      </c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>
      <c r="A13" s="123"/>
      <c r="B13" s="141" t="s">
        <v>185</v>
      </c>
      <c r="C13" s="144" t="str">
        <f>IFERROR(__xludf.DUMMYFUNCTION("IF(OR(ISBLANK(C7), C7=""Select""), """", HYPERLINK(""https://wa.me/"" &amp; IFERROR(INDEX(FILTER('Master Roster'!F:F, 'Master Roster'!E:E=C7, 'Master Roster'!F:F&lt;&gt;""""), 1), """") &amp; ""?text="" &amp; ENCODEURL(""Hello "" &amp; IFERROR(IF(VLOOKUP(C5, 'Master Roster'!A:"&amp;"J, 10, FALSE)=""Male"", ""Mr. "", ""Ms. ""), """") &amp; C7 &amp; "", this is your receipt for the payment of "" &amp; C8 &amp; "" covering "" &amp; C9 &amp; "". Thank you!""), ""Send WhatsApp Receipt""))"),"Send WhatsApp Receipt")</f>
        <v>Send WhatsApp Receipt</v>
      </c>
      <c r="D13" s="135" t="s">
        <v>175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>
      <c r="A14" s="123"/>
      <c r="B14" s="145" t="s">
        <v>175</v>
      </c>
      <c r="C14" s="140"/>
      <c r="D14" s="135" t="s">
        <v>175</v>
      </c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>
      <c r="A15" s="123"/>
      <c r="B15" s="146" t="s">
        <v>186</v>
      </c>
      <c r="D15" s="129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>
      <c r="A16" s="123"/>
      <c r="B16" s="147"/>
      <c r="C16" s="150" t="str">
        <f t="array" ref="C16">IF(OR(C4="", C4="--- Select ---"), "", HYPERLINK("https://wa.me/" &amp; _xlfn.XLOOKUP(LEFT(C4, FIND(" - ", C4&amp;" - ") - 1), 'Master Roster'!A:A, 'Master Roster'!F:F, "") &amp; "?text=" &amp; ENCODEURL("Hello " &amp; IFERROR(IF(_xlfn.XLOOKUP(LEFT(C4, FIND(" - ", C4&amp;" - ") - 1), 'Master Roster'!A:A, 'Master Roster'!J:J, "")="Male", "Mr. ", "Ms. "), "") &amp; C7 &amp; ", payment of K" &amp; C8 &amp; " received for " &amp; C9 &amp; ". Receipt No: " &amp; D2), "💬 Send WhatsApp Receipt"))</f>
        <v/>
      </c>
      <c r="D16" s="151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  <row r="1001">
      <c r="A1001" s="123"/>
      <c r="B1001" s="123"/>
      <c r="C1001" s="123"/>
      <c r="D1001" s="123"/>
      <c r="E1001" s="123"/>
      <c r="F1001" s="123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</row>
  </sheetData>
  <mergeCells count="5">
    <mergeCell ref="B2:B3"/>
    <mergeCell ref="C2:C3"/>
    <mergeCell ref="D2:D3"/>
    <mergeCell ref="C4:D4"/>
    <mergeCell ref="B15:D15"/>
  </mergeCells>
  <dataValidations>
    <dataValidation type="list" allowBlank="1" showErrorMessage="1" sqref="C7">
      <formula1>Calc_Data!$D$3:$D1001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4.63"/>
    <col customWidth="1" min="2" max="2" width="19.38"/>
    <col customWidth="1" min="3" max="3" width="11.13"/>
    <col customWidth="1" min="4" max="4" width="12.13"/>
    <col customWidth="1" min="5" max="5" width="4.63"/>
    <col customWidth="1" min="6" max="6" width="10.38"/>
    <col customWidth="1" min="7" max="7" width="5.63"/>
    <col customWidth="1" min="9" max="9" width="10.38"/>
    <col customWidth="1" min="13" max="13" width="29.0"/>
  </cols>
  <sheetData>
    <row r="1">
      <c r="A1" s="174" t="s">
        <v>194</v>
      </c>
      <c r="E1" s="174"/>
      <c r="F1" s="174"/>
      <c r="G1" s="174"/>
      <c r="H1" s="174"/>
      <c r="I1" s="175"/>
      <c r="J1" s="1"/>
      <c r="K1" s="1"/>
      <c r="L1" s="1"/>
      <c r="M1" s="1"/>
      <c r="N1" s="175"/>
      <c r="O1" s="175"/>
    </row>
    <row r="2">
      <c r="A2" s="176"/>
      <c r="B2" s="176"/>
      <c r="C2" s="176"/>
      <c r="D2" s="176"/>
      <c r="E2" s="176"/>
      <c r="F2" s="176"/>
      <c r="G2" s="176"/>
      <c r="H2" s="177"/>
      <c r="I2" s="71"/>
      <c r="J2" s="31"/>
      <c r="K2" s="31"/>
      <c r="L2" s="31"/>
      <c r="M2" s="31"/>
      <c r="N2" s="71"/>
      <c r="O2" s="71"/>
    </row>
    <row r="3">
      <c r="A3" s="176" t="s">
        <v>18</v>
      </c>
      <c r="B3" s="176" t="s">
        <v>17</v>
      </c>
      <c r="C3" s="176" t="s">
        <v>195</v>
      </c>
      <c r="D3" s="176" t="s">
        <v>196</v>
      </c>
      <c r="E3" s="176" t="s">
        <v>197</v>
      </c>
      <c r="F3" s="176" t="s">
        <v>198</v>
      </c>
      <c r="G3" s="176" t="s">
        <v>10</v>
      </c>
      <c r="H3" s="177" t="s">
        <v>199</v>
      </c>
      <c r="I3" s="71" t="s">
        <v>200</v>
      </c>
      <c r="J3" s="31" t="s">
        <v>201</v>
      </c>
      <c r="K3" s="31" t="s">
        <v>202</v>
      </c>
      <c r="L3" s="31" t="s">
        <v>203</v>
      </c>
      <c r="M3" s="31" t="s">
        <v>204</v>
      </c>
      <c r="N3" s="71" t="s">
        <v>205</v>
      </c>
      <c r="O3" s="71" t="s">
        <v>206</v>
      </c>
    </row>
    <row r="4">
      <c r="A4" s="178" t="s">
        <v>24</v>
      </c>
      <c r="B4" s="178" t="str">
        <f t="array" ref="B4:B1002">IF(A4:A1002="", "", VLOOKUP(A4:A1002, 'Master Roster'!A:E, 5, FALSE))</f>
        <v>Adrian mulale</v>
      </c>
      <c r="C4" s="179" t="s">
        <v>207</v>
      </c>
      <c r="D4" s="178" t="s">
        <v>208</v>
      </c>
      <c r="E4" s="178">
        <v>2026.0</v>
      </c>
      <c r="F4" s="178">
        <v>950.0</v>
      </c>
      <c r="G4" s="178" t="s">
        <v>209</v>
      </c>
      <c r="H4" s="180" t="s">
        <v>210</v>
      </c>
      <c r="I4" s="180" t="s">
        <v>200</v>
      </c>
      <c r="J4" s="29">
        <f>IF(A4="", "", IFERROR(VLOOKUP(A4, 'Master Roster'!A:H, 8, FALSE) - F4, ""))</f>
        <v>0</v>
      </c>
      <c r="K4" s="29">
        <f t="array" ref="K4:K1002">IF(A4:A1002="", "", _xlfn.XLOOKUP(A4:A1002, 'Monthly Billing Tab'!B:B, 'Monthly Billing Tab'!K:K, ""))</f>
        <v>7600</v>
      </c>
      <c r="L4" s="31" t="b">
        <v>0</v>
      </c>
      <c r="M4" s="29" t="str">
        <f>IFERROR(__xludf.DUMMYFUNCTION("LET(paid_ids, FILTER('Monthly Billing Tab'!B3:B1002, 'Monthly Billing Tab'!L3:L1002=0, 'Monthly Billing Tab'!B3:B1002&lt;&gt;"""", 'Monthly Billing Tab'!D3:D1002&lt;&gt;""Vacant""), paid_names, FILTER('Monthly Billing Tab'!D3:D1002, 'Monthly Billing Tab'!L3:L1002=0, "&amp;"'Monthly Billing Tab'!B3:B1002&lt;&gt;"""", 'Monthly Billing Tab'!D3:D1002&lt;&gt;""Vacant""), paid_full, ARRAYFORMULA(paid_ids &amp; "" - "" &amp; paid_names), issued_full, FILTER(A4:A1002 &amp; "" - "" &amp; B4:B1002, L4:L1002=TRUE), VSTACK(""--- Select ---"", IFERROR(FILTER(paid_"&amp;"full, ISNA(MATCH(paid_full, issued_full, 0))), ""No Pending Receipts"")))"),"--- Select ---")</f>
        <v>--- Select ---</v>
      </c>
      <c r="N4" s="29" t="str">
        <f t="array" ref="N4:N1002">IF(A4:A1002="", "", "REC-" &amp; TEXT(ROW(A4:A1002)-1, "0000"))</f>
        <v>REC-0003</v>
      </c>
      <c r="O4" s="183" t="str">
        <f>IF(ISBLANK(A4), "", LET(entry_day, VLOOKUP(A4, 'Master Roster'!$A:$G, 7, FALSE), start_date, DATE(E4, MONTH(D4&amp;" 1"), entry_day), end_date, EDATE(start_date, 1), period, TEXT(start_date, "mmm d, yyyy") &amp; " - " &amp; TEXT(end_date, "mmm d, yyyy"), HYPERLINK("https://wa.me/" &amp; VLOOKUP(A4, 'Master Roster'!$A:$F, 6, FALSE) &amp; "?text=" &amp; ENCODEURL("Hello " &amp; IFERROR(IF(VLOOKUP(A4, 'Master Roster'!$A:$J, 10, FALSE)="Male", "Mr. ", "Ms. "), "") &amp; B4 &amp; ", payment of K" &amp; F4 &amp; " received for " &amp; period &amp; ". Receipt No: " &amp; N4), "Send Receipt")))</f>
        <v>Send Receipt</v>
      </c>
    </row>
    <row r="5">
      <c r="A5" s="178" t="s">
        <v>63</v>
      </c>
      <c r="B5" s="178" t="s">
        <v>64</v>
      </c>
      <c r="C5" s="179" t="s">
        <v>211</v>
      </c>
      <c r="D5" s="178" t="s">
        <v>208</v>
      </c>
      <c r="E5" s="178">
        <v>2026.0</v>
      </c>
      <c r="F5" s="178">
        <v>900.0</v>
      </c>
      <c r="G5" s="178" t="s">
        <v>209</v>
      </c>
      <c r="H5" s="180" t="s">
        <v>210</v>
      </c>
      <c r="I5" s="180" t="s">
        <v>200</v>
      </c>
      <c r="J5" s="29">
        <f>IF(A5="", "", IFERROR(VLOOKUP(A5, 'Master Roster'!A:H, 8, FALSE) - F5, ""))</f>
        <v>0</v>
      </c>
      <c r="K5" s="29">
        <v>7200.0</v>
      </c>
      <c r="L5" s="31" t="b">
        <v>1</v>
      </c>
      <c r="M5" s="29" t="str">
        <f>IFERROR(__xludf.DUMMYFUNCTION("""COMPUTED_VALUE"""),"ANX-19-B - Chanda Lutashima")</f>
        <v>ANX-19-B - Chanda Lutashima</v>
      </c>
      <c r="N5" s="29" t="s">
        <v>212</v>
      </c>
      <c r="O5" s="183" t="str">
        <f>IF(ISBLANK(A5), "", LET(entry_day, VLOOKUP(A5, 'Master Roster'!$A:$G, 7, FALSE), start_date, DATE(E5, MONTH(D5&amp;" 1"), entry_day), end_date, EDATE(start_date, 1), period, TEXT(start_date, "mmm d, yyyy") &amp; " - " &amp; TEXT(end_date, "mmm d, yyyy"), HYPERLINK("https://wa.me/" &amp; VLOOKUP(A5, 'Master Roster'!$A:$F, 6, FALSE) &amp; "?text=" &amp; ENCODEURL("Hello " &amp; IFERROR(IF(VLOOKUP(A5, 'Master Roster'!$A:$J, 10, FALSE)="Male", "Mr. ", "Ms. "), "") &amp; B5 &amp; ", payment of K" &amp; F5 &amp; " received for " &amp; period &amp; ". Receipt No: " &amp; N5), "Send Receipt")))</f>
        <v>Send Receipt</v>
      </c>
    </row>
    <row r="6">
      <c r="A6" s="184" t="s">
        <v>24</v>
      </c>
      <c r="B6" s="184" t="s">
        <v>31</v>
      </c>
      <c r="C6" s="185">
        <v>46178.0</v>
      </c>
      <c r="D6" s="184" t="s">
        <v>213</v>
      </c>
      <c r="E6" s="184">
        <v>2026.0</v>
      </c>
      <c r="F6" s="184">
        <v>950.0</v>
      </c>
      <c r="G6" s="184" t="s">
        <v>209</v>
      </c>
      <c r="H6" s="186" t="s">
        <v>210</v>
      </c>
      <c r="I6" s="186" t="s">
        <v>200</v>
      </c>
      <c r="J6" s="29">
        <f>IF(A6="", "", IFERROR(VLOOKUP(A6, 'Master Roster'!A:H, 8, FALSE) - F6, ""))</f>
        <v>0</v>
      </c>
      <c r="K6" s="29">
        <v>7600.0</v>
      </c>
      <c r="L6" s="31" t="b">
        <v>1</v>
      </c>
      <c r="M6" s="29" t="str">
        <f>IFERROR(__xludf.DUMMYFUNCTION("""COMPUTED_VALUE"""),"ANX-19-D - Lubono Ruthendo")</f>
        <v>ANX-19-D - Lubono Ruthendo</v>
      </c>
      <c r="N6" s="29" t="s">
        <v>214</v>
      </c>
      <c r="O6" s="183" t="str">
        <f>IF(ISBLANK(A6), "", LET(entry_day, VLOOKUP(A6, 'Master Roster'!$A:$G, 7, FALSE), start_date, DATE(E6, MONTH(D6&amp;" 1"), entry_day), end_date, EDATE(start_date, 1), period, TEXT(start_date, "mmm d, yyyy") &amp; " - " &amp; TEXT(end_date, "mmm d, yyyy"), HYPERLINK("https://wa.me/" &amp; VLOOKUP(A6, 'Master Roster'!$A:$F, 6, FALSE) &amp; "?text=" &amp; ENCODEURL("Hello " &amp; IFERROR(IF(VLOOKUP(A6, 'Master Roster'!$A:$J, 10, FALSE)="Male", "Mr. ", "Ms. "), "") &amp; B6 &amp; ", payment of K" &amp; F6 &amp; " received for " &amp; period &amp; ". Receipt No: " &amp; N6), "Send Receipt")))</f>
        <v>Send Receipt</v>
      </c>
    </row>
    <row r="7">
      <c r="A7" s="184" t="s">
        <v>61</v>
      </c>
      <c r="B7" s="184" t="s">
        <v>62</v>
      </c>
      <c r="C7" s="185">
        <v>46178.0</v>
      </c>
      <c r="D7" s="184" t="s">
        <v>213</v>
      </c>
      <c r="E7" s="184">
        <v>2026.0</v>
      </c>
      <c r="F7" s="184">
        <v>900.0</v>
      </c>
      <c r="G7" s="184" t="s">
        <v>209</v>
      </c>
      <c r="H7" s="186" t="s">
        <v>210</v>
      </c>
      <c r="I7" s="186" t="s">
        <v>200</v>
      </c>
      <c r="J7" s="29">
        <f>IF(A7="", "", IFERROR(VLOOKUP(A7, 'Master Roster'!A:H, 8, FALSE) - F7, ""))</f>
        <v>0</v>
      </c>
      <c r="K7" s="29">
        <v>7200.0</v>
      </c>
      <c r="L7" s="29" t="b">
        <v>0</v>
      </c>
      <c r="M7" s="29" t="str">
        <f>IFERROR(__xludf.DUMMYFUNCTION("""COMPUTED_VALUE"""),"ANX-20-A - Steven Musonda")</f>
        <v>ANX-20-A - Steven Musonda</v>
      </c>
      <c r="N7" s="29" t="s">
        <v>215</v>
      </c>
      <c r="O7" s="183" t="str">
        <f>IF(ISBLANK(A7), "", LET(entry_day, VLOOKUP(A7, 'Master Roster'!$A:$G, 7, FALSE), start_date, DATE(E7, MONTH(D7&amp;" 1"), entry_day), end_date, EDATE(start_date, 1), period, TEXT(start_date, "mmm d, yyyy") &amp; " - " &amp; TEXT(end_date, "mmm d, yyyy"), HYPERLINK("https://wa.me/" &amp; VLOOKUP(A7, 'Master Roster'!$A:$F, 6, FALSE) &amp; "?text=" &amp; ENCODEURL("Hello " &amp; IFERROR(IF(VLOOKUP(A7, 'Master Roster'!$A:$J, 10, FALSE)="Male", "Mr. ", "Ms. "), "") &amp; B7 &amp; ", payment of K" &amp; F7 &amp; " received for " &amp; period &amp; ". Receipt No: " &amp; N7), "Send Receipt")))</f>
        <v>Send Receipt</v>
      </c>
    </row>
    <row r="8">
      <c r="A8" s="184" t="s">
        <v>72</v>
      </c>
      <c r="B8" s="184" t="s">
        <v>73</v>
      </c>
      <c r="C8" s="185">
        <v>46178.0</v>
      </c>
      <c r="D8" s="184" t="s">
        <v>213</v>
      </c>
      <c r="E8" s="184">
        <v>2026.0</v>
      </c>
      <c r="F8" s="184">
        <v>900.0</v>
      </c>
      <c r="G8" s="184" t="s">
        <v>209</v>
      </c>
      <c r="H8" s="186" t="s">
        <v>210</v>
      </c>
      <c r="I8" s="186" t="s">
        <v>200</v>
      </c>
      <c r="J8" s="29">
        <f>IF(A8="", "", IFERROR(VLOOKUP(A8, 'Master Roster'!A:H, 8, FALSE) - F8, ""))</f>
        <v>0</v>
      </c>
      <c r="K8" s="29">
        <v>7200.0</v>
      </c>
      <c r="L8" s="31" t="b">
        <v>1</v>
      </c>
      <c r="M8" s="29" t="str">
        <f>IFERROR(__xludf.DUMMYFUNCTION("""COMPUTED_VALUE"""),"BBH-5-A - Wampa ")</f>
        <v>BBH-5-A - Wampa </v>
      </c>
      <c r="N8" s="29" t="s">
        <v>216</v>
      </c>
      <c r="O8" s="183" t="str">
        <f>IF(ISBLANK(A8), "", LET(entry_day, VLOOKUP(A8, 'Master Roster'!$A:$G, 7, FALSE), start_date, DATE(E8, MONTH(D8&amp;" 1"), entry_day), end_date, EDATE(start_date, 1), period, TEXT(start_date, "mmm d, yyyy") &amp; " - " &amp; TEXT(end_date, "mmm d, yyyy"), HYPERLINK("https://wa.me/" &amp; VLOOKUP(A8, 'Master Roster'!$A:$F, 6, FALSE) &amp; "?text=" &amp; ENCODEURL("Hello " &amp; IFERROR(IF(VLOOKUP(A8, 'Master Roster'!$A:$J, 10, FALSE)="Male", "Mr. ", "Ms. "), "") &amp; B8 &amp; ", payment of K" &amp; F8 &amp; " received for " &amp; period &amp; ". Receipt No: " &amp; N8), "Send Receipt")))</f>
        <v>Send Receipt</v>
      </c>
    </row>
    <row r="9">
      <c r="A9" s="184" t="s">
        <v>80</v>
      </c>
      <c r="B9" s="184" t="s">
        <v>82</v>
      </c>
      <c r="C9" s="185">
        <v>46178.0</v>
      </c>
      <c r="D9" s="184" t="s">
        <v>213</v>
      </c>
      <c r="E9" s="184">
        <v>2026.0</v>
      </c>
      <c r="F9" s="184">
        <v>850.0</v>
      </c>
      <c r="G9" s="184" t="s">
        <v>209</v>
      </c>
      <c r="H9" s="186" t="s">
        <v>210</v>
      </c>
      <c r="I9" s="186" t="s">
        <v>200</v>
      </c>
      <c r="J9" s="29">
        <f>IF(A9="", "", IFERROR(VLOOKUP(A9, 'Master Roster'!A:H, 8, FALSE) - F9, ""))</f>
        <v>50</v>
      </c>
      <c r="K9" s="29">
        <v>8100.0</v>
      </c>
      <c r="L9" s="29" t="b">
        <v>0</v>
      </c>
      <c r="M9" s="29" t="str">
        <f>IFERROR(__xludf.DUMMYFUNCTION("""COMPUTED_VALUE"""),"CRV-17-A - Kwitu Khalu")</f>
        <v>CRV-17-A - Kwitu Khalu</v>
      </c>
      <c r="N9" s="29" t="s">
        <v>220</v>
      </c>
      <c r="O9" s="183" t="str">
        <f>IF(ISBLANK(A9), "", LET(entry_day, VLOOKUP(A9, 'Master Roster'!$A:$G, 7, FALSE), start_date, DATE(E9, MONTH(D9&amp;" 1"), entry_day), end_date, EDATE(start_date, 1), period, TEXT(start_date, "mmm d, yyyy") &amp; " - " &amp; TEXT(end_date, "mmm d, yyyy"), HYPERLINK("https://wa.me/" &amp; VLOOKUP(A9, 'Master Roster'!$A:$F, 6, FALSE) &amp; "?text=" &amp; ENCODEURL("Hello " &amp; IFERROR(IF(VLOOKUP(A9, 'Master Roster'!$A:$J, 10, FALSE)="Male", "Mr. ", "Ms. "), "") &amp; B9 &amp; ", payment of K" &amp; F9 &amp; " received for " &amp; period &amp; ". Receipt No: " &amp; N9), "Send Receipt")))</f>
        <v>Send Receipt</v>
      </c>
    </row>
    <row r="10">
      <c r="A10" s="184" t="s">
        <v>91</v>
      </c>
      <c r="B10" s="184" t="s">
        <v>92</v>
      </c>
      <c r="C10" s="185">
        <v>46178.0</v>
      </c>
      <c r="D10" s="184" t="s">
        <v>213</v>
      </c>
      <c r="E10" s="184">
        <v>2026.0</v>
      </c>
      <c r="F10" s="184">
        <v>1000.0</v>
      </c>
      <c r="G10" s="184" t="s">
        <v>209</v>
      </c>
      <c r="H10" s="186" t="s">
        <v>210</v>
      </c>
      <c r="I10" s="186" t="s">
        <v>200</v>
      </c>
      <c r="J10" s="29">
        <f>IF(A10="", "", IFERROR(VLOOKUP(A10, 'Master Roster'!A:H, 8, FALSE) - F10, ""))</f>
        <v>0</v>
      </c>
      <c r="K10" s="29">
        <v>9000.0</v>
      </c>
      <c r="L10" s="29" t="b">
        <v>0</v>
      </c>
      <c r="M10" s="29" t="str">
        <f>IFERROR(__xludf.DUMMYFUNCTION("""COMPUTED_VALUE"""),"NWG-21-D - Jairos Banda")</f>
        <v>NWG-21-D - Jairos Banda</v>
      </c>
      <c r="N10" s="29" t="s">
        <v>223</v>
      </c>
      <c r="O10" s="183" t="str">
        <f>IF(ISBLANK(A10), "", LET(entry_day, VLOOKUP(A10, 'Master Roster'!$A:$G, 7, FALSE), start_date, DATE(E10, MONTH(D10&amp;" 1"), entry_day), end_date, EDATE(start_date, 1), period, TEXT(start_date, "mmm d, yyyy") &amp; " - " &amp; TEXT(end_date, "mmm d, yyyy"), HYPERLINK("https://wa.me/" &amp; VLOOKUP(A10, 'Master Roster'!$A:$F, 6, FALSE) &amp; "?text=" &amp; ENCODEURL("Hello " &amp; IFERROR(IF(VLOOKUP(A10, 'Master Roster'!$A:$J, 10, FALSE)="Male", "Mr. ", "Ms. "), "") &amp; B10 &amp; ", payment of K" &amp; F10 &amp; " received for " &amp; period &amp; ". Receipt No: " &amp; N10), "Send Receipt")))</f>
        <v>Send Receipt</v>
      </c>
    </row>
    <row r="11">
      <c r="A11" s="184" t="s">
        <v>93</v>
      </c>
      <c r="B11" s="184" t="s">
        <v>94</v>
      </c>
      <c r="C11" s="185">
        <v>46178.0</v>
      </c>
      <c r="D11" s="184" t="s">
        <v>213</v>
      </c>
      <c r="E11" s="184">
        <v>2026.0</v>
      </c>
      <c r="F11" s="184">
        <v>1600.0</v>
      </c>
      <c r="G11" s="184" t="s">
        <v>209</v>
      </c>
      <c r="H11" s="186" t="s">
        <v>210</v>
      </c>
      <c r="I11" s="186" t="s">
        <v>200</v>
      </c>
      <c r="J11" s="29">
        <f>IF(A11="", "", IFERROR(VLOOKUP(A11, 'Master Roster'!A:H, 8, FALSE) - F11, ""))</f>
        <v>0</v>
      </c>
      <c r="K11" s="29">
        <v>12800.0</v>
      </c>
      <c r="L11" s="29" t="b">
        <v>0</v>
      </c>
      <c r="M11" s="29" t="str">
        <f>IFERROR(__xludf.DUMMYFUNCTION("""COMPUTED_VALUE"""),"NWG-22-C - Ongani Madaliso Gabriel ")</f>
        <v>NWG-22-C - Ongani Madaliso Gabriel </v>
      </c>
      <c r="N11" s="29" t="s">
        <v>226</v>
      </c>
      <c r="O11" s="183" t="str">
        <f>IF(ISBLANK(A11), "", LET(entry_day, VLOOKUP(A11, 'Master Roster'!$A:$G, 7, FALSE), start_date, DATE(E11, MONTH(D11&amp;" 1"), entry_day), end_date, EDATE(start_date, 1), period, TEXT(start_date, "mmm d, yyyy") &amp; " - " &amp; TEXT(end_date, "mmm d, yyyy"), HYPERLINK("https://wa.me/" &amp; VLOOKUP(A11, 'Master Roster'!$A:$F, 6, FALSE) &amp; "?text=" &amp; ENCODEURL("Hello " &amp; IFERROR(IF(VLOOKUP(A11, 'Master Roster'!$A:$J, 10, FALSE)="Male", "Mr. ", "Ms. "), "") &amp; B11 &amp; ", payment of K" &amp; F11 &amp; " received for " &amp; period &amp; ". Receipt No: " &amp; N11), "Send Receipt")))</f>
        <v>Send Receipt</v>
      </c>
    </row>
    <row r="12">
      <c r="A12" s="184" t="s">
        <v>95</v>
      </c>
      <c r="B12" s="184" t="s">
        <v>96</v>
      </c>
      <c r="C12" s="185">
        <v>46178.0</v>
      </c>
      <c r="D12" s="184" t="s">
        <v>213</v>
      </c>
      <c r="E12" s="184">
        <v>2026.0</v>
      </c>
      <c r="F12" s="184">
        <v>1800.0</v>
      </c>
      <c r="G12" s="184" t="s">
        <v>209</v>
      </c>
      <c r="H12" s="186" t="s">
        <v>210</v>
      </c>
      <c r="I12" s="186" t="s">
        <v>200</v>
      </c>
      <c r="J12" s="29">
        <f>IF(A12="", "", IFERROR(VLOOKUP(A12, 'Master Roster'!A:H, 8, FALSE) - F12, ""))</f>
        <v>0</v>
      </c>
      <c r="K12" s="29">
        <v>16200.0</v>
      </c>
      <c r="L12" s="29" t="b">
        <v>0</v>
      </c>
      <c r="M12" s="29" t="str">
        <f>IFERROR(__xludf.DUMMYFUNCTION("""COMPUTED_VALUE"""),"NWG-22-D - Christopher Phiri")</f>
        <v>NWG-22-D - Christopher Phiri</v>
      </c>
      <c r="N12" s="29" t="s">
        <v>227</v>
      </c>
      <c r="O12" s="183" t="str">
        <f>IF(ISBLANK(A12), "", LET(entry_day, VLOOKUP(A12, 'Master Roster'!$A:$G, 7, FALSE), start_date, DATE(E12, MONTH(D12&amp;" 1"), entry_day), end_date, EDATE(start_date, 1), period, TEXT(start_date, "mmm d, yyyy") &amp; " - " &amp; TEXT(end_date, "mmm d, yyyy"), HYPERLINK("https://wa.me/" &amp; VLOOKUP(A12, 'Master Roster'!$A:$F, 6, FALSE) &amp; "?text=" &amp; ENCODEURL("Hello " &amp; IFERROR(IF(VLOOKUP(A12, 'Master Roster'!$A:$J, 10, FALSE)="Male", "Mr. ", "Ms. "), "") &amp; B12 &amp; ", payment of K" &amp; F12 &amp; " received for " &amp; period &amp; ". Receipt No: " &amp; N12), "Send Receipt")))</f>
        <v>Send Receipt</v>
      </c>
    </row>
    <row r="13">
      <c r="A13" s="184" t="s">
        <v>98</v>
      </c>
      <c r="B13" s="184" t="s">
        <v>100</v>
      </c>
      <c r="C13" s="185">
        <v>46178.0</v>
      </c>
      <c r="D13" s="184" t="s">
        <v>213</v>
      </c>
      <c r="E13" s="184">
        <v>2026.0</v>
      </c>
      <c r="F13" s="184">
        <v>950.0</v>
      </c>
      <c r="G13" s="184" t="s">
        <v>209</v>
      </c>
      <c r="H13" s="186" t="s">
        <v>210</v>
      </c>
      <c r="I13" s="186" t="s">
        <v>200</v>
      </c>
      <c r="J13" s="29">
        <f>IF(A13="", "", IFERROR(VLOOKUP(A13, 'Master Roster'!A:H, 8, FALSE) - F13, ""))</f>
        <v>0</v>
      </c>
      <c r="K13" s="29">
        <v>7600.0</v>
      </c>
      <c r="L13" s="29" t="b">
        <v>0</v>
      </c>
      <c r="M13" s="29" t="str">
        <f>IFERROR(__xludf.DUMMYFUNCTION("""COMPUTED_VALUE"""),"NWG-24-A - Chami Soneka")</f>
        <v>NWG-24-A - Chami Soneka</v>
      </c>
      <c r="N13" s="29" t="s">
        <v>228</v>
      </c>
      <c r="O13" s="183" t="str">
        <f>IF(ISBLANK(A13), "", LET(entry_day, VLOOKUP(A13, 'Master Roster'!$A:$G, 7, FALSE), start_date, DATE(E13, MONTH(D13&amp;" 1"), entry_day), end_date, EDATE(start_date, 1), period, TEXT(start_date, "mmm d, yyyy") &amp; " - " &amp; TEXT(end_date, "mmm d, yyyy"), HYPERLINK("https://wa.me/" &amp; VLOOKUP(A13, 'Master Roster'!$A:$F, 6, FALSE) &amp; "?text=" &amp; ENCODEURL("Hello " &amp; IFERROR(IF(VLOOKUP(A13, 'Master Roster'!$A:$J, 10, FALSE)="Male", "Mr. ", "Ms. "), "") &amp; B13 &amp; ", payment of K" &amp; F13 &amp; " received for " &amp; period &amp; ". Receipt No: " &amp; N13), "Send Receipt")))</f>
        <v>Send Receipt</v>
      </c>
    </row>
    <row r="14">
      <c r="A14" s="184" t="s">
        <v>109</v>
      </c>
      <c r="B14" s="184" t="s">
        <v>110</v>
      </c>
      <c r="C14" s="185">
        <v>46178.0</v>
      </c>
      <c r="D14" s="184" t="s">
        <v>213</v>
      </c>
      <c r="E14" s="184">
        <v>2026.0</v>
      </c>
      <c r="F14" s="184">
        <v>900.0</v>
      </c>
      <c r="G14" s="184" t="s">
        <v>209</v>
      </c>
      <c r="H14" s="186" t="s">
        <v>210</v>
      </c>
      <c r="I14" s="186" t="s">
        <v>200</v>
      </c>
      <c r="J14" s="29">
        <f>IF(A14="", "", IFERROR(VLOOKUP(A14, 'Master Roster'!A:H, 8, FALSE) - F14, ""))</f>
        <v>0</v>
      </c>
      <c r="K14" s="29">
        <v>8100.0</v>
      </c>
      <c r="L14" s="29" t="b">
        <v>0</v>
      </c>
      <c r="M14" s="29" t="str">
        <f>IFERROR(__xludf.DUMMYFUNCTION("""COMPUTED_VALUE"""),"UPV-10-A - Emely Mwale")</f>
        <v>UPV-10-A - Emely Mwale</v>
      </c>
      <c r="N14" s="29" t="s">
        <v>229</v>
      </c>
      <c r="O14" s="183" t="str">
        <f>IF(ISBLANK(A14), "", LET(entry_day, VLOOKUP(A14, 'Master Roster'!$A:$G, 7, FALSE), start_date, DATE(E14, MONTH(D14&amp;" 1"), entry_day), end_date, EDATE(start_date, 1), period, TEXT(start_date, "mmm d, yyyy") &amp; " - " &amp; TEXT(end_date, "mmm d, yyyy"), HYPERLINK("https://wa.me/" &amp; VLOOKUP(A14, 'Master Roster'!$A:$F, 6, FALSE) &amp; "?text=" &amp; ENCODEURL("Hello " &amp; IFERROR(IF(VLOOKUP(A14, 'Master Roster'!$A:$J, 10, FALSE)="Male", "Mr. ", "Ms. "), "") &amp; B14 &amp; ", payment of K" &amp; F14 &amp; " received for " &amp; period &amp; ". Receipt No: " &amp; N14), "Send Receipt")))</f>
        <v>Send Receipt</v>
      </c>
    </row>
    <row r="15">
      <c r="A15" s="184" t="s">
        <v>117</v>
      </c>
      <c r="B15" s="184" t="s">
        <v>16</v>
      </c>
      <c r="C15" s="185">
        <v>46178.0</v>
      </c>
      <c r="D15" s="184" t="s">
        <v>213</v>
      </c>
      <c r="E15" s="184">
        <v>2026.0</v>
      </c>
      <c r="F15" s="184">
        <v>1200.0</v>
      </c>
      <c r="G15" s="184" t="s">
        <v>209</v>
      </c>
      <c r="H15" s="186" t="s">
        <v>210</v>
      </c>
      <c r="I15" s="186" t="s">
        <v>200</v>
      </c>
      <c r="J15" s="29">
        <f>IF(A15="", "", IFERROR(VLOOKUP(A15, 'Master Roster'!A:H, 8, FALSE) - F15, ""))</f>
        <v>0</v>
      </c>
      <c r="K15" s="29">
        <v>10800.0</v>
      </c>
      <c r="L15" s="29" t="b">
        <v>0</v>
      </c>
      <c r="M15" s="29" t="str">
        <f>IFERROR(__xludf.DUMMYFUNCTION("""COMPUTED_VALUE"""),"UPV-11-A - Gift Nankamba")</f>
        <v>UPV-11-A - Gift Nankamba</v>
      </c>
      <c r="N15" s="29" t="s">
        <v>230</v>
      </c>
      <c r="O15" s="183" t="str">
        <f>IF(ISBLANK(A15), "", LET(entry_day, VLOOKUP(A15, 'Master Roster'!$A:$G, 7, FALSE), start_date, DATE(E15, MONTH(D15&amp;" 1"), entry_day), end_date, EDATE(start_date, 1), period, TEXT(start_date, "mmm d, yyyy") &amp; " - " &amp; TEXT(end_date, "mmm d, yyyy"), HYPERLINK("https://wa.me/" &amp; VLOOKUP(A15, 'Master Roster'!$A:$F, 6, FALSE) &amp; "?text=" &amp; ENCODEURL("Hello " &amp; IFERROR(IF(VLOOKUP(A15, 'Master Roster'!$A:$J, 10, FALSE)="Male", "Mr. ", "Ms. "), "") &amp; B15 &amp; ", payment of K" &amp; F15 &amp; " received for " &amp; period &amp; ". Receipt No: " &amp; N15), "Send Receipt")))</f>
        <v>Send Receipt</v>
      </c>
    </row>
    <row r="16">
      <c r="A16" s="184" t="s">
        <v>124</v>
      </c>
      <c r="B16" s="184" t="s">
        <v>126</v>
      </c>
      <c r="C16" s="185">
        <v>46178.0</v>
      </c>
      <c r="D16" s="184" t="s">
        <v>213</v>
      </c>
      <c r="E16" s="184">
        <v>2026.0</v>
      </c>
      <c r="F16" s="184">
        <v>1200.0</v>
      </c>
      <c r="G16" s="184" t="s">
        <v>209</v>
      </c>
      <c r="H16" s="186" t="s">
        <v>210</v>
      </c>
      <c r="I16" s="186" t="s">
        <v>200</v>
      </c>
      <c r="J16" s="29">
        <f>IF(A16="", "", IFERROR(VLOOKUP(A16, 'Master Roster'!A:H, 8, FALSE) - F16, ""))</f>
        <v>0</v>
      </c>
      <c r="K16" s="29">
        <v>8400.0</v>
      </c>
      <c r="L16" s="29" t="b">
        <v>0</v>
      </c>
      <c r="M16" s="29" t="str">
        <f>IFERROR(__xludf.DUMMYFUNCTION("""COMPUTED_VALUE"""),"UPV-13-A - Chibesa Chisembe")</f>
        <v>UPV-13-A - Chibesa Chisembe</v>
      </c>
      <c r="N16" s="29" t="s">
        <v>231</v>
      </c>
      <c r="O16" s="183" t="str">
        <f>IF(ISBLANK(A16), "", LET(entry_day, VLOOKUP(A16, 'Master Roster'!$A:$G, 7, FALSE), start_date, DATE(E16, MONTH(D16&amp;" 1"), entry_day), end_date, EDATE(start_date, 1), period, TEXT(start_date, "mmm d, yyyy") &amp; " - " &amp; TEXT(end_date, "mmm d, yyyy"), HYPERLINK("https://wa.me/" &amp; VLOOKUP(A16, 'Master Roster'!$A:$F, 6, FALSE) &amp; "?text=" &amp; ENCODEURL("Hello " &amp; IFERROR(IF(VLOOKUP(A16, 'Master Roster'!$A:$J, 10, FALSE)="Male", "Mr. ", "Ms. "), "") &amp; B16 &amp; ", payment of K" &amp; F16 &amp; " received for " &amp; period &amp; ". Receipt No: " &amp; N16), "Send Receipt")))</f>
        <v>Send Receipt</v>
      </c>
    </row>
    <row r="17">
      <c r="A17" s="184" t="s">
        <v>127</v>
      </c>
      <c r="B17" s="184" t="s">
        <v>128</v>
      </c>
      <c r="C17" s="185">
        <v>46178.0</v>
      </c>
      <c r="D17" s="184" t="s">
        <v>213</v>
      </c>
      <c r="E17" s="184">
        <v>2026.0</v>
      </c>
      <c r="F17" s="184">
        <v>1200.0</v>
      </c>
      <c r="G17" s="184" t="s">
        <v>209</v>
      </c>
      <c r="H17" s="186" t="s">
        <v>210</v>
      </c>
      <c r="I17" s="186" t="s">
        <v>200</v>
      </c>
      <c r="J17" s="29">
        <f>IF(A17="", "", IFERROR(VLOOKUP(A17, 'Master Roster'!A:H, 8, FALSE) - F17, ""))</f>
        <v>0</v>
      </c>
      <c r="K17" s="29">
        <v>9600.0</v>
      </c>
      <c r="L17" s="29" t="b">
        <v>0</v>
      </c>
      <c r="M17" s="29"/>
      <c r="N17" s="29" t="s">
        <v>232</v>
      </c>
      <c r="O17" s="183" t="str">
        <f>IF(ISBLANK(A17), "", LET(entry_day, VLOOKUP(A17, 'Master Roster'!$A:$G, 7, FALSE), start_date, DATE(E17, MONTH(D17&amp;" 1"), entry_day), end_date, EDATE(start_date, 1), period, TEXT(start_date, "mmm d, yyyy") &amp; " - " &amp; TEXT(end_date, "mmm d, yyyy"), HYPERLINK("https://wa.me/" &amp; VLOOKUP(A17, 'Master Roster'!$A:$F, 6, FALSE) &amp; "?text=" &amp; ENCODEURL("Hello " &amp; IFERROR(IF(VLOOKUP(A17, 'Master Roster'!$A:$J, 10, FALSE)="Male", "Mr. ", "Ms. "), "") &amp; B17 &amp; ", payment of K" &amp; F17 &amp; " received for " &amp; period &amp; ". Receipt No: " &amp; N17), "Send Receipt")))</f>
        <v>Send Receipt</v>
      </c>
    </row>
    <row r="18">
      <c r="A18" s="184" t="s">
        <v>129</v>
      </c>
      <c r="B18" s="184" t="s">
        <v>130</v>
      </c>
      <c r="C18" s="185">
        <v>46178.0</v>
      </c>
      <c r="D18" s="184" t="s">
        <v>213</v>
      </c>
      <c r="E18" s="184">
        <v>2026.0</v>
      </c>
      <c r="F18" s="184">
        <v>1200.0</v>
      </c>
      <c r="G18" s="184" t="s">
        <v>209</v>
      </c>
      <c r="H18" s="186" t="s">
        <v>210</v>
      </c>
      <c r="I18" s="186" t="s">
        <v>200</v>
      </c>
      <c r="J18" s="29">
        <f>IF(A18="", "", IFERROR(VLOOKUP(A18, 'Master Roster'!A:H, 8, FALSE) - F18, ""))</f>
        <v>0</v>
      </c>
      <c r="K18" s="29">
        <v>8400.0</v>
      </c>
      <c r="L18" s="29" t="b">
        <v>0</v>
      </c>
      <c r="M18" s="29"/>
      <c r="N18" s="29" t="s">
        <v>233</v>
      </c>
      <c r="O18" s="183" t="str">
        <f>IF(ISBLANK(A18), "", LET(entry_day, VLOOKUP(A18, 'Master Roster'!$A:$G, 7, FALSE), start_date, DATE(E18, MONTH(D18&amp;" 1"), entry_day), end_date, EDATE(start_date, 1), period, TEXT(start_date, "mmm d, yyyy") &amp; " - " &amp; TEXT(end_date, "mmm d, yyyy"), HYPERLINK("https://wa.me/" &amp; VLOOKUP(A18, 'Master Roster'!$A:$F, 6, FALSE) &amp; "?text=" &amp; ENCODEURL("Hello " &amp; IFERROR(IF(VLOOKUP(A18, 'Master Roster'!$A:$J, 10, FALSE)="Male", "Mr. ", "Ms. "), "") &amp; B18 &amp; ", payment of K" &amp; F18 &amp; " received for " &amp; period &amp; ". Receipt No: " &amp; N18), "Send Receipt")))</f>
        <v>Send Receipt</v>
      </c>
    </row>
    <row r="19">
      <c r="A19" s="184" t="s">
        <v>141</v>
      </c>
      <c r="B19" s="184" t="s">
        <v>142</v>
      </c>
      <c r="C19" s="185">
        <v>46178.0</v>
      </c>
      <c r="D19" s="184" t="s">
        <v>213</v>
      </c>
      <c r="E19" s="184">
        <v>2026.0</v>
      </c>
      <c r="F19" s="184">
        <v>1200.0</v>
      </c>
      <c r="G19" s="184" t="s">
        <v>209</v>
      </c>
      <c r="H19" s="186" t="s">
        <v>210</v>
      </c>
      <c r="I19" s="186" t="s">
        <v>200</v>
      </c>
      <c r="J19" s="29">
        <f>IF(A19="", "", IFERROR(VLOOKUP(A19, 'Master Roster'!A:H, 8, FALSE) - F19, ""))</f>
        <v>0</v>
      </c>
      <c r="K19" s="29">
        <v>9600.0</v>
      </c>
      <c r="L19" s="29" t="b">
        <v>0</v>
      </c>
      <c r="M19" s="29"/>
      <c r="N19" s="29" t="s">
        <v>234</v>
      </c>
      <c r="O19" s="183" t="str">
        <f>IF(ISBLANK(A19), "", LET(entry_day, VLOOKUP(A19, 'Master Roster'!$A:$G, 7, FALSE), start_date, DATE(E19, MONTH(D19&amp;" 1"), entry_day), end_date, EDATE(start_date, 1), period, TEXT(start_date, "mmm d, yyyy") &amp; " - " &amp; TEXT(end_date, "mmm d, yyyy"), HYPERLINK("https://wa.me/" &amp; VLOOKUP(A19, 'Master Roster'!$A:$F, 6, FALSE) &amp; "?text=" &amp; ENCODEURL("Hello " &amp; IFERROR(IF(VLOOKUP(A19, 'Master Roster'!$A:$J, 10, FALSE)="Male", "Mr. ", "Ms. "), "") &amp; B19 &amp; ", payment of K" &amp; F19 &amp; " received for " &amp; period &amp; ". Receipt No: " &amp; N19), "Send Receipt")))</f>
        <v>Send Receipt</v>
      </c>
    </row>
    <row r="20">
      <c r="A20" s="184" t="s">
        <v>145</v>
      </c>
      <c r="B20" s="184" t="s">
        <v>146</v>
      </c>
      <c r="C20" s="185">
        <v>46178.0</v>
      </c>
      <c r="D20" s="184" t="s">
        <v>213</v>
      </c>
      <c r="E20" s="184">
        <v>2026.0</v>
      </c>
      <c r="F20" s="184">
        <v>1200.0</v>
      </c>
      <c r="G20" s="184" t="s">
        <v>209</v>
      </c>
      <c r="H20" s="186" t="s">
        <v>210</v>
      </c>
      <c r="I20" s="186" t="s">
        <v>200</v>
      </c>
      <c r="J20" s="29">
        <f>IF(A20="", "", IFERROR(VLOOKUP(A20, 'Master Roster'!A:H, 8, FALSE) - F20, ""))</f>
        <v>0</v>
      </c>
      <c r="K20" s="29">
        <v>9600.0</v>
      </c>
      <c r="L20" s="29" t="b">
        <v>0</v>
      </c>
      <c r="M20" s="29"/>
      <c r="N20" s="29" t="s">
        <v>235</v>
      </c>
      <c r="O20" s="183" t="str">
        <f>IF(ISBLANK(A20), "", LET(entry_day, VLOOKUP(A20, 'Master Roster'!$A:$G, 7, FALSE), start_date, DATE(E20, MONTH(D20&amp;" 1"), entry_day), end_date, EDATE(start_date, 1), period, TEXT(start_date, "mmm d, yyyy") &amp; " - " &amp; TEXT(end_date, "mmm d, yyyy"), HYPERLINK("https://wa.me/" &amp; VLOOKUP(A20, 'Master Roster'!$A:$F, 6, FALSE) &amp; "?text=" &amp; ENCODEURL("Hello " &amp; IFERROR(IF(VLOOKUP(A20, 'Master Roster'!$A:$J, 10, FALSE)="Male", "Mr. ", "Ms. "), "") &amp; B20 &amp; ", payment of K" &amp; F20 &amp; " received for " &amp; period &amp; ". Receipt No: " &amp; N20), "Send Receipt")))</f>
        <v>Send Receipt</v>
      </c>
    </row>
    <row r="21">
      <c r="A21" s="184"/>
      <c r="B21" s="184" t="s">
        <v>175</v>
      </c>
      <c r="C21" s="191"/>
      <c r="D21" s="184"/>
      <c r="E21" s="184"/>
      <c r="F21" s="184"/>
      <c r="G21" s="184"/>
      <c r="H21" s="192"/>
      <c r="I21" s="192"/>
      <c r="J21" s="29"/>
      <c r="K21" s="29" t="s">
        <v>175</v>
      </c>
      <c r="L21" s="29"/>
      <c r="M21" s="29"/>
      <c r="N21" s="29" t="s">
        <v>175</v>
      </c>
      <c r="O21" s="29" t="str">
        <f>IF(ISBLANK(A21), "", LET(entry_day, VLOOKUP(A21, 'Master Roster'!$A:$G, 7, FALSE), start_date, DATE(E21, MONTH(D21&amp;" 1"), entry_day), end_date, EDATE(start_date, 1), period, TEXT(start_date, "mmm d, yyyy") &amp; " - " &amp; TEXT(end_date, "mmm d, yyyy"), HYPERLINK("https://wa.me/" &amp; VLOOKUP(A21, 'Master Roster'!$A:$F, 6, FALSE) &amp; "?text=" &amp; ENCODEURL("Hello " &amp; IFERROR(IF(VLOOKUP(A21, 'Master Roster'!$A:$J, 10, FALSE)="Male", "Mr. ", "Ms. "), "") &amp; B21 &amp; ", payment of K" &amp; F21 &amp; " received for " &amp; period &amp; ". Receipt No: " &amp; N21), "Send Receipt")))</f>
        <v/>
      </c>
    </row>
    <row r="22">
      <c r="A22" s="192"/>
      <c r="B22" s="192" t="s">
        <v>175</v>
      </c>
      <c r="C22" s="193"/>
      <c r="D22" s="192"/>
      <c r="E22" s="192"/>
      <c r="F22" s="192"/>
      <c r="G22" s="192"/>
      <c r="H22" s="192" t="str">
        <f t="shared" ref="H22:H1002" si="1">IF(A22="", "", HYPERLINK("#gid=123456789", "💬 Send Receipt"))</f>
        <v/>
      </c>
      <c r="I22" s="192" t="str">
        <f t="shared" ref="I22:I1002" si="2">IF(ISBLANK(A22), "", HYPERLINK("#gid=123456789", "Print Receipt"))</f>
        <v/>
      </c>
      <c r="J22" s="29" t="str">
        <f>IF(A22="", "", IFERROR(VLOOKUP(A22, 'Master Roster'!A:H, 8, FALSE) - F22, ""))</f>
        <v/>
      </c>
      <c r="K22" s="29" t="s">
        <v>175</v>
      </c>
      <c r="L22" s="29" t="b">
        <v>0</v>
      </c>
      <c r="M22" s="29"/>
      <c r="N22" s="29" t="s">
        <v>175</v>
      </c>
      <c r="O22" s="29" t="str">
        <f>IF(ISBLANK(A22), "", LET(entry_day, VLOOKUP(A22, 'Master Roster'!$A:$G, 7, FALSE), start_date, DATE(E22, MONTH(D22&amp;" 1"), entry_day), end_date, EDATE(start_date, 1), period, TEXT(start_date, "mmm d, yyyy") &amp; " - " &amp; TEXT(end_date, "mmm d, yyyy"), HYPERLINK("https://wa.me/" &amp; VLOOKUP(A22, 'Master Roster'!$A:$F, 6, FALSE) &amp; "?text=" &amp; ENCODEURL("Hello " &amp; IFERROR(IF(VLOOKUP(A22, 'Master Roster'!$A:$J, 10, FALSE)="Male", "Mr. ", "Ms. "), "") &amp; B22 &amp; ", payment of K" &amp; F22 &amp; " received for " &amp; period &amp; ". Receipt No: " &amp; N22), "Send Receipt")))</f>
        <v/>
      </c>
    </row>
    <row r="23">
      <c r="A23" s="192"/>
      <c r="B23" s="192" t="s">
        <v>175</v>
      </c>
      <c r="C23" s="193"/>
      <c r="D23" s="192"/>
      <c r="E23" s="192"/>
      <c r="F23" s="192"/>
      <c r="G23" s="192"/>
      <c r="H23" s="192" t="str">
        <f t="shared" si="1"/>
        <v/>
      </c>
      <c r="I23" s="192" t="str">
        <f t="shared" si="2"/>
        <v/>
      </c>
      <c r="J23" s="29" t="str">
        <f>IF(A23="", "", IFERROR(VLOOKUP(A23, 'Master Roster'!A:H, 8, FALSE) - F23, ""))</f>
        <v/>
      </c>
      <c r="K23" s="29" t="s">
        <v>175</v>
      </c>
      <c r="L23" s="29" t="b">
        <v>0</v>
      </c>
      <c r="M23" s="29"/>
      <c r="N23" s="29" t="s">
        <v>175</v>
      </c>
      <c r="O23" s="29" t="str">
        <f>IF(ISBLANK(A23), "", LET(entry_day, VLOOKUP(A23, 'Master Roster'!$A:$G, 7, FALSE), start_date, DATE(E23, MONTH(D23&amp;" 1"), entry_day), end_date, EDATE(start_date, 1), period, TEXT(start_date, "mmm d, yyyy") &amp; " - " &amp; TEXT(end_date, "mmm d, yyyy"), HYPERLINK("https://wa.me/" &amp; VLOOKUP(A23, 'Master Roster'!$A:$F, 6, FALSE) &amp; "?text=" &amp; ENCODEURL("Hello " &amp; IFERROR(IF(VLOOKUP(A23, 'Master Roster'!$A:$J, 10, FALSE)="Male", "Mr. ", "Ms. "), "") &amp; B23 &amp; ", payment of K" &amp; F23 &amp; " received for " &amp; period &amp; ". Receipt No: " &amp; N23), "Send Receipt")))</f>
        <v/>
      </c>
    </row>
    <row r="24">
      <c r="A24" s="192"/>
      <c r="B24" s="192" t="s">
        <v>175</v>
      </c>
      <c r="C24" s="193"/>
      <c r="D24" s="192"/>
      <c r="E24" s="192"/>
      <c r="F24" s="192"/>
      <c r="G24" s="192"/>
      <c r="H24" s="192" t="str">
        <f t="shared" si="1"/>
        <v/>
      </c>
      <c r="I24" s="192" t="str">
        <f t="shared" si="2"/>
        <v/>
      </c>
      <c r="J24" s="29" t="str">
        <f>IF(A24="", "", IFERROR(VLOOKUP(A24, 'Master Roster'!A:H, 8, FALSE) - F24, ""))</f>
        <v/>
      </c>
      <c r="K24" s="29" t="s">
        <v>175</v>
      </c>
      <c r="L24" s="29" t="b">
        <v>0</v>
      </c>
      <c r="M24" s="29"/>
      <c r="N24" s="29" t="s">
        <v>175</v>
      </c>
      <c r="O24" s="29" t="str">
        <f>IF(ISBLANK(A24), "", LET(entry_day, VLOOKUP(A24, 'Master Roster'!$A:$G, 7, FALSE), start_date, DATE(E24, MONTH(D24&amp;" 1"), entry_day), end_date, EDATE(start_date, 1), period, TEXT(start_date, "mmm d, yyyy") &amp; " - " &amp; TEXT(end_date, "mmm d, yyyy"), HYPERLINK("https://wa.me/" &amp; VLOOKUP(A24, 'Master Roster'!$A:$F, 6, FALSE) &amp; "?text=" &amp; ENCODEURL("Hello " &amp; IFERROR(IF(VLOOKUP(A24, 'Master Roster'!$A:$J, 10, FALSE)="Male", "Mr. ", "Ms. "), "") &amp; B24 &amp; ", payment of K" &amp; F24 &amp; " received for " &amp; period &amp; ". Receipt No: " &amp; N24), "Send Receipt")))</f>
        <v/>
      </c>
    </row>
    <row r="25">
      <c r="A25" s="192"/>
      <c r="B25" s="192" t="s">
        <v>175</v>
      </c>
      <c r="C25" s="193"/>
      <c r="D25" s="192"/>
      <c r="E25" s="192"/>
      <c r="F25" s="192"/>
      <c r="G25" s="192"/>
      <c r="H25" s="192" t="str">
        <f t="shared" si="1"/>
        <v/>
      </c>
      <c r="I25" s="192" t="str">
        <f t="shared" si="2"/>
        <v/>
      </c>
      <c r="J25" s="29" t="str">
        <f>IF(A25="", "", IFERROR(VLOOKUP(A25, 'Master Roster'!A:H, 8, FALSE) - F25, ""))</f>
        <v/>
      </c>
      <c r="K25" s="29" t="s">
        <v>175</v>
      </c>
      <c r="L25" s="29" t="b">
        <v>0</v>
      </c>
      <c r="M25" s="29"/>
      <c r="N25" s="29" t="s">
        <v>175</v>
      </c>
      <c r="O25" s="29" t="str">
        <f>IF(ISBLANK(A25), "", LET(entry_day, VLOOKUP(A25, 'Master Roster'!$A:$G, 7, FALSE), start_date, DATE(E25, MONTH(D25&amp;" 1"), entry_day), end_date, EDATE(start_date, 1), period, TEXT(start_date, "mmm d, yyyy") &amp; " - " &amp; TEXT(end_date, "mmm d, yyyy"), HYPERLINK("https://wa.me/" &amp; VLOOKUP(A25, 'Master Roster'!$A:$F, 6, FALSE) &amp; "?text=" &amp; ENCODEURL("Hello " &amp; IFERROR(IF(VLOOKUP(A25, 'Master Roster'!$A:$J, 10, FALSE)="Male", "Mr. ", "Ms. "), "") &amp; B25 &amp; ", payment of K" &amp; F25 &amp; " received for " &amp; period &amp; ". Receipt No: " &amp; N25), "Send Receipt")))</f>
        <v/>
      </c>
    </row>
    <row r="26">
      <c r="A26" s="192"/>
      <c r="B26" s="192" t="s">
        <v>175</v>
      </c>
      <c r="C26" s="193"/>
      <c r="D26" s="192"/>
      <c r="E26" s="192"/>
      <c r="F26" s="192"/>
      <c r="G26" s="192"/>
      <c r="H26" s="192" t="str">
        <f t="shared" si="1"/>
        <v/>
      </c>
      <c r="I26" s="192" t="str">
        <f t="shared" si="2"/>
        <v/>
      </c>
      <c r="J26" s="29" t="str">
        <f>IF(A26="", "", IFERROR(VLOOKUP(A26, 'Master Roster'!A:H, 8, FALSE) - F26, ""))</f>
        <v/>
      </c>
      <c r="K26" s="29" t="s">
        <v>175</v>
      </c>
      <c r="L26" s="29" t="b">
        <v>0</v>
      </c>
      <c r="M26" s="29"/>
      <c r="N26" s="29" t="s">
        <v>175</v>
      </c>
      <c r="O26" s="29" t="str">
        <f>IF(ISBLANK(A26), "", LET(entry_day, VLOOKUP(A26, 'Master Roster'!$A:$G, 7, FALSE), start_date, DATE(E26, MONTH(D26&amp;" 1"), entry_day), end_date, EDATE(start_date, 1), period, TEXT(start_date, "mmm d, yyyy") &amp; " - " &amp; TEXT(end_date, "mmm d, yyyy"), HYPERLINK("https://wa.me/" &amp; VLOOKUP(A26, 'Master Roster'!$A:$F, 6, FALSE) &amp; "?text=" &amp; ENCODEURL("Hello " &amp; IFERROR(IF(VLOOKUP(A26, 'Master Roster'!$A:$J, 10, FALSE)="Male", "Mr. ", "Ms. "), "") &amp; B26 &amp; ", payment of K" &amp; F26 &amp; " received for " &amp; period &amp; ". Receipt No: " &amp; N26), "Send Receipt")))</f>
        <v/>
      </c>
    </row>
    <row r="27">
      <c r="A27" s="192"/>
      <c r="B27" s="192" t="s">
        <v>175</v>
      </c>
      <c r="C27" s="193"/>
      <c r="D27" s="192"/>
      <c r="E27" s="192"/>
      <c r="F27" s="192"/>
      <c r="G27" s="192"/>
      <c r="H27" s="192" t="str">
        <f t="shared" si="1"/>
        <v/>
      </c>
      <c r="I27" s="192" t="str">
        <f t="shared" si="2"/>
        <v/>
      </c>
      <c r="J27" s="29" t="str">
        <f>IF(A27="", "", IFERROR(VLOOKUP(A27, 'Master Roster'!A:H, 8, FALSE) - F27, ""))</f>
        <v/>
      </c>
      <c r="K27" s="29" t="s">
        <v>175</v>
      </c>
      <c r="L27" s="29" t="b">
        <v>0</v>
      </c>
      <c r="M27" s="29"/>
      <c r="N27" s="29" t="s">
        <v>175</v>
      </c>
      <c r="O27" s="29" t="str">
        <f>IF(ISBLANK(A27), "", LET(entry_day, VLOOKUP(A27, 'Master Roster'!$A:$G, 7, FALSE), start_date, DATE(E27, MONTH(D27&amp;" 1"), entry_day), end_date, EDATE(start_date, 1), period, TEXT(start_date, "mmm d, yyyy") &amp; " - " &amp; TEXT(end_date, "mmm d, yyyy"), HYPERLINK("https://wa.me/" &amp; VLOOKUP(A27, 'Master Roster'!$A:$F, 6, FALSE) &amp; "?text=" &amp; ENCODEURL("Hello " &amp; IFERROR(IF(VLOOKUP(A27, 'Master Roster'!$A:$J, 10, FALSE)="Male", "Mr. ", "Ms. "), "") &amp; B27 &amp; ", payment of K" &amp; F27 &amp; " received for " &amp; period &amp; ". Receipt No: " &amp; N27), "Send Receipt")))</f>
        <v/>
      </c>
    </row>
    <row r="28">
      <c r="A28" s="192"/>
      <c r="B28" s="192" t="s">
        <v>175</v>
      </c>
      <c r="C28" s="193"/>
      <c r="D28" s="192"/>
      <c r="E28" s="192"/>
      <c r="F28" s="192"/>
      <c r="G28" s="192"/>
      <c r="H28" s="192" t="str">
        <f t="shared" si="1"/>
        <v/>
      </c>
      <c r="I28" s="192" t="str">
        <f t="shared" si="2"/>
        <v/>
      </c>
      <c r="J28" s="29" t="str">
        <f>IF(A28="", "", IFERROR(VLOOKUP(A28, 'Master Roster'!A:H, 8, FALSE) - F28, ""))</f>
        <v/>
      </c>
      <c r="K28" s="29" t="s">
        <v>175</v>
      </c>
      <c r="L28" s="29" t="b">
        <v>0</v>
      </c>
      <c r="M28" s="29"/>
      <c r="N28" s="29" t="s">
        <v>175</v>
      </c>
      <c r="O28" s="29" t="str">
        <f>IF(ISBLANK(A28), "", LET(entry_day, VLOOKUP(A28, 'Master Roster'!$A:$G, 7, FALSE), start_date, DATE(E28, MONTH(D28&amp;" 1"), entry_day), end_date, EDATE(start_date, 1), period, TEXT(start_date, "mmm d, yyyy") &amp; " - " &amp; TEXT(end_date, "mmm d, yyyy"), HYPERLINK("https://wa.me/" &amp; VLOOKUP(A28, 'Master Roster'!$A:$F, 6, FALSE) &amp; "?text=" &amp; ENCODEURL("Hello " &amp; IFERROR(IF(VLOOKUP(A28, 'Master Roster'!$A:$J, 10, FALSE)="Male", "Mr. ", "Ms. "), "") &amp; B28 &amp; ", payment of K" &amp; F28 &amp; " received for " &amp; period &amp; ". Receipt No: " &amp; N28), "Send Receipt")))</f>
        <v/>
      </c>
    </row>
    <row r="29">
      <c r="A29" s="192"/>
      <c r="B29" s="192" t="s">
        <v>175</v>
      </c>
      <c r="C29" s="193"/>
      <c r="D29" s="192"/>
      <c r="E29" s="192"/>
      <c r="F29" s="192"/>
      <c r="G29" s="192"/>
      <c r="H29" s="192" t="str">
        <f t="shared" si="1"/>
        <v/>
      </c>
      <c r="I29" s="192" t="str">
        <f t="shared" si="2"/>
        <v/>
      </c>
      <c r="J29" s="29" t="str">
        <f>IF(A29="", "", IFERROR(VLOOKUP(A29, 'Master Roster'!A:H, 8, FALSE) - F29, ""))</f>
        <v/>
      </c>
      <c r="K29" s="29" t="s">
        <v>175</v>
      </c>
      <c r="L29" s="29" t="b">
        <v>0</v>
      </c>
      <c r="M29" s="29"/>
      <c r="N29" s="29" t="s">
        <v>175</v>
      </c>
      <c r="O29" s="29" t="str">
        <f>IF(ISBLANK(A29), "", LET(entry_day, VLOOKUP(A29, 'Master Roster'!$A:$G, 7, FALSE), start_date, DATE(E29, MONTH(D29&amp;" 1"), entry_day), end_date, EDATE(start_date, 1), period, TEXT(start_date, "mmm d, yyyy") &amp; " - " &amp; TEXT(end_date, "mmm d, yyyy"), HYPERLINK("https://wa.me/" &amp; VLOOKUP(A29, 'Master Roster'!$A:$F, 6, FALSE) &amp; "?text=" &amp; ENCODEURL("Hello " &amp; IFERROR(IF(VLOOKUP(A29, 'Master Roster'!$A:$J, 10, FALSE)="Male", "Mr. ", "Ms. "), "") &amp; B29 &amp; ", payment of K" &amp; F29 &amp; " received for " &amp; period &amp; ". Receipt No: " &amp; N29), "Send Receipt")))</f>
        <v/>
      </c>
    </row>
    <row r="30">
      <c r="A30" s="192"/>
      <c r="B30" s="192" t="s">
        <v>175</v>
      </c>
      <c r="C30" s="193"/>
      <c r="D30" s="192"/>
      <c r="E30" s="192"/>
      <c r="F30" s="192"/>
      <c r="G30" s="192"/>
      <c r="H30" s="192" t="str">
        <f t="shared" si="1"/>
        <v/>
      </c>
      <c r="I30" s="192" t="str">
        <f t="shared" si="2"/>
        <v/>
      </c>
      <c r="J30" s="29" t="str">
        <f>IF(A30="", "", IFERROR(VLOOKUP(A30, 'Master Roster'!A:H, 8, FALSE) - F30, ""))</f>
        <v/>
      </c>
      <c r="K30" s="29" t="s">
        <v>175</v>
      </c>
      <c r="L30" s="29" t="b">
        <v>0</v>
      </c>
      <c r="M30" s="29"/>
      <c r="N30" s="29" t="s">
        <v>175</v>
      </c>
      <c r="O30" s="29" t="str">
        <f>IF(ISBLANK(A30), "", LET(entry_day, VLOOKUP(A30, 'Master Roster'!$A:$G, 7, FALSE), start_date, DATE(E30, MONTH(D30&amp;" 1"), entry_day), end_date, EDATE(start_date, 1), period, TEXT(start_date, "mmm d, yyyy") &amp; " - " &amp; TEXT(end_date, "mmm d, yyyy"), HYPERLINK("https://wa.me/" &amp; VLOOKUP(A30, 'Master Roster'!$A:$F, 6, FALSE) &amp; "?text=" &amp; ENCODEURL("Hello " &amp; IFERROR(IF(VLOOKUP(A30, 'Master Roster'!$A:$J, 10, FALSE)="Male", "Mr. ", "Ms. "), "") &amp; B30 &amp; ", payment of K" &amp; F30 &amp; " received for " &amp; period &amp; ". Receipt No: " &amp; N30), "Send Receipt")))</f>
        <v/>
      </c>
    </row>
    <row r="31">
      <c r="A31" s="192"/>
      <c r="B31" s="192" t="s">
        <v>175</v>
      </c>
      <c r="C31" s="193"/>
      <c r="D31" s="192"/>
      <c r="E31" s="192"/>
      <c r="F31" s="192"/>
      <c r="G31" s="192"/>
      <c r="H31" s="192" t="str">
        <f t="shared" si="1"/>
        <v/>
      </c>
      <c r="I31" s="192" t="str">
        <f t="shared" si="2"/>
        <v/>
      </c>
      <c r="J31" s="29" t="str">
        <f>IF(A31="", "", IFERROR(VLOOKUP(A31, 'Master Roster'!A:H, 8, FALSE) - F31, ""))</f>
        <v/>
      </c>
      <c r="K31" s="29" t="s">
        <v>175</v>
      </c>
      <c r="L31" s="29" t="b">
        <v>0</v>
      </c>
      <c r="M31" s="29"/>
      <c r="N31" s="29" t="s">
        <v>175</v>
      </c>
      <c r="O31" s="29" t="str">
        <f>IF(ISBLANK(A31), "", LET(entry_day, VLOOKUP(A31, 'Master Roster'!$A:$G, 7, FALSE), start_date, DATE(E31, MONTH(D31&amp;" 1"), entry_day), end_date, EDATE(start_date, 1), period, TEXT(start_date, "mmm d, yyyy") &amp; " - " &amp; TEXT(end_date, "mmm d, yyyy"), HYPERLINK("https://wa.me/" &amp; VLOOKUP(A31, 'Master Roster'!$A:$F, 6, FALSE) &amp; "?text=" &amp; ENCODEURL("Hello " &amp; IFERROR(IF(VLOOKUP(A31, 'Master Roster'!$A:$J, 10, FALSE)="Male", "Mr. ", "Ms. "), "") &amp; B31 &amp; ", payment of K" &amp; F31 &amp; " received for " &amp; period &amp; ". Receipt No: " &amp; N31), "Send Receipt")))</f>
        <v/>
      </c>
    </row>
    <row r="32">
      <c r="A32" s="192"/>
      <c r="B32" s="192" t="s">
        <v>175</v>
      </c>
      <c r="C32" s="193"/>
      <c r="D32" s="192"/>
      <c r="E32" s="192"/>
      <c r="F32" s="192"/>
      <c r="G32" s="192"/>
      <c r="H32" s="192" t="str">
        <f t="shared" si="1"/>
        <v/>
      </c>
      <c r="I32" s="192" t="str">
        <f t="shared" si="2"/>
        <v/>
      </c>
      <c r="J32" s="29" t="str">
        <f>IF(A32="", "", IFERROR(VLOOKUP(A32, 'Master Roster'!A:H, 8, FALSE) - F32, ""))</f>
        <v/>
      </c>
      <c r="K32" s="29" t="s">
        <v>175</v>
      </c>
      <c r="L32" s="29" t="b">
        <v>0</v>
      </c>
      <c r="M32" s="29"/>
      <c r="N32" s="29" t="s">
        <v>175</v>
      </c>
      <c r="O32" s="29" t="str">
        <f>IF(ISBLANK(A32), "", LET(entry_day, VLOOKUP(A32, 'Master Roster'!$A:$G, 7, FALSE), start_date, DATE(E32, MONTH(D32&amp;" 1"), entry_day), end_date, EDATE(start_date, 1), period, TEXT(start_date, "mmm d, yyyy") &amp; " - " &amp; TEXT(end_date, "mmm d, yyyy"), HYPERLINK("https://wa.me/" &amp; VLOOKUP(A32, 'Master Roster'!$A:$F, 6, FALSE) &amp; "?text=" &amp; ENCODEURL("Hello " &amp; IFERROR(IF(VLOOKUP(A32, 'Master Roster'!$A:$J, 10, FALSE)="Male", "Mr. ", "Ms. "), "") &amp; B32 &amp; ", payment of K" &amp; F32 &amp; " received for " &amp; period &amp; ". Receipt No: " &amp; N32), "Send Receipt")))</f>
        <v/>
      </c>
    </row>
    <row r="33">
      <c r="A33" s="192"/>
      <c r="B33" s="192" t="s">
        <v>175</v>
      </c>
      <c r="C33" s="193"/>
      <c r="D33" s="192"/>
      <c r="E33" s="192"/>
      <c r="F33" s="192"/>
      <c r="G33" s="192"/>
      <c r="H33" s="192" t="str">
        <f t="shared" si="1"/>
        <v/>
      </c>
      <c r="I33" s="192" t="str">
        <f t="shared" si="2"/>
        <v/>
      </c>
      <c r="J33" s="29" t="str">
        <f>IF(A33="", "", IFERROR(VLOOKUP(A33, 'Master Roster'!A:H, 8, FALSE) - F33, ""))</f>
        <v/>
      </c>
      <c r="K33" s="29" t="s">
        <v>175</v>
      </c>
      <c r="L33" s="29" t="b">
        <v>0</v>
      </c>
      <c r="M33" s="29"/>
      <c r="N33" s="29" t="s">
        <v>175</v>
      </c>
      <c r="O33" s="29" t="str">
        <f>IF(ISBLANK(A33), "", LET(entry_day, VLOOKUP(A33, 'Master Roster'!$A:$G, 7, FALSE), start_date, DATE(E33, MONTH(D33&amp;" 1"), entry_day), end_date, EDATE(start_date, 1), period, TEXT(start_date, "mmm d, yyyy") &amp; " - " &amp; TEXT(end_date, "mmm d, yyyy"), HYPERLINK("https://wa.me/" &amp; VLOOKUP(A33, 'Master Roster'!$A:$F, 6, FALSE) &amp; "?text=" &amp; ENCODEURL("Hello " &amp; IFERROR(IF(VLOOKUP(A33, 'Master Roster'!$A:$J, 10, FALSE)="Male", "Mr. ", "Ms. "), "") &amp; B33 &amp; ", payment of K" &amp; F33 &amp; " received for " &amp; period &amp; ". Receipt No: " &amp; N33), "Send Receipt")))</f>
        <v/>
      </c>
    </row>
    <row r="34">
      <c r="A34" s="192"/>
      <c r="B34" s="192" t="s">
        <v>175</v>
      </c>
      <c r="C34" s="193"/>
      <c r="D34" s="192"/>
      <c r="E34" s="192"/>
      <c r="F34" s="192"/>
      <c r="G34" s="192"/>
      <c r="H34" s="192" t="str">
        <f t="shared" si="1"/>
        <v/>
      </c>
      <c r="I34" s="192" t="str">
        <f t="shared" si="2"/>
        <v/>
      </c>
      <c r="J34" s="29" t="str">
        <f>IF(A34="", "", IFERROR(VLOOKUP(A34, 'Master Roster'!A:H, 8, FALSE) - F34, ""))</f>
        <v/>
      </c>
      <c r="K34" s="29" t="s">
        <v>175</v>
      </c>
      <c r="L34" s="29" t="b">
        <v>0</v>
      </c>
      <c r="M34" s="29"/>
      <c r="N34" s="29" t="s">
        <v>175</v>
      </c>
      <c r="O34" s="29" t="str">
        <f>IF(ISBLANK(A34), "", LET(entry_day, VLOOKUP(A34, 'Master Roster'!$A:$G, 7, FALSE), start_date, DATE(E34, MONTH(D34&amp;" 1"), entry_day), end_date, EDATE(start_date, 1), period, TEXT(start_date, "mmm d, yyyy") &amp; " - " &amp; TEXT(end_date, "mmm d, yyyy"), HYPERLINK("https://wa.me/" &amp; VLOOKUP(A34, 'Master Roster'!$A:$F, 6, FALSE) &amp; "?text=" &amp; ENCODEURL("Hello " &amp; IFERROR(IF(VLOOKUP(A34, 'Master Roster'!$A:$J, 10, FALSE)="Male", "Mr. ", "Ms. "), "") &amp; B34 &amp; ", payment of K" &amp; F34 &amp; " received for " &amp; period &amp; ". Receipt No: " &amp; N34), "Send Receipt")))</f>
        <v/>
      </c>
    </row>
    <row r="35">
      <c r="A35" s="192"/>
      <c r="B35" s="192" t="s">
        <v>175</v>
      </c>
      <c r="C35" s="193"/>
      <c r="D35" s="192"/>
      <c r="E35" s="192"/>
      <c r="F35" s="192"/>
      <c r="G35" s="192"/>
      <c r="H35" s="192" t="str">
        <f t="shared" si="1"/>
        <v/>
      </c>
      <c r="I35" s="192" t="str">
        <f t="shared" si="2"/>
        <v/>
      </c>
      <c r="J35" s="29" t="str">
        <f>IF(A35="", "", IFERROR(VLOOKUP(A35, 'Master Roster'!A:H, 8, FALSE) - F35, ""))</f>
        <v/>
      </c>
      <c r="K35" s="29" t="s">
        <v>175</v>
      </c>
      <c r="L35" s="29" t="b">
        <v>0</v>
      </c>
      <c r="M35" s="29"/>
      <c r="N35" s="29" t="s">
        <v>175</v>
      </c>
      <c r="O35" s="29" t="str">
        <f>IF(ISBLANK(A35), "", LET(entry_day, VLOOKUP(A35, 'Master Roster'!$A:$G, 7, FALSE), start_date, DATE(E35, MONTH(D35&amp;" 1"), entry_day), end_date, EDATE(start_date, 1), period, TEXT(start_date, "mmm d, yyyy") &amp; " - " &amp; TEXT(end_date, "mmm d, yyyy"), HYPERLINK("https://wa.me/" &amp; VLOOKUP(A35, 'Master Roster'!$A:$F, 6, FALSE) &amp; "?text=" &amp; ENCODEURL("Hello " &amp; IFERROR(IF(VLOOKUP(A35, 'Master Roster'!$A:$J, 10, FALSE)="Male", "Mr. ", "Ms. "), "") &amp; B35 &amp; ", payment of K" &amp; F35 &amp; " received for " &amp; period &amp; ". Receipt No: " &amp; N35), "Send Receipt")))</f>
        <v/>
      </c>
    </row>
    <row r="36">
      <c r="A36" s="192"/>
      <c r="B36" s="192" t="s">
        <v>175</v>
      </c>
      <c r="C36" s="193"/>
      <c r="D36" s="192"/>
      <c r="E36" s="192"/>
      <c r="F36" s="192"/>
      <c r="G36" s="192"/>
      <c r="H36" s="192" t="str">
        <f t="shared" si="1"/>
        <v/>
      </c>
      <c r="I36" s="192" t="str">
        <f t="shared" si="2"/>
        <v/>
      </c>
      <c r="J36" s="29" t="str">
        <f>IF(A36="", "", IFERROR(VLOOKUP(A36, 'Master Roster'!A:H, 8, FALSE) - F36, ""))</f>
        <v/>
      </c>
      <c r="K36" s="29" t="s">
        <v>175</v>
      </c>
      <c r="L36" s="29" t="b">
        <v>0</v>
      </c>
      <c r="M36" s="29"/>
      <c r="N36" s="29" t="s">
        <v>175</v>
      </c>
      <c r="O36" s="29" t="str">
        <f>IF(ISBLANK(A36), "", LET(entry_day, VLOOKUP(A36, 'Master Roster'!$A:$G, 7, FALSE), start_date, DATE(E36, MONTH(D36&amp;" 1"), entry_day), end_date, EDATE(start_date, 1), period, TEXT(start_date, "mmm d, yyyy") &amp; " - " &amp; TEXT(end_date, "mmm d, yyyy"), HYPERLINK("https://wa.me/" &amp; VLOOKUP(A36, 'Master Roster'!$A:$F, 6, FALSE) &amp; "?text=" &amp; ENCODEURL("Hello " &amp; IFERROR(IF(VLOOKUP(A36, 'Master Roster'!$A:$J, 10, FALSE)="Male", "Mr. ", "Ms. "), "") &amp; B36 &amp; ", payment of K" &amp; F36 &amp; " received for " &amp; period &amp; ". Receipt No: " &amp; N36), "Send Receipt")))</f>
        <v/>
      </c>
    </row>
    <row r="37">
      <c r="A37" s="192"/>
      <c r="B37" s="192" t="s">
        <v>175</v>
      </c>
      <c r="C37" s="193"/>
      <c r="D37" s="192"/>
      <c r="E37" s="192"/>
      <c r="F37" s="192"/>
      <c r="G37" s="192"/>
      <c r="H37" s="192" t="str">
        <f t="shared" si="1"/>
        <v/>
      </c>
      <c r="I37" s="192" t="str">
        <f t="shared" si="2"/>
        <v/>
      </c>
      <c r="J37" s="29" t="str">
        <f>IF(A37="", "", IFERROR(VLOOKUP(A37, 'Master Roster'!A:H, 8, FALSE) - F37, ""))</f>
        <v/>
      </c>
      <c r="K37" s="29" t="s">
        <v>175</v>
      </c>
      <c r="L37" s="29" t="b">
        <v>0</v>
      </c>
      <c r="M37" s="29"/>
      <c r="N37" s="29" t="s">
        <v>175</v>
      </c>
      <c r="O37" s="29" t="str">
        <f>IF(ISBLANK(A37), "", LET(entry_day, VLOOKUP(A37, 'Master Roster'!$A:$G, 7, FALSE), start_date, DATE(E37, MONTH(D37&amp;" 1"), entry_day), end_date, EDATE(start_date, 1), period, TEXT(start_date, "mmm d, yyyy") &amp; " - " &amp; TEXT(end_date, "mmm d, yyyy"), HYPERLINK("https://wa.me/" &amp; VLOOKUP(A37, 'Master Roster'!$A:$F, 6, FALSE) &amp; "?text=" &amp; ENCODEURL("Hello " &amp; IFERROR(IF(VLOOKUP(A37, 'Master Roster'!$A:$J, 10, FALSE)="Male", "Mr. ", "Ms. "), "") &amp; B37 &amp; ", payment of K" &amp; F37 &amp; " received for " &amp; period &amp; ". Receipt No: " &amp; N37), "Send Receipt")))</f>
        <v/>
      </c>
    </row>
    <row r="38">
      <c r="A38" s="192"/>
      <c r="B38" s="192" t="s">
        <v>175</v>
      </c>
      <c r="C38" s="193"/>
      <c r="D38" s="192"/>
      <c r="E38" s="192"/>
      <c r="F38" s="192"/>
      <c r="G38" s="192"/>
      <c r="H38" s="192" t="str">
        <f t="shared" si="1"/>
        <v/>
      </c>
      <c r="I38" s="192" t="str">
        <f t="shared" si="2"/>
        <v/>
      </c>
      <c r="J38" s="29" t="str">
        <f>IF(A38="", "", IFERROR(VLOOKUP(A38, 'Master Roster'!A:H, 8, FALSE) - F38, ""))</f>
        <v/>
      </c>
      <c r="K38" s="29" t="s">
        <v>175</v>
      </c>
      <c r="L38" s="29" t="b">
        <v>0</v>
      </c>
      <c r="M38" s="29"/>
      <c r="N38" s="29" t="s">
        <v>175</v>
      </c>
      <c r="O38" s="29" t="str">
        <f>IF(ISBLANK(A38), "", LET(entry_day, VLOOKUP(A38, 'Master Roster'!$A:$G, 7, FALSE), start_date, DATE(E38, MONTH(D38&amp;" 1"), entry_day), end_date, EDATE(start_date, 1), period, TEXT(start_date, "mmm d, yyyy") &amp; " - " &amp; TEXT(end_date, "mmm d, yyyy"), HYPERLINK("https://wa.me/" &amp; VLOOKUP(A38, 'Master Roster'!$A:$F, 6, FALSE) &amp; "?text=" &amp; ENCODEURL("Hello " &amp; IFERROR(IF(VLOOKUP(A38, 'Master Roster'!$A:$J, 10, FALSE)="Male", "Mr. ", "Ms. "), "") &amp; B38 &amp; ", payment of K" &amp; F38 &amp; " received for " &amp; period &amp; ". Receipt No: " &amp; N38), "Send Receipt")))</f>
        <v/>
      </c>
    </row>
    <row r="39">
      <c r="A39" s="192"/>
      <c r="B39" s="192" t="s">
        <v>175</v>
      </c>
      <c r="C39" s="193"/>
      <c r="D39" s="192"/>
      <c r="E39" s="192"/>
      <c r="F39" s="192"/>
      <c r="G39" s="192"/>
      <c r="H39" s="192" t="str">
        <f t="shared" si="1"/>
        <v/>
      </c>
      <c r="I39" s="192" t="str">
        <f t="shared" si="2"/>
        <v/>
      </c>
      <c r="J39" s="29" t="str">
        <f>IF(A39="", "", IFERROR(VLOOKUP(A39, 'Master Roster'!A:H, 8, FALSE) - F39, ""))</f>
        <v/>
      </c>
      <c r="K39" s="29" t="s">
        <v>175</v>
      </c>
      <c r="L39" s="29" t="b">
        <v>0</v>
      </c>
      <c r="M39" s="29"/>
      <c r="N39" s="29" t="s">
        <v>175</v>
      </c>
      <c r="O39" s="29" t="str">
        <f>IF(ISBLANK(A39), "", LET(entry_day, VLOOKUP(A39, 'Master Roster'!$A:$G, 7, FALSE), start_date, DATE(E39, MONTH(D39&amp;" 1"), entry_day), end_date, EDATE(start_date, 1), period, TEXT(start_date, "mmm d, yyyy") &amp; " - " &amp; TEXT(end_date, "mmm d, yyyy"), HYPERLINK("https://wa.me/" &amp; VLOOKUP(A39, 'Master Roster'!$A:$F, 6, FALSE) &amp; "?text=" &amp; ENCODEURL("Hello " &amp; IFERROR(IF(VLOOKUP(A39, 'Master Roster'!$A:$J, 10, FALSE)="Male", "Mr. ", "Ms. "), "") &amp; B39 &amp; ", payment of K" &amp; F39 &amp; " received for " &amp; period &amp; ". Receipt No: " &amp; N39), "Send Receipt")))</f>
        <v/>
      </c>
    </row>
    <row r="40">
      <c r="A40" s="192"/>
      <c r="B40" s="192" t="s">
        <v>175</v>
      </c>
      <c r="C40" s="193"/>
      <c r="D40" s="192"/>
      <c r="E40" s="192"/>
      <c r="F40" s="192"/>
      <c r="G40" s="192"/>
      <c r="H40" s="192" t="str">
        <f t="shared" si="1"/>
        <v/>
      </c>
      <c r="I40" s="192" t="str">
        <f t="shared" si="2"/>
        <v/>
      </c>
      <c r="J40" s="29" t="str">
        <f>IF(A40="", "", IFERROR(VLOOKUP(A40, 'Master Roster'!A:H, 8, FALSE) - F40, ""))</f>
        <v/>
      </c>
      <c r="K40" s="29" t="s">
        <v>175</v>
      </c>
      <c r="L40" s="29" t="b">
        <v>0</v>
      </c>
      <c r="M40" s="29"/>
      <c r="N40" s="29" t="s">
        <v>175</v>
      </c>
      <c r="O40" s="29" t="str">
        <f>IF(ISBLANK(A40), "", LET(entry_day, VLOOKUP(A40, 'Master Roster'!$A:$G, 7, FALSE), start_date, DATE(E40, MONTH(D40&amp;" 1"), entry_day), end_date, EDATE(start_date, 1), period, TEXT(start_date, "mmm d, yyyy") &amp; " - " &amp; TEXT(end_date, "mmm d, yyyy"), HYPERLINK("https://wa.me/" &amp; VLOOKUP(A40, 'Master Roster'!$A:$F, 6, FALSE) &amp; "?text=" &amp; ENCODEURL("Hello " &amp; IFERROR(IF(VLOOKUP(A40, 'Master Roster'!$A:$J, 10, FALSE)="Male", "Mr. ", "Ms. "), "") &amp; B40 &amp; ", payment of K" &amp; F40 &amp; " received for " &amp; period &amp; ". Receipt No: " &amp; N40), "Send Receipt")))</f>
        <v/>
      </c>
    </row>
    <row r="41">
      <c r="A41" s="192"/>
      <c r="B41" s="192" t="s">
        <v>175</v>
      </c>
      <c r="C41" s="193"/>
      <c r="D41" s="192"/>
      <c r="E41" s="192"/>
      <c r="F41" s="192"/>
      <c r="G41" s="192"/>
      <c r="H41" s="192" t="str">
        <f t="shared" si="1"/>
        <v/>
      </c>
      <c r="I41" s="192" t="str">
        <f t="shared" si="2"/>
        <v/>
      </c>
      <c r="J41" s="29" t="str">
        <f>IF(A41="", "", IFERROR(VLOOKUP(A41, 'Master Roster'!A:H, 8, FALSE) - F41, ""))</f>
        <v/>
      </c>
      <c r="K41" s="29" t="s">
        <v>175</v>
      </c>
      <c r="L41" s="29" t="b">
        <v>0</v>
      </c>
      <c r="M41" s="29"/>
      <c r="N41" s="29" t="s">
        <v>175</v>
      </c>
      <c r="O41" s="29" t="str">
        <f>IF(ISBLANK(A41), "", LET(entry_day, VLOOKUP(A41, 'Master Roster'!$A:$G, 7, FALSE), start_date, DATE(E41, MONTH(D41&amp;" 1"), entry_day), end_date, EDATE(start_date, 1), period, TEXT(start_date, "mmm d, yyyy") &amp; " - " &amp; TEXT(end_date, "mmm d, yyyy"), HYPERLINK("https://wa.me/" &amp; VLOOKUP(A41, 'Master Roster'!$A:$F, 6, FALSE) &amp; "?text=" &amp; ENCODEURL("Hello " &amp; IFERROR(IF(VLOOKUP(A41, 'Master Roster'!$A:$J, 10, FALSE)="Male", "Mr. ", "Ms. "), "") &amp; B41 &amp; ", payment of K" &amp; F41 &amp; " received for " &amp; period &amp; ". Receipt No: " &amp; N41), "Send Receipt")))</f>
        <v/>
      </c>
    </row>
    <row r="42">
      <c r="A42" s="192"/>
      <c r="B42" s="192" t="s">
        <v>175</v>
      </c>
      <c r="C42" s="193"/>
      <c r="D42" s="192"/>
      <c r="E42" s="192"/>
      <c r="F42" s="192"/>
      <c r="G42" s="192"/>
      <c r="H42" s="192" t="str">
        <f t="shared" si="1"/>
        <v/>
      </c>
      <c r="I42" s="192" t="str">
        <f t="shared" si="2"/>
        <v/>
      </c>
      <c r="J42" s="29" t="str">
        <f>IF(A42="", "", IFERROR(VLOOKUP(A42, 'Master Roster'!A:H, 8, FALSE) - F42, ""))</f>
        <v/>
      </c>
      <c r="K42" s="29" t="s">
        <v>175</v>
      </c>
      <c r="L42" s="29" t="b">
        <v>0</v>
      </c>
      <c r="M42" s="29"/>
      <c r="N42" s="29" t="s">
        <v>175</v>
      </c>
      <c r="O42" s="29" t="str">
        <f>IF(ISBLANK(A42), "", LET(entry_day, VLOOKUP(A42, 'Master Roster'!$A:$G, 7, FALSE), start_date, DATE(E42, MONTH(D42&amp;" 1"), entry_day), end_date, EDATE(start_date, 1), period, TEXT(start_date, "mmm d, yyyy") &amp; " - " &amp; TEXT(end_date, "mmm d, yyyy"), HYPERLINK("https://wa.me/" &amp; VLOOKUP(A42, 'Master Roster'!$A:$F, 6, FALSE) &amp; "?text=" &amp; ENCODEURL("Hello " &amp; IFERROR(IF(VLOOKUP(A42, 'Master Roster'!$A:$J, 10, FALSE)="Male", "Mr. ", "Ms. "), "") &amp; B42 &amp; ", payment of K" &amp; F42 &amp; " received for " &amp; period &amp; ". Receipt No: " &amp; N42), "Send Receipt")))</f>
        <v/>
      </c>
    </row>
    <row r="43">
      <c r="A43" s="192"/>
      <c r="B43" s="192" t="s">
        <v>175</v>
      </c>
      <c r="C43" s="193"/>
      <c r="D43" s="192"/>
      <c r="E43" s="192"/>
      <c r="F43" s="192"/>
      <c r="G43" s="192"/>
      <c r="H43" s="192" t="str">
        <f t="shared" si="1"/>
        <v/>
      </c>
      <c r="I43" s="192" t="str">
        <f t="shared" si="2"/>
        <v/>
      </c>
      <c r="J43" s="29" t="str">
        <f>IF(A43="", "", IFERROR(VLOOKUP(A43, 'Master Roster'!A:H, 8, FALSE) - F43, ""))</f>
        <v/>
      </c>
      <c r="K43" s="29" t="s">
        <v>175</v>
      </c>
      <c r="L43" s="29" t="b">
        <v>0</v>
      </c>
      <c r="M43" s="29"/>
      <c r="N43" s="29" t="s">
        <v>175</v>
      </c>
      <c r="O43" s="29" t="str">
        <f>IF(ISBLANK(A43), "", LET(entry_day, VLOOKUP(A43, 'Master Roster'!$A:$G, 7, FALSE), start_date, DATE(E43, MONTH(D43&amp;" 1"), entry_day), end_date, EDATE(start_date, 1), period, TEXT(start_date, "mmm d, yyyy") &amp; " - " &amp; TEXT(end_date, "mmm d, yyyy"), HYPERLINK("https://wa.me/" &amp; VLOOKUP(A43, 'Master Roster'!$A:$F, 6, FALSE) &amp; "?text=" &amp; ENCODEURL("Hello " &amp; IFERROR(IF(VLOOKUP(A43, 'Master Roster'!$A:$J, 10, FALSE)="Male", "Mr. ", "Ms. "), "") &amp; B43 &amp; ", payment of K" &amp; F43 &amp; " received for " &amp; period &amp; ". Receipt No: " &amp; N43), "Send Receipt")))</f>
        <v/>
      </c>
    </row>
    <row r="44">
      <c r="A44" s="192"/>
      <c r="B44" s="192" t="s">
        <v>175</v>
      </c>
      <c r="C44" s="193"/>
      <c r="D44" s="192"/>
      <c r="E44" s="192"/>
      <c r="F44" s="192"/>
      <c r="G44" s="192"/>
      <c r="H44" s="192" t="str">
        <f t="shared" si="1"/>
        <v/>
      </c>
      <c r="I44" s="192" t="str">
        <f t="shared" si="2"/>
        <v/>
      </c>
      <c r="J44" s="29" t="str">
        <f>IF(A44="", "", IFERROR(VLOOKUP(A44, 'Master Roster'!A:H, 8, FALSE) - F44, ""))</f>
        <v/>
      </c>
      <c r="K44" s="29" t="s">
        <v>175</v>
      </c>
      <c r="L44" s="29" t="b">
        <v>0</v>
      </c>
      <c r="M44" s="29"/>
      <c r="N44" s="29" t="s">
        <v>175</v>
      </c>
      <c r="O44" s="29" t="str">
        <f>IF(ISBLANK(A44), "", LET(entry_day, VLOOKUP(A44, 'Master Roster'!$A:$G, 7, FALSE), start_date, DATE(E44, MONTH(D44&amp;" 1"), entry_day), end_date, EDATE(start_date, 1), period, TEXT(start_date, "mmm d, yyyy") &amp; " - " &amp; TEXT(end_date, "mmm d, yyyy"), HYPERLINK("https://wa.me/" &amp; VLOOKUP(A44, 'Master Roster'!$A:$F, 6, FALSE) &amp; "?text=" &amp; ENCODEURL("Hello " &amp; IFERROR(IF(VLOOKUP(A44, 'Master Roster'!$A:$J, 10, FALSE)="Male", "Mr. ", "Ms. "), "") &amp; B44 &amp; ", payment of K" &amp; F44 &amp; " received for " &amp; period &amp; ". Receipt No: " &amp; N44), "Send Receipt")))</f>
        <v/>
      </c>
    </row>
    <row r="45">
      <c r="A45" s="192"/>
      <c r="B45" s="192" t="s">
        <v>175</v>
      </c>
      <c r="C45" s="193"/>
      <c r="D45" s="192"/>
      <c r="E45" s="192"/>
      <c r="F45" s="192"/>
      <c r="G45" s="192"/>
      <c r="H45" s="192" t="str">
        <f t="shared" si="1"/>
        <v/>
      </c>
      <c r="I45" s="192" t="str">
        <f t="shared" si="2"/>
        <v/>
      </c>
      <c r="J45" s="29" t="str">
        <f>IF(A45="", "", IFERROR(VLOOKUP(A45, 'Master Roster'!A:H, 8, FALSE) - F45, ""))</f>
        <v/>
      </c>
      <c r="K45" s="29" t="s">
        <v>175</v>
      </c>
      <c r="L45" s="29" t="b">
        <v>0</v>
      </c>
      <c r="M45" s="29"/>
      <c r="N45" s="29" t="s">
        <v>175</v>
      </c>
      <c r="O45" s="29" t="str">
        <f>IF(ISBLANK(A45), "", LET(entry_day, VLOOKUP(A45, 'Master Roster'!$A:$G, 7, FALSE), start_date, DATE(E45, MONTH(D45&amp;" 1"), entry_day), end_date, EDATE(start_date, 1), period, TEXT(start_date, "mmm d, yyyy") &amp; " - " &amp; TEXT(end_date, "mmm d, yyyy"), HYPERLINK("https://wa.me/" &amp; VLOOKUP(A45, 'Master Roster'!$A:$F, 6, FALSE) &amp; "?text=" &amp; ENCODEURL("Hello " &amp; IFERROR(IF(VLOOKUP(A45, 'Master Roster'!$A:$J, 10, FALSE)="Male", "Mr. ", "Ms. "), "") &amp; B45 &amp; ", payment of K" &amp; F45 &amp; " received for " &amp; period &amp; ". Receipt No: " &amp; N45), "Send Receipt")))</f>
        <v/>
      </c>
    </row>
    <row r="46">
      <c r="A46" s="192"/>
      <c r="B46" s="192" t="s">
        <v>175</v>
      </c>
      <c r="C46" s="193"/>
      <c r="D46" s="192"/>
      <c r="E46" s="192"/>
      <c r="F46" s="192"/>
      <c r="G46" s="192"/>
      <c r="H46" s="192" t="str">
        <f t="shared" si="1"/>
        <v/>
      </c>
      <c r="I46" s="192" t="str">
        <f t="shared" si="2"/>
        <v/>
      </c>
      <c r="J46" s="29" t="str">
        <f>IF(A46="", "", IFERROR(VLOOKUP(A46, 'Master Roster'!A:H, 8, FALSE) - F46, ""))</f>
        <v/>
      </c>
      <c r="K46" s="29" t="s">
        <v>175</v>
      </c>
      <c r="L46" s="29" t="b">
        <v>0</v>
      </c>
      <c r="M46" s="29"/>
      <c r="N46" s="29" t="s">
        <v>175</v>
      </c>
      <c r="O46" s="29" t="str">
        <f>IF(ISBLANK(A46), "", LET(entry_day, VLOOKUP(A46, 'Master Roster'!$A:$G, 7, FALSE), start_date, DATE(E46, MONTH(D46&amp;" 1"), entry_day), end_date, EDATE(start_date, 1), period, TEXT(start_date, "mmm d, yyyy") &amp; " - " &amp; TEXT(end_date, "mmm d, yyyy"), HYPERLINK("https://wa.me/" &amp; VLOOKUP(A46, 'Master Roster'!$A:$F, 6, FALSE) &amp; "?text=" &amp; ENCODEURL("Hello " &amp; IFERROR(IF(VLOOKUP(A46, 'Master Roster'!$A:$J, 10, FALSE)="Male", "Mr. ", "Ms. "), "") &amp; B46 &amp; ", payment of K" &amp; F46 &amp; " received for " &amp; period &amp; ". Receipt No: " &amp; N46), "Send Receipt")))</f>
        <v/>
      </c>
    </row>
    <row r="47">
      <c r="A47" s="192"/>
      <c r="B47" s="192" t="s">
        <v>175</v>
      </c>
      <c r="C47" s="193"/>
      <c r="D47" s="192"/>
      <c r="E47" s="192"/>
      <c r="F47" s="192"/>
      <c r="G47" s="192"/>
      <c r="H47" s="192" t="str">
        <f t="shared" si="1"/>
        <v/>
      </c>
      <c r="I47" s="192" t="str">
        <f t="shared" si="2"/>
        <v/>
      </c>
      <c r="J47" s="29" t="str">
        <f>IF(A47="", "", IFERROR(VLOOKUP(A47, 'Master Roster'!A:H, 8, FALSE) - F47, ""))</f>
        <v/>
      </c>
      <c r="K47" s="29" t="s">
        <v>175</v>
      </c>
      <c r="L47" s="29" t="b">
        <v>0</v>
      </c>
      <c r="M47" s="29"/>
      <c r="N47" s="29" t="s">
        <v>175</v>
      </c>
      <c r="O47" s="29" t="str">
        <f>IF(ISBLANK(A47), "", LET(entry_day, VLOOKUP(A47, 'Master Roster'!$A:$G, 7, FALSE), start_date, DATE(E47, MONTH(D47&amp;" 1"), entry_day), end_date, EDATE(start_date, 1), period, TEXT(start_date, "mmm d, yyyy") &amp; " - " &amp; TEXT(end_date, "mmm d, yyyy"), HYPERLINK("https://wa.me/" &amp; VLOOKUP(A47, 'Master Roster'!$A:$F, 6, FALSE) &amp; "?text=" &amp; ENCODEURL("Hello " &amp; IFERROR(IF(VLOOKUP(A47, 'Master Roster'!$A:$J, 10, FALSE)="Male", "Mr. ", "Ms. "), "") &amp; B47 &amp; ", payment of K" &amp; F47 &amp; " received for " &amp; period &amp; ". Receipt No: " &amp; N47), "Send Receipt")))</f>
        <v/>
      </c>
    </row>
    <row r="48">
      <c r="A48" s="192"/>
      <c r="B48" s="192" t="s">
        <v>175</v>
      </c>
      <c r="C48" s="193"/>
      <c r="D48" s="192"/>
      <c r="E48" s="192"/>
      <c r="F48" s="192"/>
      <c r="G48" s="192"/>
      <c r="H48" s="192" t="str">
        <f t="shared" si="1"/>
        <v/>
      </c>
      <c r="I48" s="192" t="str">
        <f t="shared" si="2"/>
        <v/>
      </c>
      <c r="J48" s="29" t="str">
        <f>IF(A48="", "", IFERROR(VLOOKUP(A48, 'Master Roster'!A:H, 8, FALSE) - F48, ""))</f>
        <v/>
      </c>
      <c r="K48" s="29" t="s">
        <v>175</v>
      </c>
      <c r="L48" s="29" t="b">
        <v>0</v>
      </c>
      <c r="M48" s="29"/>
      <c r="N48" s="29" t="s">
        <v>175</v>
      </c>
      <c r="O48" s="29" t="str">
        <f>IF(ISBLANK(A48), "", LET(entry_day, VLOOKUP(A48, 'Master Roster'!$A:$G, 7, FALSE), start_date, DATE(E48, MONTH(D48&amp;" 1"), entry_day), end_date, EDATE(start_date, 1), period, TEXT(start_date, "mmm d, yyyy") &amp; " - " &amp; TEXT(end_date, "mmm d, yyyy"), HYPERLINK("https://wa.me/" &amp; VLOOKUP(A48, 'Master Roster'!$A:$F, 6, FALSE) &amp; "?text=" &amp; ENCODEURL("Hello " &amp; IFERROR(IF(VLOOKUP(A48, 'Master Roster'!$A:$J, 10, FALSE)="Male", "Mr. ", "Ms. "), "") &amp; B48 &amp; ", payment of K" &amp; F48 &amp; " received for " &amp; period &amp; ". Receipt No: " &amp; N48), "Send Receipt")))</f>
        <v/>
      </c>
    </row>
    <row r="49">
      <c r="A49" s="192"/>
      <c r="B49" s="192" t="s">
        <v>175</v>
      </c>
      <c r="C49" s="193"/>
      <c r="D49" s="192"/>
      <c r="E49" s="192"/>
      <c r="F49" s="192"/>
      <c r="G49" s="192"/>
      <c r="H49" s="192" t="str">
        <f t="shared" si="1"/>
        <v/>
      </c>
      <c r="I49" s="192" t="str">
        <f t="shared" si="2"/>
        <v/>
      </c>
      <c r="J49" s="29" t="str">
        <f>IF(A49="", "", IFERROR(VLOOKUP(A49, 'Master Roster'!A:H, 8, FALSE) - F49, ""))</f>
        <v/>
      </c>
      <c r="K49" s="29" t="s">
        <v>175</v>
      </c>
      <c r="L49" s="29" t="b">
        <v>0</v>
      </c>
      <c r="M49" s="29"/>
      <c r="N49" s="29" t="s">
        <v>175</v>
      </c>
      <c r="O49" s="29" t="str">
        <f>IF(ISBLANK(A49), "", LET(entry_day, VLOOKUP(A49, 'Master Roster'!$A:$G, 7, FALSE), start_date, DATE(E49, MONTH(D49&amp;" 1"), entry_day), end_date, EDATE(start_date, 1), period, TEXT(start_date, "mmm d, yyyy") &amp; " - " &amp; TEXT(end_date, "mmm d, yyyy"), HYPERLINK("https://wa.me/" &amp; VLOOKUP(A49, 'Master Roster'!$A:$F, 6, FALSE) &amp; "?text=" &amp; ENCODEURL("Hello " &amp; IFERROR(IF(VLOOKUP(A49, 'Master Roster'!$A:$J, 10, FALSE)="Male", "Mr. ", "Ms. "), "") &amp; B49 &amp; ", payment of K" &amp; F49 &amp; " received for " &amp; period &amp; ". Receipt No: " &amp; N49), "Send Receipt")))</f>
        <v/>
      </c>
    </row>
    <row r="50">
      <c r="A50" s="192"/>
      <c r="B50" s="192" t="s">
        <v>175</v>
      </c>
      <c r="C50" s="193"/>
      <c r="D50" s="192"/>
      <c r="E50" s="192"/>
      <c r="F50" s="192"/>
      <c r="G50" s="192"/>
      <c r="H50" s="192" t="str">
        <f t="shared" si="1"/>
        <v/>
      </c>
      <c r="I50" s="192" t="str">
        <f t="shared" si="2"/>
        <v/>
      </c>
      <c r="J50" s="29" t="str">
        <f>IF(A50="", "", IFERROR(VLOOKUP(A50, 'Master Roster'!A:H, 8, FALSE) - F50, ""))</f>
        <v/>
      </c>
      <c r="K50" s="29" t="s">
        <v>175</v>
      </c>
      <c r="L50" s="29" t="b">
        <v>0</v>
      </c>
      <c r="M50" s="29"/>
      <c r="N50" s="29" t="s">
        <v>175</v>
      </c>
      <c r="O50" s="29" t="str">
        <f>IF(ISBLANK(A50), "", LET(entry_day, VLOOKUP(A50, 'Master Roster'!$A:$G, 7, FALSE), start_date, DATE(E50, MONTH(D50&amp;" 1"), entry_day), end_date, EDATE(start_date, 1), period, TEXT(start_date, "mmm d, yyyy") &amp; " - " &amp; TEXT(end_date, "mmm d, yyyy"), HYPERLINK("https://wa.me/" &amp; VLOOKUP(A50, 'Master Roster'!$A:$F, 6, FALSE) &amp; "?text=" &amp; ENCODEURL("Hello " &amp; IFERROR(IF(VLOOKUP(A50, 'Master Roster'!$A:$J, 10, FALSE)="Male", "Mr. ", "Ms. "), "") &amp; B50 &amp; ", payment of K" &amp; F50 &amp; " received for " &amp; period &amp; ". Receipt No: " &amp; N50), "Send Receipt")))</f>
        <v/>
      </c>
    </row>
    <row r="51">
      <c r="A51" s="192"/>
      <c r="B51" s="192" t="s">
        <v>175</v>
      </c>
      <c r="C51" s="193"/>
      <c r="D51" s="192"/>
      <c r="E51" s="192"/>
      <c r="F51" s="192"/>
      <c r="G51" s="192"/>
      <c r="H51" s="192" t="str">
        <f t="shared" si="1"/>
        <v/>
      </c>
      <c r="I51" s="192" t="str">
        <f t="shared" si="2"/>
        <v/>
      </c>
      <c r="J51" s="29" t="str">
        <f>IF(A51="", "", IFERROR(VLOOKUP(A51, 'Master Roster'!A:H, 8, FALSE) - F51, ""))</f>
        <v/>
      </c>
      <c r="K51" s="29" t="s">
        <v>175</v>
      </c>
      <c r="L51" s="29" t="b">
        <v>0</v>
      </c>
      <c r="M51" s="29"/>
      <c r="N51" s="29" t="s">
        <v>175</v>
      </c>
      <c r="O51" s="29" t="str">
        <f>IF(ISBLANK(A51), "", LET(entry_day, VLOOKUP(A51, 'Master Roster'!$A:$G, 7, FALSE), start_date, DATE(E51, MONTH(D51&amp;" 1"), entry_day), end_date, EDATE(start_date, 1), period, TEXT(start_date, "mmm d, yyyy") &amp; " - " &amp; TEXT(end_date, "mmm d, yyyy"), HYPERLINK("https://wa.me/" &amp; VLOOKUP(A51, 'Master Roster'!$A:$F, 6, FALSE) &amp; "?text=" &amp; ENCODEURL("Hello " &amp; IFERROR(IF(VLOOKUP(A51, 'Master Roster'!$A:$J, 10, FALSE)="Male", "Mr. ", "Ms. "), "") &amp; B51 &amp; ", payment of K" &amp; F51 &amp; " received for " &amp; period &amp; ". Receipt No: " &amp; N51), "Send Receipt")))</f>
        <v/>
      </c>
    </row>
    <row r="52">
      <c r="A52" s="192"/>
      <c r="B52" s="192" t="s">
        <v>175</v>
      </c>
      <c r="C52" s="193"/>
      <c r="D52" s="192"/>
      <c r="E52" s="192"/>
      <c r="F52" s="192"/>
      <c r="G52" s="192"/>
      <c r="H52" s="192" t="str">
        <f t="shared" si="1"/>
        <v/>
      </c>
      <c r="I52" s="192" t="str">
        <f t="shared" si="2"/>
        <v/>
      </c>
      <c r="J52" s="29" t="str">
        <f>IF(A52="", "", IFERROR(VLOOKUP(A52, 'Master Roster'!A:H, 8, FALSE) - F52, ""))</f>
        <v/>
      </c>
      <c r="K52" s="29" t="s">
        <v>175</v>
      </c>
      <c r="L52" s="29" t="b">
        <v>0</v>
      </c>
      <c r="M52" s="29"/>
      <c r="N52" s="29" t="s">
        <v>175</v>
      </c>
      <c r="O52" s="29" t="str">
        <f>IF(ISBLANK(A52), "", LET(entry_day, VLOOKUP(A52, 'Master Roster'!$A:$G, 7, FALSE), start_date, DATE(E52, MONTH(D52&amp;" 1"), entry_day), end_date, EDATE(start_date, 1), period, TEXT(start_date, "mmm d, yyyy") &amp; " - " &amp; TEXT(end_date, "mmm d, yyyy"), HYPERLINK("https://wa.me/" &amp; VLOOKUP(A52, 'Master Roster'!$A:$F, 6, FALSE) &amp; "?text=" &amp; ENCODEURL("Hello " &amp; IFERROR(IF(VLOOKUP(A52, 'Master Roster'!$A:$J, 10, FALSE)="Male", "Mr. ", "Ms. "), "") &amp; B52 &amp; ", payment of K" &amp; F52 &amp; " received for " &amp; period &amp; ". Receipt No: " &amp; N52), "Send Receipt")))</f>
        <v/>
      </c>
    </row>
    <row r="53">
      <c r="A53" s="192"/>
      <c r="B53" s="192" t="s">
        <v>175</v>
      </c>
      <c r="C53" s="193"/>
      <c r="D53" s="192"/>
      <c r="E53" s="192"/>
      <c r="F53" s="192"/>
      <c r="G53" s="192"/>
      <c r="H53" s="192" t="str">
        <f t="shared" si="1"/>
        <v/>
      </c>
      <c r="I53" s="192" t="str">
        <f t="shared" si="2"/>
        <v/>
      </c>
      <c r="J53" s="29" t="str">
        <f>IF(A53="", "", IFERROR(VLOOKUP(A53, 'Master Roster'!A:H, 8, FALSE) - F53, ""))</f>
        <v/>
      </c>
      <c r="K53" s="29" t="s">
        <v>175</v>
      </c>
      <c r="L53" s="29" t="b">
        <v>0</v>
      </c>
      <c r="M53" s="29"/>
      <c r="N53" s="29" t="s">
        <v>175</v>
      </c>
      <c r="O53" s="29" t="str">
        <f>IF(ISBLANK(A53), "", LET(entry_day, VLOOKUP(A53, 'Master Roster'!$A:$G, 7, FALSE), start_date, DATE(E53, MONTH(D53&amp;" 1"), entry_day), end_date, EDATE(start_date, 1), period, TEXT(start_date, "mmm d, yyyy") &amp; " - " &amp; TEXT(end_date, "mmm d, yyyy"), HYPERLINK("https://wa.me/" &amp; VLOOKUP(A53, 'Master Roster'!$A:$F, 6, FALSE) &amp; "?text=" &amp; ENCODEURL("Hello " &amp; IFERROR(IF(VLOOKUP(A53, 'Master Roster'!$A:$J, 10, FALSE)="Male", "Mr. ", "Ms. "), "") &amp; B53 &amp; ", payment of K" &amp; F53 &amp; " received for " &amp; period &amp; ". Receipt No: " &amp; N53), "Send Receipt")))</f>
        <v/>
      </c>
    </row>
    <row r="54">
      <c r="A54" s="192"/>
      <c r="B54" s="192" t="s">
        <v>175</v>
      </c>
      <c r="C54" s="193"/>
      <c r="D54" s="192"/>
      <c r="E54" s="192"/>
      <c r="F54" s="192"/>
      <c r="G54" s="192"/>
      <c r="H54" s="192" t="str">
        <f t="shared" si="1"/>
        <v/>
      </c>
      <c r="I54" s="192" t="str">
        <f t="shared" si="2"/>
        <v/>
      </c>
      <c r="J54" s="29" t="str">
        <f>IF(A54="", "", IFERROR(VLOOKUP(A54, 'Master Roster'!A:H, 8, FALSE) - F54, ""))</f>
        <v/>
      </c>
      <c r="K54" s="29" t="s">
        <v>175</v>
      </c>
      <c r="L54" s="29" t="b">
        <v>0</v>
      </c>
      <c r="M54" s="29"/>
      <c r="N54" s="29" t="s">
        <v>175</v>
      </c>
      <c r="O54" s="29" t="str">
        <f>IF(ISBLANK(A54), "", LET(entry_day, VLOOKUP(A54, 'Master Roster'!$A:$G, 7, FALSE), start_date, DATE(E54, MONTH(D54&amp;" 1"), entry_day), end_date, EDATE(start_date, 1), period, TEXT(start_date, "mmm d, yyyy") &amp; " - " &amp; TEXT(end_date, "mmm d, yyyy"), HYPERLINK("https://wa.me/" &amp; VLOOKUP(A54, 'Master Roster'!$A:$F, 6, FALSE) &amp; "?text=" &amp; ENCODEURL("Hello " &amp; IFERROR(IF(VLOOKUP(A54, 'Master Roster'!$A:$J, 10, FALSE)="Male", "Mr. ", "Ms. "), "") &amp; B54 &amp; ", payment of K" &amp; F54 &amp; " received for " &amp; period &amp; ". Receipt No: " &amp; N54), "Send Receipt")))</f>
        <v/>
      </c>
    </row>
    <row r="55">
      <c r="A55" s="192"/>
      <c r="B55" s="192" t="s">
        <v>175</v>
      </c>
      <c r="C55" s="193"/>
      <c r="D55" s="192"/>
      <c r="E55" s="192"/>
      <c r="F55" s="192"/>
      <c r="G55" s="192"/>
      <c r="H55" s="192" t="str">
        <f t="shared" si="1"/>
        <v/>
      </c>
      <c r="I55" s="192" t="str">
        <f t="shared" si="2"/>
        <v/>
      </c>
      <c r="J55" s="29" t="str">
        <f>IF(A55="", "", IFERROR(VLOOKUP(A55, 'Master Roster'!A:H, 8, FALSE) - F55, ""))</f>
        <v/>
      </c>
      <c r="K55" s="29" t="s">
        <v>175</v>
      </c>
      <c r="L55" s="29" t="b">
        <v>0</v>
      </c>
      <c r="M55" s="29"/>
      <c r="N55" s="29" t="s">
        <v>175</v>
      </c>
      <c r="O55" s="29" t="str">
        <f>IF(ISBLANK(A55), "", LET(entry_day, VLOOKUP(A55, 'Master Roster'!$A:$G, 7, FALSE), start_date, DATE(E55, MONTH(D55&amp;" 1"), entry_day), end_date, EDATE(start_date, 1), period, TEXT(start_date, "mmm d, yyyy") &amp; " - " &amp; TEXT(end_date, "mmm d, yyyy"), HYPERLINK("https://wa.me/" &amp; VLOOKUP(A55, 'Master Roster'!$A:$F, 6, FALSE) &amp; "?text=" &amp; ENCODEURL("Hello " &amp; IFERROR(IF(VLOOKUP(A55, 'Master Roster'!$A:$J, 10, FALSE)="Male", "Mr. ", "Ms. "), "") &amp; B55 &amp; ", payment of K" &amp; F55 &amp; " received for " &amp; period &amp; ". Receipt No: " &amp; N55), "Send Receipt")))</f>
        <v/>
      </c>
    </row>
    <row r="56">
      <c r="A56" s="192"/>
      <c r="B56" s="192" t="s">
        <v>175</v>
      </c>
      <c r="C56" s="193"/>
      <c r="D56" s="192"/>
      <c r="E56" s="192"/>
      <c r="F56" s="192"/>
      <c r="G56" s="192"/>
      <c r="H56" s="192" t="str">
        <f t="shared" si="1"/>
        <v/>
      </c>
      <c r="I56" s="192" t="str">
        <f t="shared" si="2"/>
        <v/>
      </c>
      <c r="J56" s="29" t="str">
        <f>IF(A56="", "", IFERROR(VLOOKUP(A56, 'Master Roster'!A:H, 8, FALSE) - F56, ""))</f>
        <v/>
      </c>
      <c r="K56" s="29" t="s">
        <v>175</v>
      </c>
      <c r="L56" s="29" t="b">
        <v>0</v>
      </c>
      <c r="M56" s="29"/>
      <c r="N56" s="29" t="s">
        <v>175</v>
      </c>
      <c r="O56" s="29" t="str">
        <f>IF(ISBLANK(A56), "", LET(entry_day, VLOOKUP(A56, 'Master Roster'!$A:$G, 7, FALSE), start_date, DATE(E56, MONTH(D56&amp;" 1"), entry_day), end_date, EDATE(start_date, 1), period, TEXT(start_date, "mmm d, yyyy") &amp; " - " &amp; TEXT(end_date, "mmm d, yyyy"), HYPERLINK("https://wa.me/" &amp; VLOOKUP(A56, 'Master Roster'!$A:$F, 6, FALSE) &amp; "?text=" &amp; ENCODEURL("Hello " &amp; IFERROR(IF(VLOOKUP(A56, 'Master Roster'!$A:$J, 10, FALSE)="Male", "Mr. ", "Ms. "), "") &amp; B56 &amp; ", payment of K" &amp; F56 &amp; " received for " &amp; period &amp; ". Receipt No: " &amp; N56), "Send Receipt")))</f>
        <v/>
      </c>
    </row>
    <row r="57">
      <c r="A57" s="192"/>
      <c r="B57" s="192" t="s">
        <v>175</v>
      </c>
      <c r="C57" s="193"/>
      <c r="D57" s="192"/>
      <c r="E57" s="192"/>
      <c r="F57" s="192"/>
      <c r="G57" s="192"/>
      <c r="H57" s="192" t="str">
        <f t="shared" si="1"/>
        <v/>
      </c>
      <c r="I57" s="192" t="str">
        <f t="shared" si="2"/>
        <v/>
      </c>
      <c r="J57" s="29" t="str">
        <f>IF(A57="", "", IFERROR(VLOOKUP(A57, 'Master Roster'!A:H, 8, FALSE) - F57, ""))</f>
        <v/>
      </c>
      <c r="K57" s="29" t="s">
        <v>175</v>
      </c>
      <c r="L57" s="29" t="b">
        <v>0</v>
      </c>
      <c r="M57" s="29"/>
      <c r="N57" s="29" t="s">
        <v>175</v>
      </c>
      <c r="O57" s="29" t="str">
        <f>IF(ISBLANK(A57), "", LET(entry_day, VLOOKUP(A57, 'Master Roster'!$A:$G, 7, FALSE), start_date, DATE(E57, MONTH(D57&amp;" 1"), entry_day), end_date, EDATE(start_date, 1), period, TEXT(start_date, "mmm d, yyyy") &amp; " - " &amp; TEXT(end_date, "mmm d, yyyy"), HYPERLINK("https://wa.me/" &amp; VLOOKUP(A57, 'Master Roster'!$A:$F, 6, FALSE) &amp; "?text=" &amp; ENCODEURL("Hello " &amp; IFERROR(IF(VLOOKUP(A57, 'Master Roster'!$A:$J, 10, FALSE)="Male", "Mr. ", "Ms. "), "") &amp; B57 &amp; ", payment of K" &amp; F57 &amp; " received for " &amp; period &amp; ". Receipt No: " &amp; N57), "Send Receipt")))</f>
        <v/>
      </c>
    </row>
    <row r="58">
      <c r="A58" s="192"/>
      <c r="B58" s="192" t="s">
        <v>175</v>
      </c>
      <c r="C58" s="193"/>
      <c r="D58" s="192"/>
      <c r="E58" s="192"/>
      <c r="F58" s="192"/>
      <c r="G58" s="192"/>
      <c r="H58" s="192" t="str">
        <f t="shared" si="1"/>
        <v/>
      </c>
      <c r="I58" s="192" t="str">
        <f t="shared" si="2"/>
        <v/>
      </c>
      <c r="J58" s="29" t="str">
        <f>IF(A58="", "", IFERROR(VLOOKUP(A58, 'Master Roster'!A:H, 8, FALSE) - F58, ""))</f>
        <v/>
      </c>
      <c r="K58" s="29" t="s">
        <v>175</v>
      </c>
      <c r="L58" s="29" t="b">
        <v>0</v>
      </c>
      <c r="M58" s="29"/>
      <c r="N58" s="29" t="s">
        <v>175</v>
      </c>
      <c r="O58" s="29" t="str">
        <f>IF(ISBLANK(A58), "", LET(entry_day, VLOOKUP(A58, 'Master Roster'!$A:$G, 7, FALSE), start_date, DATE(E58, MONTH(D58&amp;" 1"), entry_day), end_date, EDATE(start_date, 1), period, TEXT(start_date, "mmm d, yyyy") &amp; " - " &amp; TEXT(end_date, "mmm d, yyyy"), HYPERLINK("https://wa.me/" &amp; VLOOKUP(A58, 'Master Roster'!$A:$F, 6, FALSE) &amp; "?text=" &amp; ENCODEURL("Hello " &amp; IFERROR(IF(VLOOKUP(A58, 'Master Roster'!$A:$J, 10, FALSE)="Male", "Mr. ", "Ms. "), "") &amp; B58 &amp; ", payment of K" &amp; F58 &amp; " received for " &amp; period &amp; ". Receipt No: " &amp; N58), "Send Receipt")))</f>
        <v/>
      </c>
    </row>
    <row r="59">
      <c r="A59" s="192"/>
      <c r="B59" s="192" t="s">
        <v>175</v>
      </c>
      <c r="C59" s="193"/>
      <c r="D59" s="192"/>
      <c r="E59" s="192"/>
      <c r="F59" s="192"/>
      <c r="G59" s="192"/>
      <c r="H59" s="192" t="str">
        <f t="shared" si="1"/>
        <v/>
      </c>
      <c r="I59" s="192" t="str">
        <f t="shared" si="2"/>
        <v/>
      </c>
      <c r="J59" s="29" t="str">
        <f>IF(A59="", "", IFERROR(VLOOKUP(A59, 'Master Roster'!A:H, 8, FALSE) - F59, ""))</f>
        <v/>
      </c>
      <c r="K59" s="29" t="s">
        <v>175</v>
      </c>
      <c r="L59" s="29" t="b">
        <v>0</v>
      </c>
      <c r="M59" s="29"/>
      <c r="N59" s="29" t="s">
        <v>175</v>
      </c>
      <c r="O59" s="29" t="str">
        <f>IF(ISBLANK(A59), "", LET(entry_day, VLOOKUP(A59, 'Master Roster'!$A:$G, 7, FALSE), start_date, DATE(E59, MONTH(D59&amp;" 1"), entry_day), end_date, EDATE(start_date, 1), period, TEXT(start_date, "mmm d, yyyy") &amp; " - " &amp; TEXT(end_date, "mmm d, yyyy"), HYPERLINK("https://wa.me/" &amp; VLOOKUP(A59, 'Master Roster'!$A:$F, 6, FALSE) &amp; "?text=" &amp; ENCODEURL("Hello " &amp; IFERROR(IF(VLOOKUP(A59, 'Master Roster'!$A:$J, 10, FALSE)="Male", "Mr. ", "Ms. "), "") &amp; B59 &amp; ", payment of K" &amp; F59 &amp; " received for " &amp; period &amp; ". Receipt No: " &amp; N59), "Send Receipt")))</f>
        <v/>
      </c>
    </row>
    <row r="60">
      <c r="A60" s="192"/>
      <c r="B60" s="192" t="s">
        <v>175</v>
      </c>
      <c r="C60" s="193"/>
      <c r="D60" s="192"/>
      <c r="E60" s="192"/>
      <c r="F60" s="192"/>
      <c r="G60" s="192"/>
      <c r="H60" s="192" t="str">
        <f t="shared" si="1"/>
        <v/>
      </c>
      <c r="I60" s="192" t="str">
        <f t="shared" si="2"/>
        <v/>
      </c>
      <c r="J60" s="29" t="str">
        <f>IF(A60="", "", IFERROR(VLOOKUP(A60, 'Master Roster'!A:H, 8, FALSE) - F60, ""))</f>
        <v/>
      </c>
      <c r="K60" s="29" t="s">
        <v>175</v>
      </c>
      <c r="L60" s="29" t="b">
        <v>0</v>
      </c>
      <c r="M60" s="29"/>
      <c r="N60" s="29" t="s">
        <v>175</v>
      </c>
      <c r="O60" s="29" t="str">
        <f>IF(ISBLANK(A60), "", LET(entry_day, VLOOKUP(A60, 'Master Roster'!$A:$G, 7, FALSE), start_date, DATE(E60, MONTH(D60&amp;" 1"), entry_day), end_date, EDATE(start_date, 1), period, TEXT(start_date, "mmm d, yyyy") &amp; " - " &amp; TEXT(end_date, "mmm d, yyyy"), HYPERLINK("https://wa.me/" &amp; VLOOKUP(A60, 'Master Roster'!$A:$F, 6, FALSE) &amp; "?text=" &amp; ENCODEURL("Hello " &amp; IFERROR(IF(VLOOKUP(A60, 'Master Roster'!$A:$J, 10, FALSE)="Male", "Mr. ", "Ms. "), "") &amp; B60 &amp; ", payment of K" &amp; F60 &amp; " received for " &amp; period &amp; ". Receipt No: " &amp; N60), "Send Receipt")))</f>
        <v/>
      </c>
    </row>
    <row r="61">
      <c r="A61" s="192"/>
      <c r="B61" s="192" t="s">
        <v>175</v>
      </c>
      <c r="C61" s="193"/>
      <c r="D61" s="192"/>
      <c r="E61" s="192"/>
      <c r="F61" s="192"/>
      <c r="G61" s="192"/>
      <c r="H61" s="192" t="str">
        <f t="shared" si="1"/>
        <v/>
      </c>
      <c r="I61" s="192" t="str">
        <f t="shared" si="2"/>
        <v/>
      </c>
      <c r="J61" s="29" t="str">
        <f>IF(A61="", "", IFERROR(VLOOKUP(A61, 'Master Roster'!A:H, 8, FALSE) - F61, ""))</f>
        <v/>
      </c>
      <c r="K61" s="29" t="s">
        <v>175</v>
      </c>
      <c r="L61" s="29" t="b">
        <v>0</v>
      </c>
      <c r="M61" s="29"/>
      <c r="N61" s="29" t="s">
        <v>175</v>
      </c>
      <c r="O61" s="29" t="str">
        <f>IF(ISBLANK(A61), "", LET(entry_day, VLOOKUP(A61, 'Master Roster'!$A:$G, 7, FALSE), start_date, DATE(E61, MONTH(D61&amp;" 1"), entry_day), end_date, EDATE(start_date, 1), period, TEXT(start_date, "mmm d, yyyy") &amp; " - " &amp; TEXT(end_date, "mmm d, yyyy"), HYPERLINK("https://wa.me/" &amp; VLOOKUP(A61, 'Master Roster'!$A:$F, 6, FALSE) &amp; "?text=" &amp; ENCODEURL("Hello " &amp; IFERROR(IF(VLOOKUP(A61, 'Master Roster'!$A:$J, 10, FALSE)="Male", "Mr. ", "Ms. "), "") &amp; B61 &amp; ", payment of K" &amp; F61 &amp; " received for " &amp; period &amp; ". Receipt No: " &amp; N61), "Send Receipt")))</f>
        <v/>
      </c>
    </row>
    <row r="62">
      <c r="A62" s="192"/>
      <c r="B62" s="192" t="s">
        <v>175</v>
      </c>
      <c r="C62" s="193"/>
      <c r="D62" s="192"/>
      <c r="E62" s="192"/>
      <c r="F62" s="192"/>
      <c r="G62" s="192"/>
      <c r="H62" s="192" t="str">
        <f t="shared" si="1"/>
        <v/>
      </c>
      <c r="I62" s="192" t="str">
        <f t="shared" si="2"/>
        <v/>
      </c>
      <c r="J62" s="29" t="str">
        <f>IF(A62="", "", IFERROR(VLOOKUP(A62, 'Master Roster'!A:H, 8, FALSE) - F62, ""))</f>
        <v/>
      </c>
      <c r="K62" s="29" t="s">
        <v>175</v>
      </c>
      <c r="L62" s="29" t="b">
        <v>0</v>
      </c>
      <c r="M62" s="29"/>
      <c r="N62" s="29" t="s">
        <v>175</v>
      </c>
      <c r="O62" s="29" t="str">
        <f>IF(ISBLANK(A62), "", LET(entry_day, VLOOKUP(A62, 'Master Roster'!$A:$G, 7, FALSE), start_date, DATE(E62, MONTH(D62&amp;" 1"), entry_day), end_date, EDATE(start_date, 1), period, TEXT(start_date, "mmm d, yyyy") &amp; " - " &amp; TEXT(end_date, "mmm d, yyyy"), HYPERLINK("https://wa.me/" &amp; VLOOKUP(A62, 'Master Roster'!$A:$F, 6, FALSE) &amp; "?text=" &amp; ENCODEURL("Hello " &amp; IFERROR(IF(VLOOKUP(A62, 'Master Roster'!$A:$J, 10, FALSE)="Male", "Mr. ", "Ms. "), "") &amp; B62 &amp; ", payment of K" &amp; F62 &amp; " received for " &amp; period &amp; ". Receipt No: " &amp; N62), "Send Receipt")))</f>
        <v/>
      </c>
    </row>
    <row r="63">
      <c r="A63" s="192"/>
      <c r="B63" s="192" t="s">
        <v>175</v>
      </c>
      <c r="C63" s="193"/>
      <c r="D63" s="192"/>
      <c r="E63" s="192"/>
      <c r="F63" s="192"/>
      <c r="G63" s="192"/>
      <c r="H63" s="192" t="str">
        <f t="shared" si="1"/>
        <v/>
      </c>
      <c r="I63" s="192" t="str">
        <f t="shared" si="2"/>
        <v/>
      </c>
      <c r="J63" s="29" t="str">
        <f>IF(A63="", "", IFERROR(VLOOKUP(A63, 'Master Roster'!A:H, 8, FALSE) - F63, ""))</f>
        <v/>
      </c>
      <c r="K63" s="29" t="s">
        <v>175</v>
      </c>
      <c r="L63" s="29" t="b">
        <v>0</v>
      </c>
      <c r="M63" s="29"/>
      <c r="N63" s="29" t="s">
        <v>175</v>
      </c>
      <c r="O63" s="29" t="str">
        <f>IF(ISBLANK(A63), "", LET(entry_day, VLOOKUP(A63, 'Master Roster'!$A:$G, 7, FALSE), start_date, DATE(E63, MONTH(D63&amp;" 1"), entry_day), end_date, EDATE(start_date, 1), period, TEXT(start_date, "mmm d, yyyy") &amp; " - " &amp; TEXT(end_date, "mmm d, yyyy"), HYPERLINK("https://wa.me/" &amp; VLOOKUP(A63, 'Master Roster'!$A:$F, 6, FALSE) &amp; "?text=" &amp; ENCODEURL("Hello " &amp; IFERROR(IF(VLOOKUP(A63, 'Master Roster'!$A:$J, 10, FALSE)="Male", "Mr. ", "Ms. "), "") &amp; B63 &amp; ", payment of K" &amp; F63 &amp; " received for " &amp; period &amp; ". Receipt No: " &amp; N63), "Send Receipt")))</f>
        <v/>
      </c>
    </row>
    <row r="64">
      <c r="A64" s="192"/>
      <c r="B64" s="192" t="s">
        <v>175</v>
      </c>
      <c r="C64" s="193"/>
      <c r="D64" s="192"/>
      <c r="E64" s="192"/>
      <c r="F64" s="192"/>
      <c r="G64" s="192"/>
      <c r="H64" s="192" t="str">
        <f t="shared" si="1"/>
        <v/>
      </c>
      <c r="I64" s="192" t="str">
        <f t="shared" si="2"/>
        <v/>
      </c>
      <c r="J64" s="29" t="str">
        <f>IF(A64="", "", IFERROR(VLOOKUP(A64, 'Master Roster'!A:H, 8, FALSE) - F64, ""))</f>
        <v/>
      </c>
      <c r="K64" s="29" t="s">
        <v>175</v>
      </c>
      <c r="L64" s="29" t="b">
        <v>0</v>
      </c>
      <c r="M64" s="29"/>
      <c r="N64" s="29" t="s">
        <v>175</v>
      </c>
      <c r="O64" s="29" t="str">
        <f>IF(ISBLANK(A64), "", LET(entry_day, VLOOKUP(A64, 'Master Roster'!$A:$G, 7, FALSE), start_date, DATE(E64, MONTH(D64&amp;" 1"), entry_day), end_date, EDATE(start_date, 1), period, TEXT(start_date, "mmm d, yyyy") &amp; " - " &amp; TEXT(end_date, "mmm d, yyyy"), HYPERLINK("https://wa.me/" &amp; VLOOKUP(A64, 'Master Roster'!$A:$F, 6, FALSE) &amp; "?text=" &amp; ENCODEURL("Hello " &amp; IFERROR(IF(VLOOKUP(A64, 'Master Roster'!$A:$J, 10, FALSE)="Male", "Mr. ", "Ms. "), "") &amp; B64 &amp; ", payment of K" &amp; F64 &amp; " received for " &amp; period &amp; ". Receipt No: " &amp; N64), "Send Receipt")))</f>
        <v/>
      </c>
    </row>
    <row r="65">
      <c r="A65" s="192"/>
      <c r="B65" s="192" t="s">
        <v>175</v>
      </c>
      <c r="C65" s="193"/>
      <c r="D65" s="192"/>
      <c r="E65" s="192"/>
      <c r="F65" s="192"/>
      <c r="G65" s="192"/>
      <c r="H65" s="192" t="str">
        <f t="shared" si="1"/>
        <v/>
      </c>
      <c r="I65" s="192" t="str">
        <f t="shared" si="2"/>
        <v/>
      </c>
      <c r="J65" s="29" t="str">
        <f>IF(A65="", "", IFERROR(VLOOKUP(A65, 'Master Roster'!A:H, 8, FALSE) - F65, ""))</f>
        <v/>
      </c>
      <c r="K65" s="29" t="s">
        <v>175</v>
      </c>
      <c r="L65" s="29" t="b">
        <v>0</v>
      </c>
      <c r="M65" s="29"/>
      <c r="N65" s="29" t="s">
        <v>175</v>
      </c>
      <c r="O65" s="29" t="str">
        <f>IF(ISBLANK(A65), "", LET(entry_day, VLOOKUP(A65, 'Master Roster'!$A:$G, 7, FALSE), start_date, DATE(E65, MONTH(D65&amp;" 1"), entry_day), end_date, EDATE(start_date, 1), period, TEXT(start_date, "mmm d, yyyy") &amp; " - " &amp; TEXT(end_date, "mmm d, yyyy"), HYPERLINK("https://wa.me/" &amp; VLOOKUP(A65, 'Master Roster'!$A:$F, 6, FALSE) &amp; "?text=" &amp; ENCODEURL("Hello " &amp; IFERROR(IF(VLOOKUP(A65, 'Master Roster'!$A:$J, 10, FALSE)="Male", "Mr. ", "Ms. "), "") &amp; B65 &amp; ", payment of K" &amp; F65 &amp; " received for " &amp; period &amp; ". Receipt No: " &amp; N65), "Send Receipt")))</f>
        <v/>
      </c>
    </row>
    <row r="66">
      <c r="A66" s="192"/>
      <c r="B66" s="192" t="s">
        <v>175</v>
      </c>
      <c r="C66" s="193"/>
      <c r="D66" s="192"/>
      <c r="E66" s="192"/>
      <c r="F66" s="192"/>
      <c r="G66" s="192"/>
      <c r="H66" s="192" t="str">
        <f t="shared" si="1"/>
        <v/>
      </c>
      <c r="I66" s="192" t="str">
        <f t="shared" si="2"/>
        <v/>
      </c>
      <c r="J66" s="29" t="str">
        <f>IF(A66="", "", IFERROR(VLOOKUP(A66, 'Master Roster'!A:H, 8, FALSE) - F66, ""))</f>
        <v/>
      </c>
      <c r="K66" s="29" t="s">
        <v>175</v>
      </c>
      <c r="L66" s="29" t="b">
        <v>0</v>
      </c>
      <c r="M66" s="29"/>
      <c r="N66" s="29" t="s">
        <v>175</v>
      </c>
      <c r="O66" s="29" t="str">
        <f>IF(ISBLANK(A66), "", LET(entry_day, VLOOKUP(A66, 'Master Roster'!$A:$G, 7, FALSE), start_date, DATE(E66, MONTH(D66&amp;" 1"), entry_day), end_date, EDATE(start_date, 1), period, TEXT(start_date, "mmm d, yyyy") &amp; " - " &amp; TEXT(end_date, "mmm d, yyyy"), HYPERLINK("https://wa.me/" &amp; VLOOKUP(A66, 'Master Roster'!$A:$F, 6, FALSE) &amp; "?text=" &amp; ENCODEURL("Hello " &amp; IFERROR(IF(VLOOKUP(A66, 'Master Roster'!$A:$J, 10, FALSE)="Male", "Mr. ", "Ms. "), "") &amp; B66 &amp; ", payment of K" &amp; F66 &amp; " received for " &amp; period &amp; ". Receipt No: " &amp; N66), "Send Receipt")))</f>
        <v/>
      </c>
    </row>
    <row r="67">
      <c r="A67" s="192"/>
      <c r="B67" s="192" t="s">
        <v>175</v>
      </c>
      <c r="C67" s="193"/>
      <c r="D67" s="192"/>
      <c r="E67" s="192"/>
      <c r="F67" s="192"/>
      <c r="G67" s="192"/>
      <c r="H67" s="192" t="str">
        <f t="shared" si="1"/>
        <v/>
      </c>
      <c r="I67" s="192" t="str">
        <f t="shared" si="2"/>
        <v/>
      </c>
      <c r="J67" s="29" t="str">
        <f>IF(A67="", "", IFERROR(VLOOKUP(A67, 'Master Roster'!A:H, 8, FALSE) - F67, ""))</f>
        <v/>
      </c>
      <c r="K67" s="29" t="s">
        <v>175</v>
      </c>
      <c r="L67" s="29" t="b">
        <v>0</v>
      </c>
      <c r="M67" s="29"/>
      <c r="N67" s="29" t="s">
        <v>175</v>
      </c>
      <c r="O67" s="29" t="str">
        <f>IF(ISBLANK(A67), "", LET(entry_day, VLOOKUP(A67, 'Master Roster'!$A:$G, 7, FALSE), start_date, DATE(E67, MONTH(D67&amp;" 1"), entry_day), end_date, EDATE(start_date, 1), period, TEXT(start_date, "mmm d, yyyy") &amp; " - " &amp; TEXT(end_date, "mmm d, yyyy"), HYPERLINK("https://wa.me/" &amp; VLOOKUP(A67, 'Master Roster'!$A:$F, 6, FALSE) &amp; "?text=" &amp; ENCODEURL("Hello " &amp; IFERROR(IF(VLOOKUP(A67, 'Master Roster'!$A:$J, 10, FALSE)="Male", "Mr. ", "Ms. "), "") &amp; B67 &amp; ", payment of K" &amp; F67 &amp; " received for " &amp; period &amp; ". Receipt No: " &amp; N67), "Send Receipt")))</f>
        <v/>
      </c>
    </row>
    <row r="68">
      <c r="A68" s="192"/>
      <c r="B68" s="192" t="s">
        <v>175</v>
      </c>
      <c r="C68" s="193"/>
      <c r="D68" s="192"/>
      <c r="E68" s="192"/>
      <c r="F68" s="192"/>
      <c r="G68" s="192"/>
      <c r="H68" s="192" t="str">
        <f t="shared" si="1"/>
        <v/>
      </c>
      <c r="I68" s="192" t="str">
        <f t="shared" si="2"/>
        <v/>
      </c>
      <c r="J68" s="29" t="str">
        <f>IF(A68="", "", IFERROR(VLOOKUP(A68, 'Master Roster'!A:H, 8, FALSE) - F68, ""))</f>
        <v/>
      </c>
      <c r="K68" s="29" t="s">
        <v>175</v>
      </c>
      <c r="L68" s="29" t="b">
        <v>0</v>
      </c>
      <c r="M68" s="29"/>
      <c r="N68" s="29" t="s">
        <v>175</v>
      </c>
      <c r="O68" s="29" t="str">
        <f>IF(ISBLANK(A68), "", LET(entry_day, VLOOKUP(A68, 'Master Roster'!$A:$G, 7, FALSE), start_date, DATE(E68, MONTH(D68&amp;" 1"), entry_day), end_date, EDATE(start_date, 1), period, TEXT(start_date, "mmm d, yyyy") &amp; " - " &amp; TEXT(end_date, "mmm d, yyyy"), HYPERLINK("https://wa.me/" &amp; VLOOKUP(A68, 'Master Roster'!$A:$F, 6, FALSE) &amp; "?text=" &amp; ENCODEURL("Hello " &amp; IFERROR(IF(VLOOKUP(A68, 'Master Roster'!$A:$J, 10, FALSE)="Male", "Mr. ", "Ms. "), "") &amp; B68 &amp; ", payment of K" &amp; F68 &amp; " received for " &amp; period &amp; ". Receipt No: " &amp; N68), "Send Receipt")))</f>
        <v/>
      </c>
    </row>
    <row r="69">
      <c r="A69" s="192"/>
      <c r="B69" s="192" t="s">
        <v>175</v>
      </c>
      <c r="C69" s="193"/>
      <c r="D69" s="192"/>
      <c r="E69" s="192"/>
      <c r="F69" s="192"/>
      <c r="G69" s="192"/>
      <c r="H69" s="192" t="str">
        <f t="shared" si="1"/>
        <v/>
      </c>
      <c r="I69" s="192" t="str">
        <f t="shared" si="2"/>
        <v/>
      </c>
      <c r="J69" s="29" t="str">
        <f>IF(A69="", "", IFERROR(VLOOKUP(A69, 'Master Roster'!A:H, 8, FALSE) - F69, ""))</f>
        <v/>
      </c>
      <c r="K69" s="29" t="s">
        <v>175</v>
      </c>
      <c r="L69" s="29" t="b">
        <v>0</v>
      </c>
      <c r="M69" s="29"/>
      <c r="N69" s="29" t="s">
        <v>175</v>
      </c>
      <c r="O69" s="29" t="str">
        <f>IF(ISBLANK(A69), "", LET(entry_day, VLOOKUP(A69, 'Master Roster'!$A:$G, 7, FALSE), start_date, DATE(E69, MONTH(D69&amp;" 1"), entry_day), end_date, EDATE(start_date, 1), period, TEXT(start_date, "mmm d, yyyy") &amp; " - " &amp; TEXT(end_date, "mmm d, yyyy"), HYPERLINK("https://wa.me/" &amp; VLOOKUP(A69, 'Master Roster'!$A:$F, 6, FALSE) &amp; "?text=" &amp; ENCODEURL("Hello " &amp; IFERROR(IF(VLOOKUP(A69, 'Master Roster'!$A:$J, 10, FALSE)="Male", "Mr. ", "Ms. "), "") &amp; B69 &amp; ", payment of K" &amp; F69 &amp; " received for " &amp; period &amp; ". Receipt No: " &amp; N69), "Send Receipt")))</f>
        <v/>
      </c>
    </row>
    <row r="70">
      <c r="A70" s="192"/>
      <c r="B70" s="192" t="s">
        <v>175</v>
      </c>
      <c r="C70" s="193"/>
      <c r="D70" s="192"/>
      <c r="E70" s="192"/>
      <c r="F70" s="192"/>
      <c r="G70" s="192"/>
      <c r="H70" s="192" t="str">
        <f t="shared" si="1"/>
        <v/>
      </c>
      <c r="I70" s="192" t="str">
        <f t="shared" si="2"/>
        <v/>
      </c>
      <c r="J70" s="29" t="str">
        <f>IF(A70="", "", IFERROR(VLOOKUP(A70, 'Master Roster'!A:H, 8, FALSE) - F70, ""))</f>
        <v/>
      </c>
      <c r="K70" s="29" t="s">
        <v>175</v>
      </c>
      <c r="L70" s="29" t="b">
        <v>0</v>
      </c>
      <c r="M70" s="29"/>
      <c r="N70" s="29" t="s">
        <v>175</v>
      </c>
      <c r="O70" s="29" t="str">
        <f>IF(ISBLANK(A70), "", LET(entry_day, VLOOKUP(A70, 'Master Roster'!$A:$G, 7, FALSE), start_date, DATE(E70, MONTH(D70&amp;" 1"), entry_day), end_date, EDATE(start_date, 1), period, TEXT(start_date, "mmm d, yyyy") &amp; " - " &amp; TEXT(end_date, "mmm d, yyyy"), HYPERLINK("https://wa.me/" &amp; VLOOKUP(A70, 'Master Roster'!$A:$F, 6, FALSE) &amp; "?text=" &amp; ENCODEURL("Hello " &amp; IFERROR(IF(VLOOKUP(A70, 'Master Roster'!$A:$J, 10, FALSE)="Male", "Mr. ", "Ms. "), "") &amp; B70 &amp; ", payment of K" &amp; F70 &amp; " received for " &amp; period &amp; ". Receipt No: " &amp; N70), "Send Receipt")))</f>
        <v/>
      </c>
    </row>
    <row r="71">
      <c r="A71" s="192"/>
      <c r="B71" s="192" t="s">
        <v>175</v>
      </c>
      <c r="C71" s="193"/>
      <c r="D71" s="192"/>
      <c r="E71" s="192"/>
      <c r="F71" s="192"/>
      <c r="G71" s="192"/>
      <c r="H71" s="192" t="str">
        <f t="shared" si="1"/>
        <v/>
      </c>
      <c r="I71" s="192" t="str">
        <f t="shared" si="2"/>
        <v/>
      </c>
      <c r="J71" s="29" t="str">
        <f>IF(A71="", "", IFERROR(VLOOKUP(A71, 'Master Roster'!A:H, 8, FALSE) - F71, ""))</f>
        <v/>
      </c>
      <c r="K71" s="29" t="s">
        <v>175</v>
      </c>
      <c r="L71" s="29" t="b">
        <v>0</v>
      </c>
      <c r="M71" s="29"/>
      <c r="N71" s="29" t="s">
        <v>175</v>
      </c>
      <c r="O71" s="29" t="str">
        <f>IF(ISBLANK(A71), "", LET(entry_day, VLOOKUP(A71, 'Master Roster'!$A:$G, 7, FALSE), start_date, DATE(E71, MONTH(D71&amp;" 1"), entry_day), end_date, EDATE(start_date, 1), period, TEXT(start_date, "mmm d, yyyy") &amp; " - " &amp; TEXT(end_date, "mmm d, yyyy"), HYPERLINK("https://wa.me/" &amp; VLOOKUP(A71, 'Master Roster'!$A:$F, 6, FALSE) &amp; "?text=" &amp; ENCODEURL("Hello " &amp; IFERROR(IF(VLOOKUP(A71, 'Master Roster'!$A:$J, 10, FALSE)="Male", "Mr. ", "Ms. "), "") &amp; B71 &amp; ", payment of K" &amp; F71 &amp; " received for " &amp; period &amp; ". Receipt No: " &amp; N71), "Send Receipt")))</f>
        <v/>
      </c>
    </row>
    <row r="72">
      <c r="A72" s="192"/>
      <c r="B72" s="192" t="s">
        <v>175</v>
      </c>
      <c r="C72" s="193"/>
      <c r="D72" s="192"/>
      <c r="E72" s="192"/>
      <c r="F72" s="192"/>
      <c r="G72" s="192"/>
      <c r="H72" s="192" t="str">
        <f t="shared" si="1"/>
        <v/>
      </c>
      <c r="I72" s="192" t="str">
        <f t="shared" si="2"/>
        <v/>
      </c>
      <c r="J72" s="29" t="str">
        <f>IF(A72="", "", IFERROR(VLOOKUP(A72, 'Master Roster'!A:H, 8, FALSE) - F72, ""))</f>
        <v/>
      </c>
      <c r="K72" s="29" t="s">
        <v>175</v>
      </c>
      <c r="L72" s="29" t="b">
        <v>0</v>
      </c>
      <c r="M72" s="29"/>
      <c r="N72" s="29" t="s">
        <v>175</v>
      </c>
      <c r="O72" s="29" t="str">
        <f>IF(ISBLANK(A72), "", LET(entry_day, VLOOKUP(A72, 'Master Roster'!$A:$G, 7, FALSE), start_date, DATE(E72, MONTH(D72&amp;" 1"), entry_day), end_date, EDATE(start_date, 1), period, TEXT(start_date, "mmm d, yyyy") &amp; " - " &amp; TEXT(end_date, "mmm d, yyyy"), HYPERLINK("https://wa.me/" &amp; VLOOKUP(A72, 'Master Roster'!$A:$F, 6, FALSE) &amp; "?text=" &amp; ENCODEURL("Hello " &amp; IFERROR(IF(VLOOKUP(A72, 'Master Roster'!$A:$J, 10, FALSE)="Male", "Mr. ", "Ms. "), "") &amp; B72 &amp; ", payment of K" &amp; F72 &amp; " received for " &amp; period &amp; ". Receipt No: " &amp; N72), "Send Receipt")))</f>
        <v/>
      </c>
    </row>
    <row r="73">
      <c r="A73" s="192"/>
      <c r="B73" s="192" t="s">
        <v>175</v>
      </c>
      <c r="C73" s="193"/>
      <c r="D73" s="192"/>
      <c r="E73" s="192"/>
      <c r="F73" s="192"/>
      <c r="G73" s="192"/>
      <c r="H73" s="192" t="str">
        <f t="shared" si="1"/>
        <v/>
      </c>
      <c r="I73" s="192" t="str">
        <f t="shared" si="2"/>
        <v/>
      </c>
      <c r="J73" s="29" t="str">
        <f>IF(A73="", "", IFERROR(VLOOKUP(A73, 'Master Roster'!A:H, 8, FALSE) - F73, ""))</f>
        <v/>
      </c>
      <c r="K73" s="29" t="s">
        <v>175</v>
      </c>
      <c r="L73" s="29" t="b">
        <v>0</v>
      </c>
      <c r="M73" s="29"/>
      <c r="N73" s="29" t="s">
        <v>175</v>
      </c>
      <c r="O73" s="29" t="str">
        <f>IF(ISBLANK(A73), "", LET(entry_day, VLOOKUP(A73, 'Master Roster'!$A:$G, 7, FALSE), start_date, DATE(E73, MONTH(D73&amp;" 1"), entry_day), end_date, EDATE(start_date, 1), period, TEXT(start_date, "mmm d, yyyy") &amp; " - " &amp; TEXT(end_date, "mmm d, yyyy"), HYPERLINK("https://wa.me/" &amp; VLOOKUP(A73, 'Master Roster'!$A:$F, 6, FALSE) &amp; "?text=" &amp; ENCODEURL("Hello " &amp; IFERROR(IF(VLOOKUP(A73, 'Master Roster'!$A:$J, 10, FALSE)="Male", "Mr. ", "Ms. "), "") &amp; B73 &amp; ", payment of K" &amp; F73 &amp; " received for " &amp; period &amp; ". Receipt No: " &amp; N73), "Send Receipt")))</f>
        <v/>
      </c>
    </row>
    <row r="74">
      <c r="A74" s="192"/>
      <c r="B74" s="192" t="s">
        <v>175</v>
      </c>
      <c r="C74" s="193"/>
      <c r="D74" s="192"/>
      <c r="E74" s="192"/>
      <c r="F74" s="192"/>
      <c r="G74" s="192"/>
      <c r="H74" s="192" t="str">
        <f t="shared" si="1"/>
        <v/>
      </c>
      <c r="I74" s="192" t="str">
        <f t="shared" si="2"/>
        <v/>
      </c>
      <c r="J74" s="29" t="str">
        <f>IF(A74="", "", IFERROR(VLOOKUP(A74, 'Master Roster'!A:H, 8, FALSE) - F74, ""))</f>
        <v/>
      </c>
      <c r="K74" s="29" t="s">
        <v>175</v>
      </c>
      <c r="L74" s="29" t="b">
        <v>0</v>
      </c>
      <c r="M74" s="29"/>
      <c r="N74" s="29" t="s">
        <v>175</v>
      </c>
      <c r="O74" s="29" t="str">
        <f>IF(ISBLANK(A74), "", LET(entry_day, VLOOKUP(A74, 'Master Roster'!$A:$G, 7, FALSE), start_date, DATE(E74, MONTH(D74&amp;" 1"), entry_day), end_date, EDATE(start_date, 1), period, TEXT(start_date, "mmm d, yyyy") &amp; " - " &amp; TEXT(end_date, "mmm d, yyyy"), HYPERLINK("https://wa.me/" &amp; VLOOKUP(A74, 'Master Roster'!$A:$F, 6, FALSE) &amp; "?text=" &amp; ENCODEURL("Hello " &amp; IFERROR(IF(VLOOKUP(A74, 'Master Roster'!$A:$J, 10, FALSE)="Male", "Mr. ", "Ms. "), "") &amp; B74 &amp; ", payment of K" &amp; F74 &amp; " received for " &amp; period &amp; ". Receipt No: " &amp; N74), "Send Receipt")))</f>
        <v/>
      </c>
    </row>
    <row r="75">
      <c r="A75" s="192"/>
      <c r="B75" s="192" t="s">
        <v>175</v>
      </c>
      <c r="C75" s="193"/>
      <c r="D75" s="192"/>
      <c r="E75" s="192"/>
      <c r="F75" s="192"/>
      <c r="G75" s="192"/>
      <c r="H75" s="192" t="str">
        <f t="shared" si="1"/>
        <v/>
      </c>
      <c r="I75" s="192" t="str">
        <f t="shared" si="2"/>
        <v/>
      </c>
      <c r="J75" s="29" t="str">
        <f>IF(A75="", "", IFERROR(VLOOKUP(A75, 'Master Roster'!A:H, 8, FALSE) - F75, ""))</f>
        <v/>
      </c>
      <c r="K75" s="29" t="s">
        <v>175</v>
      </c>
      <c r="L75" s="29" t="b">
        <v>0</v>
      </c>
      <c r="M75" s="29"/>
      <c r="N75" s="29" t="s">
        <v>175</v>
      </c>
      <c r="O75" s="29" t="str">
        <f>IF(ISBLANK(A75), "", LET(entry_day, VLOOKUP(A75, 'Master Roster'!$A:$G, 7, FALSE), start_date, DATE(E75, MONTH(D75&amp;" 1"), entry_day), end_date, EDATE(start_date, 1), period, TEXT(start_date, "mmm d, yyyy") &amp; " - " &amp; TEXT(end_date, "mmm d, yyyy"), HYPERLINK("https://wa.me/" &amp; VLOOKUP(A75, 'Master Roster'!$A:$F, 6, FALSE) &amp; "?text=" &amp; ENCODEURL("Hello " &amp; IFERROR(IF(VLOOKUP(A75, 'Master Roster'!$A:$J, 10, FALSE)="Male", "Mr. ", "Ms. "), "") &amp; B75 &amp; ", payment of K" &amp; F75 &amp; " received for " &amp; period &amp; ". Receipt No: " &amp; N75), "Send Receipt")))</f>
        <v/>
      </c>
    </row>
    <row r="76">
      <c r="A76" s="192"/>
      <c r="B76" s="192" t="s">
        <v>175</v>
      </c>
      <c r="C76" s="193"/>
      <c r="D76" s="192"/>
      <c r="E76" s="192"/>
      <c r="F76" s="192"/>
      <c r="G76" s="192"/>
      <c r="H76" s="192" t="str">
        <f t="shared" si="1"/>
        <v/>
      </c>
      <c r="I76" s="192" t="str">
        <f t="shared" si="2"/>
        <v/>
      </c>
      <c r="J76" s="29" t="str">
        <f>IF(A76="", "", IFERROR(VLOOKUP(A76, 'Master Roster'!A:H, 8, FALSE) - F76, ""))</f>
        <v/>
      </c>
      <c r="K76" s="29" t="s">
        <v>175</v>
      </c>
      <c r="L76" s="29" t="b">
        <v>0</v>
      </c>
      <c r="M76" s="29"/>
      <c r="N76" s="29" t="s">
        <v>175</v>
      </c>
      <c r="O76" s="29" t="str">
        <f>IF(ISBLANK(A76), "", LET(entry_day, VLOOKUP(A76, 'Master Roster'!$A:$G, 7, FALSE), start_date, DATE(E76, MONTH(D76&amp;" 1"), entry_day), end_date, EDATE(start_date, 1), period, TEXT(start_date, "mmm d, yyyy") &amp; " - " &amp; TEXT(end_date, "mmm d, yyyy"), HYPERLINK("https://wa.me/" &amp; VLOOKUP(A76, 'Master Roster'!$A:$F, 6, FALSE) &amp; "?text=" &amp; ENCODEURL("Hello " &amp; IFERROR(IF(VLOOKUP(A76, 'Master Roster'!$A:$J, 10, FALSE)="Male", "Mr. ", "Ms. "), "") &amp; B76 &amp; ", payment of K" &amp; F76 &amp; " received for " &amp; period &amp; ". Receipt No: " &amp; N76), "Send Receipt")))</f>
        <v/>
      </c>
    </row>
    <row r="77">
      <c r="A77" s="192"/>
      <c r="B77" s="192" t="s">
        <v>175</v>
      </c>
      <c r="C77" s="193"/>
      <c r="D77" s="192"/>
      <c r="E77" s="192"/>
      <c r="F77" s="192"/>
      <c r="G77" s="192"/>
      <c r="H77" s="192" t="str">
        <f t="shared" si="1"/>
        <v/>
      </c>
      <c r="I77" s="192" t="str">
        <f t="shared" si="2"/>
        <v/>
      </c>
      <c r="J77" s="29" t="str">
        <f>IF(A77="", "", IFERROR(VLOOKUP(A77, 'Master Roster'!A:H, 8, FALSE) - F77, ""))</f>
        <v/>
      </c>
      <c r="K77" s="29" t="s">
        <v>175</v>
      </c>
      <c r="L77" s="29" t="b">
        <v>0</v>
      </c>
      <c r="M77" s="29"/>
      <c r="N77" s="29" t="s">
        <v>175</v>
      </c>
      <c r="O77" s="29" t="str">
        <f>IF(ISBLANK(A77), "", LET(entry_day, VLOOKUP(A77, 'Master Roster'!$A:$G, 7, FALSE), start_date, DATE(E77, MONTH(D77&amp;" 1"), entry_day), end_date, EDATE(start_date, 1), period, TEXT(start_date, "mmm d, yyyy") &amp; " - " &amp; TEXT(end_date, "mmm d, yyyy"), HYPERLINK("https://wa.me/" &amp; VLOOKUP(A77, 'Master Roster'!$A:$F, 6, FALSE) &amp; "?text=" &amp; ENCODEURL("Hello " &amp; IFERROR(IF(VLOOKUP(A77, 'Master Roster'!$A:$J, 10, FALSE)="Male", "Mr. ", "Ms. "), "") &amp; B77 &amp; ", payment of K" &amp; F77 &amp; " received for " &amp; period &amp; ". Receipt No: " &amp; N77), "Send Receipt")))</f>
        <v/>
      </c>
    </row>
    <row r="78">
      <c r="A78" s="192"/>
      <c r="B78" s="192" t="s">
        <v>175</v>
      </c>
      <c r="C78" s="193"/>
      <c r="D78" s="192"/>
      <c r="E78" s="192"/>
      <c r="F78" s="192"/>
      <c r="G78" s="192"/>
      <c r="H78" s="192" t="str">
        <f t="shared" si="1"/>
        <v/>
      </c>
      <c r="I78" s="192" t="str">
        <f t="shared" si="2"/>
        <v/>
      </c>
      <c r="J78" s="29" t="str">
        <f>IF(A78="", "", IFERROR(VLOOKUP(A78, 'Master Roster'!A:H, 8, FALSE) - F78, ""))</f>
        <v/>
      </c>
      <c r="K78" s="29" t="s">
        <v>175</v>
      </c>
      <c r="L78" s="29" t="b">
        <v>0</v>
      </c>
      <c r="M78" s="29"/>
      <c r="N78" s="29" t="s">
        <v>175</v>
      </c>
      <c r="O78" s="29" t="str">
        <f>IF(ISBLANK(A78), "", LET(entry_day, VLOOKUP(A78, 'Master Roster'!$A:$G, 7, FALSE), start_date, DATE(E78, MONTH(D78&amp;" 1"), entry_day), end_date, EDATE(start_date, 1), period, TEXT(start_date, "mmm d, yyyy") &amp; " - " &amp; TEXT(end_date, "mmm d, yyyy"), HYPERLINK("https://wa.me/" &amp; VLOOKUP(A78, 'Master Roster'!$A:$F, 6, FALSE) &amp; "?text=" &amp; ENCODEURL("Hello " &amp; IFERROR(IF(VLOOKUP(A78, 'Master Roster'!$A:$J, 10, FALSE)="Male", "Mr. ", "Ms. "), "") &amp; B78 &amp; ", payment of K" &amp; F78 &amp; " received for " &amp; period &amp; ". Receipt No: " &amp; N78), "Send Receipt")))</f>
        <v/>
      </c>
    </row>
    <row r="79">
      <c r="A79" s="192"/>
      <c r="B79" s="192" t="s">
        <v>175</v>
      </c>
      <c r="C79" s="193"/>
      <c r="D79" s="192"/>
      <c r="E79" s="192"/>
      <c r="F79" s="192"/>
      <c r="G79" s="192"/>
      <c r="H79" s="192" t="str">
        <f t="shared" si="1"/>
        <v/>
      </c>
      <c r="I79" s="192" t="str">
        <f t="shared" si="2"/>
        <v/>
      </c>
      <c r="J79" s="29" t="str">
        <f>IF(A79="", "", IFERROR(VLOOKUP(A79, 'Master Roster'!A:H, 8, FALSE) - F79, ""))</f>
        <v/>
      </c>
      <c r="K79" s="29" t="s">
        <v>175</v>
      </c>
      <c r="L79" s="29" t="b">
        <v>0</v>
      </c>
      <c r="M79" s="29"/>
      <c r="N79" s="29" t="s">
        <v>175</v>
      </c>
      <c r="O79" s="29" t="str">
        <f>IF(ISBLANK(A79), "", LET(entry_day, VLOOKUP(A79, 'Master Roster'!$A:$G, 7, FALSE), start_date, DATE(E79, MONTH(D79&amp;" 1"), entry_day), end_date, EDATE(start_date, 1), period, TEXT(start_date, "mmm d, yyyy") &amp; " - " &amp; TEXT(end_date, "mmm d, yyyy"), HYPERLINK("https://wa.me/" &amp; VLOOKUP(A79, 'Master Roster'!$A:$F, 6, FALSE) &amp; "?text=" &amp; ENCODEURL("Hello " &amp; IFERROR(IF(VLOOKUP(A79, 'Master Roster'!$A:$J, 10, FALSE)="Male", "Mr. ", "Ms. "), "") &amp; B79 &amp; ", payment of K" &amp; F79 &amp; " received for " &amp; period &amp; ". Receipt No: " &amp; N79), "Send Receipt")))</f>
        <v/>
      </c>
    </row>
    <row r="80">
      <c r="A80" s="192"/>
      <c r="B80" s="192" t="s">
        <v>175</v>
      </c>
      <c r="C80" s="193"/>
      <c r="D80" s="192"/>
      <c r="E80" s="192"/>
      <c r="F80" s="192"/>
      <c r="G80" s="192"/>
      <c r="H80" s="192" t="str">
        <f t="shared" si="1"/>
        <v/>
      </c>
      <c r="I80" s="192" t="str">
        <f t="shared" si="2"/>
        <v/>
      </c>
      <c r="J80" s="29" t="str">
        <f>IF(A80="", "", IFERROR(VLOOKUP(A80, 'Master Roster'!A:H, 8, FALSE) - F80, ""))</f>
        <v/>
      </c>
      <c r="K80" s="29" t="s">
        <v>175</v>
      </c>
      <c r="L80" s="29" t="b">
        <v>0</v>
      </c>
      <c r="M80" s="29"/>
      <c r="N80" s="29" t="s">
        <v>175</v>
      </c>
      <c r="O80" s="29" t="str">
        <f>IF(ISBLANK(A80), "", LET(entry_day, VLOOKUP(A80, 'Master Roster'!$A:$G, 7, FALSE), start_date, DATE(E80, MONTH(D80&amp;" 1"), entry_day), end_date, EDATE(start_date, 1), period, TEXT(start_date, "mmm d, yyyy") &amp; " - " &amp; TEXT(end_date, "mmm d, yyyy"), HYPERLINK("https://wa.me/" &amp; VLOOKUP(A80, 'Master Roster'!$A:$F, 6, FALSE) &amp; "?text=" &amp; ENCODEURL("Hello " &amp; IFERROR(IF(VLOOKUP(A80, 'Master Roster'!$A:$J, 10, FALSE)="Male", "Mr. ", "Ms. "), "") &amp; B80 &amp; ", payment of K" &amp; F80 &amp; " received for " &amp; period &amp; ". Receipt No: " &amp; N80), "Send Receipt")))</f>
        <v/>
      </c>
    </row>
    <row r="81">
      <c r="A81" s="192"/>
      <c r="B81" s="192" t="s">
        <v>175</v>
      </c>
      <c r="C81" s="193"/>
      <c r="D81" s="192"/>
      <c r="E81" s="192"/>
      <c r="F81" s="192"/>
      <c r="G81" s="192"/>
      <c r="H81" s="192" t="str">
        <f t="shared" si="1"/>
        <v/>
      </c>
      <c r="I81" s="192" t="str">
        <f t="shared" si="2"/>
        <v/>
      </c>
      <c r="J81" s="29" t="str">
        <f>IF(A81="", "", IFERROR(VLOOKUP(A81, 'Master Roster'!A:H, 8, FALSE) - F81, ""))</f>
        <v/>
      </c>
      <c r="K81" s="29" t="s">
        <v>175</v>
      </c>
      <c r="L81" s="29" t="b">
        <v>0</v>
      </c>
      <c r="M81" s="29"/>
      <c r="N81" s="29" t="s">
        <v>175</v>
      </c>
      <c r="O81" s="29" t="str">
        <f>IF(ISBLANK(A81), "", LET(entry_day, VLOOKUP(A81, 'Master Roster'!$A:$G, 7, FALSE), start_date, DATE(E81, MONTH(D81&amp;" 1"), entry_day), end_date, EDATE(start_date, 1), period, TEXT(start_date, "mmm d, yyyy") &amp; " - " &amp; TEXT(end_date, "mmm d, yyyy"), HYPERLINK("https://wa.me/" &amp; VLOOKUP(A81, 'Master Roster'!$A:$F, 6, FALSE) &amp; "?text=" &amp; ENCODEURL("Hello " &amp; IFERROR(IF(VLOOKUP(A81, 'Master Roster'!$A:$J, 10, FALSE)="Male", "Mr. ", "Ms. "), "") &amp; B81 &amp; ", payment of K" &amp; F81 &amp; " received for " &amp; period &amp; ". Receipt No: " &amp; N81), "Send Receipt")))</f>
        <v/>
      </c>
    </row>
    <row r="82">
      <c r="A82" s="192"/>
      <c r="B82" s="192" t="s">
        <v>175</v>
      </c>
      <c r="C82" s="193"/>
      <c r="D82" s="192"/>
      <c r="E82" s="192"/>
      <c r="F82" s="192"/>
      <c r="G82" s="192"/>
      <c r="H82" s="192" t="str">
        <f t="shared" si="1"/>
        <v/>
      </c>
      <c r="I82" s="192" t="str">
        <f t="shared" si="2"/>
        <v/>
      </c>
      <c r="J82" s="29" t="str">
        <f>IF(A82="", "", IFERROR(VLOOKUP(A82, 'Master Roster'!A:H, 8, FALSE) - F82, ""))</f>
        <v/>
      </c>
      <c r="K82" s="29" t="s">
        <v>175</v>
      </c>
      <c r="L82" s="29" t="b">
        <v>0</v>
      </c>
      <c r="M82" s="29"/>
      <c r="N82" s="29" t="s">
        <v>175</v>
      </c>
      <c r="O82" s="29" t="str">
        <f>IF(ISBLANK(A82), "", LET(entry_day, VLOOKUP(A82, 'Master Roster'!$A:$G, 7, FALSE), start_date, DATE(E82, MONTH(D82&amp;" 1"), entry_day), end_date, EDATE(start_date, 1), period, TEXT(start_date, "mmm d, yyyy") &amp; " - " &amp; TEXT(end_date, "mmm d, yyyy"), HYPERLINK("https://wa.me/" &amp; VLOOKUP(A82, 'Master Roster'!$A:$F, 6, FALSE) &amp; "?text=" &amp; ENCODEURL("Hello " &amp; IFERROR(IF(VLOOKUP(A82, 'Master Roster'!$A:$J, 10, FALSE)="Male", "Mr. ", "Ms. "), "") &amp; B82 &amp; ", payment of K" &amp; F82 &amp; " received for " &amp; period &amp; ". Receipt No: " &amp; N82), "Send Receipt")))</f>
        <v/>
      </c>
    </row>
    <row r="83">
      <c r="A83" s="192"/>
      <c r="B83" s="192" t="s">
        <v>175</v>
      </c>
      <c r="C83" s="193"/>
      <c r="D83" s="192"/>
      <c r="E83" s="192"/>
      <c r="F83" s="192"/>
      <c r="G83" s="192"/>
      <c r="H83" s="192" t="str">
        <f t="shared" si="1"/>
        <v/>
      </c>
      <c r="I83" s="192" t="str">
        <f t="shared" si="2"/>
        <v/>
      </c>
      <c r="J83" s="29" t="str">
        <f>IF(A83="", "", IFERROR(VLOOKUP(A83, 'Master Roster'!A:H, 8, FALSE) - F83, ""))</f>
        <v/>
      </c>
      <c r="K83" s="29" t="s">
        <v>175</v>
      </c>
      <c r="L83" s="29" t="b">
        <v>0</v>
      </c>
      <c r="M83" s="29"/>
      <c r="N83" s="29" t="s">
        <v>175</v>
      </c>
      <c r="O83" s="29" t="str">
        <f>IF(ISBLANK(A83), "", LET(entry_day, VLOOKUP(A83, 'Master Roster'!$A:$G, 7, FALSE), start_date, DATE(E83, MONTH(D83&amp;" 1"), entry_day), end_date, EDATE(start_date, 1), period, TEXT(start_date, "mmm d, yyyy") &amp; " - " &amp; TEXT(end_date, "mmm d, yyyy"), HYPERLINK("https://wa.me/" &amp; VLOOKUP(A83, 'Master Roster'!$A:$F, 6, FALSE) &amp; "?text=" &amp; ENCODEURL("Hello " &amp; IFERROR(IF(VLOOKUP(A83, 'Master Roster'!$A:$J, 10, FALSE)="Male", "Mr. ", "Ms. "), "") &amp; B83 &amp; ", payment of K" &amp; F83 &amp; " received for " &amp; period &amp; ". Receipt No: " &amp; N83), "Send Receipt")))</f>
        <v/>
      </c>
    </row>
    <row r="84">
      <c r="A84" s="192"/>
      <c r="B84" s="192" t="s">
        <v>175</v>
      </c>
      <c r="C84" s="193"/>
      <c r="D84" s="192"/>
      <c r="E84" s="192"/>
      <c r="F84" s="192"/>
      <c r="G84" s="192"/>
      <c r="H84" s="192" t="str">
        <f t="shared" si="1"/>
        <v/>
      </c>
      <c r="I84" s="192" t="str">
        <f t="shared" si="2"/>
        <v/>
      </c>
      <c r="J84" s="29" t="str">
        <f>IF(A84="", "", IFERROR(VLOOKUP(A84, 'Master Roster'!A:H, 8, FALSE) - F84, ""))</f>
        <v/>
      </c>
      <c r="K84" s="29" t="s">
        <v>175</v>
      </c>
      <c r="L84" s="29" t="b">
        <v>0</v>
      </c>
      <c r="M84" s="29"/>
      <c r="N84" s="29" t="s">
        <v>175</v>
      </c>
      <c r="O84" s="29" t="str">
        <f>IF(ISBLANK(A84), "", LET(entry_day, VLOOKUP(A84, 'Master Roster'!$A:$G, 7, FALSE), start_date, DATE(E84, MONTH(D84&amp;" 1"), entry_day), end_date, EDATE(start_date, 1), period, TEXT(start_date, "mmm d, yyyy") &amp; " - " &amp; TEXT(end_date, "mmm d, yyyy"), HYPERLINK("https://wa.me/" &amp; VLOOKUP(A84, 'Master Roster'!$A:$F, 6, FALSE) &amp; "?text=" &amp; ENCODEURL("Hello " &amp; IFERROR(IF(VLOOKUP(A84, 'Master Roster'!$A:$J, 10, FALSE)="Male", "Mr. ", "Ms. "), "") &amp; B84 &amp; ", payment of K" &amp; F84 &amp; " received for " &amp; period &amp; ". Receipt No: " &amp; N84), "Send Receipt")))</f>
        <v/>
      </c>
    </row>
    <row r="85">
      <c r="A85" s="192"/>
      <c r="B85" s="192" t="s">
        <v>175</v>
      </c>
      <c r="C85" s="193"/>
      <c r="D85" s="192"/>
      <c r="E85" s="192"/>
      <c r="F85" s="192"/>
      <c r="G85" s="192"/>
      <c r="H85" s="192" t="str">
        <f t="shared" si="1"/>
        <v/>
      </c>
      <c r="I85" s="192" t="str">
        <f t="shared" si="2"/>
        <v/>
      </c>
      <c r="J85" s="29" t="str">
        <f>IF(A85="", "", IFERROR(VLOOKUP(A85, 'Master Roster'!A:H, 8, FALSE) - F85, ""))</f>
        <v/>
      </c>
      <c r="K85" s="29" t="s">
        <v>175</v>
      </c>
      <c r="L85" s="29" t="b">
        <v>0</v>
      </c>
      <c r="M85" s="29"/>
      <c r="N85" s="29" t="s">
        <v>175</v>
      </c>
      <c r="O85" s="29" t="str">
        <f>IF(ISBLANK(A85), "", LET(entry_day, VLOOKUP(A85, 'Master Roster'!$A:$G, 7, FALSE), start_date, DATE(E85, MONTH(D85&amp;" 1"), entry_day), end_date, EDATE(start_date, 1), period, TEXT(start_date, "mmm d, yyyy") &amp; " - " &amp; TEXT(end_date, "mmm d, yyyy"), HYPERLINK("https://wa.me/" &amp; VLOOKUP(A85, 'Master Roster'!$A:$F, 6, FALSE) &amp; "?text=" &amp; ENCODEURL("Hello " &amp; IFERROR(IF(VLOOKUP(A85, 'Master Roster'!$A:$J, 10, FALSE)="Male", "Mr. ", "Ms. "), "") &amp; B85 &amp; ", payment of K" &amp; F85 &amp; " received for " &amp; period &amp; ". Receipt No: " &amp; N85), "Send Receipt")))</f>
        <v/>
      </c>
    </row>
    <row r="86">
      <c r="A86" s="192"/>
      <c r="B86" s="192" t="s">
        <v>175</v>
      </c>
      <c r="C86" s="193"/>
      <c r="D86" s="192"/>
      <c r="E86" s="192"/>
      <c r="F86" s="192"/>
      <c r="G86" s="192"/>
      <c r="H86" s="192" t="str">
        <f t="shared" si="1"/>
        <v/>
      </c>
      <c r="I86" s="192" t="str">
        <f t="shared" si="2"/>
        <v/>
      </c>
      <c r="J86" s="29" t="str">
        <f>IF(A86="", "", IFERROR(VLOOKUP(A86, 'Master Roster'!A:H, 8, FALSE) - F86, ""))</f>
        <v/>
      </c>
      <c r="K86" s="29" t="s">
        <v>175</v>
      </c>
      <c r="L86" s="29" t="b">
        <v>0</v>
      </c>
      <c r="M86" s="29"/>
      <c r="N86" s="29" t="s">
        <v>175</v>
      </c>
      <c r="O86" s="29" t="str">
        <f>IF(ISBLANK(A86), "", LET(entry_day, VLOOKUP(A86, 'Master Roster'!$A:$G, 7, FALSE), start_date, DATE(E86, MONTH(D86&amp;" 1"), entry_day), end_date, EDATE(start_date, 1), period, TEXT(start_date, "mmm d, yyyy") &amp; " - " &amp; TEXT(end_date, "mmm d, yyyy"), HYPERLINK("https://wa.me/" &amp; VLOOKUP(A86, 'Master Roster'!$A:$F, 6, FALSE) &amp; "?text=" &amp; ENCODEURL("Hello " &amp; IFERROR(IF(VLOOKUP(A86, 'Master Roster'!$A:$J, 10, FALSE)="Male", "Mr. ", "Ms. "), "") &amp; B86 &amp; ", payment of K" &amp; F86 &amp; " received for " &amp; period &amp; ". Receipt No: " &amp; N86), "Send Receipt")))</f>
        <v/>
      </c>
    </row>
    <row r="87">
      <c r="A87" s="192"/>
      <c r="B87" s="192" t="s">
        <v>175</v>
      </c>
      <c r="C87" s="193"/>
      <c r="D87" s="192"/>
      <c r="E87" s="192"/>
      <c r="F87" s="192"/>
      <c r="G87" s="192"/>
      <c r="H87" s="192" t="str">
        <f t="shared" si="1"/>
        <v/>
      </c>
      <c r="I87" s="192" t="str">
        <f t="shared" si="2"/>
        <v/>
      </c>
      <c r="J87" s="29" t="str">
        <f>IF(A87="", "", IFERROR(VLOOKUP(A87, 'Master Roster'!A:H, 8, FALSE) - F87, ""))</f>
        <v/>
      </c>
      <c r="K87" s="29" t="s">
        <v>175</v>
      </c>
      <c r="L87" s="29" t="b">
        <v>0</v>
      </c>
      <c r="M87" s="29"/>
      <c r="N87" s="29" t="s">
        <v>175</v>
      </c>
      <c r="O87" s="29" t="str">
        <f>IF(ISBLANK(A87), "", LET(entry_day, VLOOKUP(A87, 'Master Roster'!$A:$G, 7, FALSE), start_date, DATE(E87, MONTH(D87&amp;" 1"), entry_day), end_date, EDATE(start_date, 1), period, TEXT(start_date, "mmm d, yyyy") &amp; " - " &amp; TEXT(end_date, "mmm d, yyyy"), HYPERLINK("https://wa.me/" &amp; VLOOKUP(A87, 'Master Roster'!$A:$F, 6, FALSE) &amp; "?text=" &amp; ENCODEURL("Hello " &amp; IFERROR(IF(VLOOKUP(A87, 'Master Roster'!$A:$J, 10, FALSE)="Male", "Mr. ", "Ms. "), "") &amp; B87 &amp; ", payment of K" &amp; F87 &amp; " received for " &amp; period &amp; ". Receipt No: " &amp; N87), "Send Receipt")))</f>
        <v/>
      </c>
    </row>
    <row r="88">
      <c r="A88" s="192"/>
      <c r="B88" s="192" t="s">
        <v>175</v>
      </c>
      <c r="C88" s="193"/>
      <c r="D88" s="192"/>
      <c r="E88" s="192"/>
      <c r="F88" s="192"/>
      <c r="G88" s="192"/>
      <c r="H88" s="192" t="str">
        <f t="shared" si="1"/>
        <v/>
      </c>
      <c r="I88" s="192" t="str">
        <f t="shared" si="2"/>
        <v/>
      </c>
      <c r="J88" s="29" t="str">
        <f>IF(A88="", "", IFERROR(VLOOKUP(A88, 'Master Roster'!A:H, 8, FALSE) - F88, ""))</f>
        <v/>
      </c>
      <c r="K88" s="29" t="s">
        <v>175</v>
      </c>
      <c r="L88" s="29" t="b">
        <v>0</v>
      </c>
      <c r="M88" s="29"/>
      <c r="N88" s="29" t="s">
        <v>175</v>
      </c>
      <c r="O88" s="29" t="str">
        <f>IF(ISBLANK(A88), "", LET(entry_day, VLOOKUP(A88, 'Master Roster'!$A:$G, 7, FALSE), start_date, DATE(E88, MONTH(D88&amp;" 1"), entry_day), end_date, EDATE(start_date, 1), period, TEXT(start_date, "mmm d, yyyy") &amp; " - " &amp; TEXT(end_date, "mmm d, yyyy"), HYPERLINK("https://wa.me/" &amp; VLOOKUP(A88, 'Master Roster'!$A:$F, 6, FALSE) &amp; "?text=" &amp; ENCODEURL("Hello " &amp; IFERROR(IF(VLOOKUP(A88, 'Master Roster'!$A:$J, 10, FALSE)="Male", "Mr. ", "Ms. "), "") &amp; B88 &amp; ", payment of K" &amp; F88 &amp; " received for " &amp; period &amp; ". Receipt No: " &amp; N88), "Send Receipt")))</f>
        <v/>
      </c>
    </row>
    <row r="89">
      <c r="A89" s="192"/>
      <c r="B89" s="192" t="s">
        <v>175</v>
      </c>
      <c r="C89" s="193"/>
      <c r="D89" s="192"/>
      <c r="E89" s="192"/>
      <c r="F89" s="192"/>
      <c r="G89" s="192"/>
      <c r="H89" s="192" t="str">
        <f t="shared" si="1"/>
        <v/>
      </c>
      <c r="I89" s="192" t="str">
        <f t="shared" si="2"/>
        <v/>
      </c>
      <c r="J89" s="29" t="str">
        <f>IF(A89="", "", IFERROR(VLOOKUP(A89, 'Master Roster'!A:H, 8, FALSE) - F89, ""))</f>
        <v/>
      </c>
      <c r="K89" s="29" t="s">
        <v>175</v>
      </c>
      <c r="L89" s="29" t="b">
        <v>0</v>
      </c>
      <c r="M89" s="29"/>
      <c r="N89" s="29" t="s">
        <v>175</v>
      </c>
      <c r="O89" s="29" t="str">
        <f>IF(ISBLANK(A89), "", LET(entry_day, VLOOKUP(A89, 'Master Roster'!$A:$G, 7, FALSE), start_date, DATE(E89, MONTH(D89&amp;" 1"), entry_day), end_date, EDATE(start_date, 1), period, TEXT(start_date, "mmm d, yyyy") &amp; " - " &amp; TEXT(end_date, "mmm d, yyyy"), HYPERLINK("https://wa.me/" &amp; VLOOKUP(A89, 'Master Roster'!$A:$F, 6, FALSE) &amp; "?text=" &amp; ENCODEURL("Hello " &amp; IFERROR(IF(VLOOKUP(A89, 'Master Roster'!$A:$J, 10, FALSE)="Male", "Mr. ", "Ms. "), "") &amp; B89 &amp; ", payment of K" &amp; F89 &amp; " received for " &amp; period &amp; ". Receipt No: " &amp; N89), "Send Receipt")))</f>
        <v/>
      </c>
    </row>
    <row r="90">
      <c r="A90" s="192"/>
      <c r="B90" s="192" t="s">
        <v>175</v>
      </c>
      <c r="C90" s="193"/>
      <c r="D90" s="192"/>
      <c r="E90" s="192"/>
      <c r="F90" s="192"/>
      <c r="G90" s="192"/>
      <c r="H90" s="192" t="str">
        <f t="shared" si="1"/>
        <v/>
      </c>
      <c r="I90" s="192" t="str">
        <f t="shared" si="2"/>
        <v/>
      </c>
      <c r="J90" s="29" t="str">
        <f>IF(A90="", "", IFERROR(VLOOKUP(A90, 'Master Roster'!A:H, 8, FALSE) - F90, ""))</f>
        <v/>
      </c>
      <c r="K90" s="29" t="s">
        <v>175</v>
      </c>
      <c r="L90" s="29" t="b">
        <v>0</v>
      </c>
      <c r="M90" s="29"/>
      <c r="N90" s="29" t="s">
        <v>175</v>
      </c>
      <c r="O90" s="29" t="str">
        <f>IF(ISBLANK(A90), "", LET(entry_day, VLOOKUP(A90, 'Master Roster'!$A:$G, 7, FALSE), start_date, DATE(E90, MONTH(D90&amp;" 1"), entry_day), end_date, EDATE(start_date, 1), period, TEXT(start_date, "mmm d, yyyy") &amp; " - " &amp; TEXT(end_date, "mmm d, yyyy"), HYPERLINK("https://wa.me/" &amp; VLOOKUP(A90, 'Master Roster'!$A:$F, 6, FALSE) &amp; "?text=" &amp; ENCODEURL("Hello " &amp; IFERROR(IF(VLOOKUP(A90, 'Master Roster'!$A:$J, 10, FALSE)="Male", "Mr. ", "Ms. "), "") &amp; B90 &amp; ", payment of K" &amp; F90 &amp; " received for " &amp; period &amp; ". Receipt No: " &amp; N90), "Send Receipt")))</f>
        <v/>
      </c>
    </row>
    <row r="91">
      <c r="A91" s="192"/>
      <c r="B91" s="192" t="s">
        <v>175</v>
      </c>
      <c r="C91" s="193"/>
      <c r="D91" s="192"/>
      <c r="E91" s="192"/>
      <c r="F91" s="192"/>
      <c r="G91" s="192"/>
      <c r="H91" s="192" t="str">
        <f t="shared" si="1"/>
        <v/>
      </c>
      <c r="I91" s="192" t="str">
        <f t="shared" si="2"/>
        <v/>
      </c>
      <c r="J91" s="29" t="str">
        <f>IF(A91="", "", IFERROR(VLOOKUP(A91, 'Master Roster'!A:H, 8, FALSE) - F91, ""))</f>
        <v/>
      </c>
      <c r="K91" s="29" t="s">
        <v>175</v>
      </c>
      <c r="L91" s="29" t="b">
        <v>0</v>
      </c>
      <c r="M91" s="29"/>
      <c r="N91" s="29" t="s">
        <v>175</v>
      </c>
      <c r="O91" s="29" t="str">
        <f>IF(ISBLANK(A91), "", LET(entry_day, VLOOKUP(A91, 'Master Roster'!$A:$G, 7, FALSE), start_date, DATE(E91, MONTH(D91&amp;" 1"), entry_day), end_date, EDATE(start_date, 1), period, TEXT(start_date, "mmm d, yyyy") &amp; " - " &amp; TEXT(end_date, "mmm d, yyyy"), HYPERLINK("https://wa.me/" &amp; VLOOKUP(A91, 'Master Roster'!$A:$F, 6, FALSE) &amp; "?text=" &amp; ENCODEURL("Hello " &amp; IFERROR(IF(VLOOKUP(A91, 'Master Roster'!$A:$J, 10, FALSE)="Male", "Mr. ", "Ms. "), "") &amp; B91 &amp; ", payment of K" &amp; F91 &amp; " received for " &amp; period &amp; ". Receipt No: " &amp; N91), "Send Receipt")))</f>
        <v/>
      </c>
    </row>
    <row r="92">
      <c r="A92" s="192"/>
      <c r="B92" s="192" t="s">
        <v>175</v>
      </c>
      <c r="C92" s="193"/>
      <c r="D92" s="192"/>
      <c r="E92" s="192"/>
      <c r="F92" s="192"/>
      <c r="G92" s="192"/>
      <c r="H92" s="192" t="str">
        <f t="shared" si="1"/>
        <v/>
      </c>
      <c r="I92" s="192" t="str">
        <f t="shared" si="2"/>
        <v/>
      </c>
      <c r="J92" s="29" t="str">
        <f>IF(A92="", "", IFERROR(VLOOKUP(A92, 'Master Roster'!A:H, 8, FALSE) - F92, ""))</f>
        <v/>
      </c>
      <c r="K92" s="29" t="s">
        <v>175</v>
      </c>
      <c r="L92" s="29" t="b">
        <v>0</v>
      </c>
      <c r="M92" s="29"/>
      <c r="N92" s="29" t="s">
        <v>175</v>
      </c>
      <c r="O92" s="29" t="str">
        <f>IF(ISBLANK(A92), "", LET(entry_day, VLOOKUP(A92, 'Master Roster'!$A:$G, 7, FALSE), start_date, DATE(E92, MONTH(D92&amp;" 1"), entry_day), end_date, EDATE(start_date, 1), period, TEXT(start_date, "mmm d, yyyy") &amp; " - " &amp; TEXT(end_date, "mmm d, yyyy"), HYPERLINK("https://wa.me/" &amp; VLOOKUP(A92, 'Master Roster'!$A:$F, 6, FALSE) &amp; "?text=" &amp; ENCODEURL("Hello " &amp; IFERROR(IF(VLOOKUP(A92, 'Master Roster'!$A:$J, 10, FALSE)="Male", "Mr. ", "Ms. "), "") &amp; B92 &amp; ", payment of K" &amp; F92 &amp; " received for " &amp; period &amp; ". Receipt No: " &amp; N92), "Send Receipt")))</f>
        <v/>
      </c>
    </row>
    <row r="93">
      <c r="A93" s="192"/>
      <c r="B93" s="192" t="s">
        <v>175</v>
      </c>
      <c r="C93" s="193"/>
      <c r="D93" s="192"/>
      <c r="E93" s="192"/>
      <c r="F93" s="192"/>
      <c r="G93" s="192"/>
      <c r="H93" s="192" t="str">
        <f t="shared" si="1"/>
        <v/>
      </c>
      <c r="I93" s="192" t="str">
        <f t="shared" si="2"/>
        <v/>
      </c>
      <c r="J93" s="29" t="str">
        <f>IF(A93="", "", IFERROR(VLOOKUP(A93, 'Master Roster'!A:H, 8, FALSE) - F93, ""))</f>
        <v/>
      </c>
      <c r="K93" s="29" t="s">
        <v>175</v>
      </c>
      <c r="L93" s="29" t="b">
        <v>0</v>
      </c>
      <c r="M93" s="29"/>
      <c r="N93" s="29" t="s">
        <v>175</v>
      </c>
      <c r="O93" s="29" t="str">
        <f>IF(ISBLANK(A93), "", LET(entry_day, VLOOKUP(A93, 'Master Roster'!$A:$G, 7, FALSE), start_date, DATE(E93, MONTH(D93&amp;" 1"), entry_day), end_date, EDATE(start_date, 1), period, TEXT(start_date, "mmm d, yyyy") &amp; " - " &amp; TEXT(end_date, "mmm d, yyyy"), HYPERLINK("https://wa.me/" &amp; VLOOKUP(A93, 'Master Roster'!$A:$F, 6, FALSE) &amp; "?text=" &amp; ENCODEURL("Hello " &amp; IFERROR(IF(VLOOKUP(A93, 'Master Roster'!$A:$J, 10, FALSE)="Male", "Mr. ", "Ms. "), "") &amp; B93 &amp; ", payment of K" &amp; F93 &amp; " received for " &amp; period &amp; ". Receipt No: " &amp; N93), "Send Receipt")))</f>
        <v/>
      </c>
    </row>
    <row r="94">
      <c r="A94" s="192"/>
      <c r="B94" s="192" t="s">
        <v>175</v>
      </c>
      <c r="C94" s="193"/>
      <c r="D94" s="192"/>
      <c r="E94" s="192"/>
      <c r="F94" s="192"/>
      <c r="G94" s="192"/>
      <c r="H94" s="192" t="str">
        <f t="shared" si="1"/>
        <v/>
      </c>
      <c r="I94" s="192" t="str">
        <f t="shared" si="2"/>
        <v/>
      </c>
      <c r="J94" s="29" t="str">
        <f>IF(A94="", "", IFERROR(VLOOKUP(A94, 'Master Roster'!A:H, 8, FALSE) - F94, ""))</f>
        <v/>
      </c>
      <c r="K94" s="29" t="s">
        <v>175</v>
      </c>
      <c r="L94" s="29" t="b">
        <v>0</v>
      </c>
      <c r="M94" s="29"/>
      <c r="N94" s="29" t="s">
        <v>175</v>
      </c>
      <c r="O94" s="29" t="str">
        <f>IF(ISBLANK(A94), "", LET(entry_day, VLOOKUP(A94, 'Master Roster'!$A:$G, 7, FALSE), start_date, DATE(E94, MONTH(D94&amp;" 1"), entry_day), end_date, EDATE(start_date, 1), period, TEXT(start_date, "mmm d, yyyy") &amp; " - " &amp; TEXT(end_date, "mmm d, yyyy"), HYPERLINK("https://wa.me/" &amp; VLOOKUP(A94, 'Master Roster'!$A:$F, 6, FALSE) &amp; "?text=" &amp; ENCODEURL("Hello " &amp; IFERROR(IF(VLOOKUP(A94, 'Master Roster'!$A:$J, 10, FALSE)="Male", "Mr. ", "Ms. "), "") &amp; B94 &amp; ", payment of K" &amp; F94 &amp; " received for " &amp; period &amp; ". Receipt No: " &amp; N94), "Send Receipt")))</f>
        <v/>
      </c>
    </row>
    <row r="95">
      <c r="A95" s="192"/>
      <c r="B95" s="192" t="s">
        <v>175</v>
      </c>
      <c r="C95" s="193"/>
      <c r="D95" s="192"/>
      <c r="E95" s="192"/>
      <c r="F95" s="192"/>
      <c r="G95" s="192"/>
      <c r="H95" s="192" t="str">
        <f t="shared" si="1"/>
        <v/>
      </c>
      <c r="I95" s="192" t="str">
        <f t="shared" si="2"/>
        <v/>
      </c>
      <c r="J95" s="29" t="str">
        <f>IF(A95="", "", IFERROR(VLOOKUP(A95, 'Master Roster'!A:H, 8, FALSE) - F95, ""))</f>
        <v/>
      </c>
      <c r="K95" s="29" t="s">
        <v>175</v>
      </c>
      <c r="L95" s="29" t="b">
        <v>0</v>
      </c>
      <c r="M95" s="29"/>
      <c r="N95" s="29" t="s">
        <v>175</v>
      </c>
      <c r="O95" s="29" t="str">
        <f>IF(ISBLANK(A95), "", LET(entry_day, VLOOKUP(A95, 'Master Roster'!$A:$G, 7, FALSE), start_date, DATE(E95, MONTH(D95&amp;" 1"), entry_day), end_date, EDATE(start_date, 1), period, TEXT(start_date, "mmm d, yyyy") &amp; " - " &amp; TEXT(end_date, "mmm d, yyyy"), HYPERLINK("https://wa.me/" &amp; VLOOKUP(A95, 'Master Roster'!$A:$F, 6, FALSE) &amp; "?text=" &amp; ENCODEURL("Hello " &amp; IFERROR(IF(VLOOKUP(A95, 'Master Roster'!$A:$J, 10, FALSE)="Male", "Mr. ", "Ms. "), "") &amp; B95 &amp; ", payment of K" &amp; F95 &amp; " received for " &amp; period &amp; ". Receipt No: " &amp; N95), "Send Receipt")))</f>
        <v/>
      </c>
    </row>
    <row r="96">
      <c r="A96" s="192"/>
      <c r="B96" s="192" t="s">
        <v>175</v>
      </c>
      <c r="C96" s="193"/>
      <c r="D96" s="192"/>
      <c r="E96" s="192"/>
      <c r="F96" s="192"/>
      <c r="G96" s="192"/>
      <c r="H96" s="192" t="str">
        <f t="shared" si="1"/>
        <v/>
      </c>
      <c r="I96" s="192" t="str">
        <f t="shared" si="2"/>
        <v/>
      </c>
      <c r="J96" s="29" t="str">
        <f>IF(A96="", "", IFERROR(VLOOKUP(A96, 'Master Roster'!A:H, 8, FALSE) - F96, ""))</f>
        <v/>
      </c>
      <c r="K96" s="29" t="s">
        <v>175</v>
      </c>
      <c r="L96" s="29" t="b">
        <v>0</v>
      </c>
      <c r="M96" s="29"/>
      <c r="N96" s="29" t="s">
        <v>175</v>
      </c>
      <c r="O96" s="29" t="str">
        <f>IF(ISBLANK(A96), "", LET(entry_day, VLOOKUP(A96, 'Master Roster'!$A:$G, 7, FALSE), start_date, DATE(E96, MONTH(D96&amp;" 1"), entry_day), end_date, EDATE(start_date, 1), period, TEXT(start_date, "mmm d, yyyy") &amp; " - " &amp; TEXT(end_date, "mmm d, yyyy"), HYPERLINK("https://wa.me/" &amp; VLOOKUP(A96, 'Master Roster'!$A:$F, 6, FALSE) &amp; "?text=" &amp; ENCODEURL("Hello " &amp; IFERROR(IF(VLOOKUP(A96, 'Master Roster'!$A:$J, 10, FALSE)="Male", "Mr. ", "Ms. "), "") &amp; B96 &amp; ", payment of K" &amp; F96 &amp; " received for " &amp; period &amp; ". Receipt No: " &amp; N96), "Send Receipt")))</f>
        <v/>
      </c>
    </row>
    <row r="97">
      <c r="A97" s="192"/>
      <c r="B97" s="192" t="s">
        <v>175</v>
      </c>
      <c r="C97" s="193"/>
      <c r="D97" s="192"/>
      <c r="E97" s="192"/>
      <c r="F97" s="192"/>
      <c r="G97" s="192"/>
      <c r="H97" s="192" t="str">
        <f t="shared" si="1"/>
        <v/>
      </c>
      <c r="I97" s="192" t="str">
        <f t="shared" si="2"/>
        <v/>
      </c>
      <c r="J97" s="29" t="str">
        <f>IF(A97="", "", IFERROR(VLOOKUP(A97, 'Master Roster'!A:H, 8, FALSE) - F97, ""))</f>
        <v/>
      </c>
      <c r="K97" s="29" t="s">
        <v>175</v>
      </c>
      <c r="L97" s="29" t="b">
        <v>0</v>
      </c>
      <c r="M97" s="29"/>
      <c r="N97" s="29" t="s">
        <v>175</v>
      </c>
      <c r="O97" s="29" t="str">
        <f>IF(ISBLANK(A97), "", LET(entry_day, VLOOKUP(A97, 'Master Roster'!$A:$G, 7, FALSE), start_date, DATE(E97, MONTH(D97&amp;" 1"), entry_day), end_date, EDATE(start_date, 1), period, TEXT(start_date, "mmm d, yyyy") &amp; " - " &amp; TEXT(end_date, "mmm d, yyyy"), HYPERLINK("https://wa.me/" &amp; VLOOKUP(A97, 'Master Roster'!$A:$F, 6, FALSE) &amp; "?text=" &amp; ENCODEURL("Hello " &amp; IFERROR(IF(VLOOKUP(A97, 'Master Roster'!$A:$J, 10, FALSE)="Male", "Mr. ", "Ms. "), "") &amp; B97 &amp; ", payment of K" &amp; F97 &amp; " received for " &amp; period &amp; ". Receipt No: " &amp; N97), "Send Receipt")))</f>
        <v/>
      </c>
    </row>
    <row r="98">
      <c r="A98" s="192"/>
      <c r="B98" s="192" t="s">
        <v>175</v>
      </c>
      <c r="C98" s="193"/>
      <c r="D98" s="192"/>
      <c r="E98" s="192"/>
      <c r="F98" s="192"/>
      <c r="G98" s="192"/>
      <c r="H98" s="192" t="str">
        <f t="shared" si="1"/>
        <v/>
      </c>
      <c r="I98" s="192" t="str">
        <f t="shared" si="2"/>
        <v/>
      </c>
      <c r="J98" s="29" t="str">
        <f>IF(A98="", "", IFERROR(VLOOKUP(A98, 'Master Roster'!A:H, 8, FALSE) - F98, ""))</f>
        <v/>
      </c>
      <c r="K98" s="29" t="s">
        <v>175</v>
      </c>
      <c r="L98" s="29" t="b">
        <v>0</v>
      </c>
      <c r="M98" s="29"/>
      <c r="N98" s="29" t="s">
        <v>175</v>
      </c>
      <c r="O98" s="29" t="str">
        <f>IF(ISBLANK(A98), "", LET(entry_day, VLOOKUP(A98, 'Master Roster'!$A:$G, 7, FALSE), start_date, DATE(E98, MONTH(D98&amp;" 1"), entry_day), end_date, EDATE(start_date, 1), period, TEXT(start_date, "mmm d, yyyy") &amp; " - " &amp; TEXT(end_date, "mmm d, yyyy"), HYPERLINK("https://wa.me/" &amp; VLOOKUP(A98, 'Master Roster'!$A:$F, 6, FALSE) &amp; "?text=" &amp; ENCODEURL("Hello " &amp; IFERROR(IF(VLOOKUP(A98, 'Master Roster'!$A:$J, 10, FALSE)="Male", "Mr. ", "Ms. "), "") &amp; B98 &amp; ", payment of K" &amp; F98 &amp; " received for " &amp; period &amp; ". Receipt No: " &amp; N98), "Send Receipt")))</f>
        <v/>
      </c>
    </row>
    <row r="99">
      <c r="A99" s="192"/>
      <c r="B99" s="192" t="s">
        <v>175</v>
      </c>
      <c r="C99" s="193"/>
      <c r="D99" s="192"/>
      <c r="E99" s="192"/>
      <c r="F99" s="192"/>
      <c r="G99" s="192"/>
      <c r="H99" s="192" t="str">
        <f t="shared" si="1"/>
        <v/>
      </c>
      <c r="I99" s="192" t="str">
        <f t="shared" si="2"/>
        <v/>
      </c>
      <c r="J99" s="29" t="str">
        <f>IF(A99="", "", IFERROR(VLOOKUP(A99, 'Master Roster'!A:H, 8, FALSE) - F99, ""))</f>
        <v/>
      </c>
      <c r="K99" s="29" t="s">
        <v>175</v>
      </c>
      <c r="L99" s="29" t="b">
        <v>0</v>
      </c>
      <c r="M99" s="29"/>
      <c r="N99" s="29" t="s">
        <v>175</v>
      </c>
      <c r="O99" s="29" t="str">
        <f>IF(ISBLANK(A99), "", LET(entry_day, VLOOKUP(A99, 'Master Roster'!$A:$G, 7, FALSE), start_date, DATE(E99, MONTH(D99&amp;" 1"), entry_day), end_date, EDATE(start_date, 1), period, TEXT(start_date, "mmm d, yyyy") &amp; " - " &amp; TEXT(end_date, "mmm d, yyyy"), HYPERLINK("https://wa.me/" &amp; VLOOKUP(A99, 'Master Roster'!$A:$F, 6, FALSE) &amp; "?text=" &amp; ENCODEURL("Hello " &amp; IFERROR(IF(VLOOKUP(A99, 'Master Roster'!$A:$J, 10, FALSE)="Male", "Mr. ", "Ms. "), "") &amp; B99 &amp; ", payment of K" &amp; F99 &amp; " received for " &amp; period &amp; ". Receipt No: " &amp; N99), "Send Receipt")))</f>
        <v/>
      </c>
    </row>
    <row r="100">
      <c r="A100" s="192"/>
      <c r="B100" s="192" t="s">
        <v>175</v>
      </c>
      <c r="C100" s="193"/>
      <c r="D100" s="192"/>
      <c r="E100" s="192"/>
      <c r="F100" s="192"/>
      <c r="G100" s="192"/>
      <c r="H100" s="192" t="str">
        <f t="shared" si="1"/>
        <v/>
      </c>
      <c r="I100" s="192" t="str">
        <f t="shared" si="2"/>
        <v/>
      </c>
      <c r="J100" s="29" t="str">
        <f>IF(A100="", "", IFERROR(VLOOKUP(A100, 'Master Roster'!A:H, 8, FALSE) - F100, ""))</f>
        <v/>
      </c>
      <c r="K100" s="29" t="s">
        <v>175</v>
      </c>
      <c r="L100" s="29" t="b">
        <v>0</v>
      </c>
      <c r="M100" s="29"/>
      <c r="N100" s="29" t="s">
        <v>175</v>
      </c>
      <c r="O100" s="29" t="str">
        <f>IF(ISBLANK(A100), "", LET(entry_day, VLOOKUP(A100, 'Master Roster'!$A:$G, 7, FALSE), start_date, DATE(E100, MONTH(D100&amp;" 1"), entry_day), end_date, EDATE(start_date, 1), period, TEXT(start_date, "mmm d, yyyy") &amp; " - " &amp; TEXT(end_date, "mmm d, yyyy"), HYPERLINK("https://wa.me/" &amp; VLOOKUP(A100, 'Master Roster'!$A:$F, 6, FALSE) &amp; "?text=" &amp; ENCODEURL("Hello " &amp; IFERROR(IF(VLOOKUP(A100, 'Master Roster'!$A:$J, 10, FALSE)="Male", "Mr. ", "Ms. "), "") &amp; B100 &amp; ", payment of K" &amp; F100 &amp; " received for " &amp; period &amp; ". Receipt No: " &amp; N100), "Send Receipt")))</f>
        <v/>
      </c>
    </row>
    <row r="101">
      <c r="A101" s="192"/>
      <c r="B101" s="192" t="s">
        <v>175</v>
      </c>
      <c r="C101" s="193"/>
      <c r="D101" s="192"/>
      <c r="E101" s="192"/>
      <c r="F101" s="192"/>
      <c r="G101" s="192"/>
      <c r="H101" s="192" t="str">
        <f t="shared" si="1"/>
        <v/>
      </c>
      <c r="I101" s="192" t="str">
        <f t="shared" si="2"/>
        <v/>
      </c>
      <c r="J101" s="29" t="str">
        <f>IF(A101="", "", IFERROR(VLOOKUP(A101, 'Master Roster'!A:H, 8, FALSE) - F101, ""))</f>
        <v/>
      </c>
      <c r="K101" s="29" t="s">
        <v>175</v>
      </c>
      <c r="L101" s="29" t="b">
        <v>0</v>
      </c>
      <c r="M101" s="29"/>
      <c r="N101" s="29" t="s">
        <v>175</v>
      </c>
      <c r="O101" s="29" t="str">
        <f>IF(ISBLANK(A101), "", LET(entry_day, VLOOKUP(A101, 'Master Roster'!$A:$G, 7, FALSE), start_date, DATE(E101, MONTH(D101&amp;" 1"), entry_day), end_date, EDATE(start_date, 1), period, TEXT(start_date, "mmm d, yyyy") &amp; " - " &amp; TEXT(end_date, "mmm d, yyyy"), HYPERLINK("https://wa.me/" &amp; VLOOKUP(A101, 'Master Roster'!$A:$F, 6, FALSE) &amp; "?text=" &amp; ENCODEURL("Hello " &amp; IFERROR(IF(VLOOKUP(A101, 'Master Roster'!$A:$J, 10, FALSE)="Male", "Mr. ", "Ms. "), "") &amp; B101 &amp; ", payment of K" &amp; F101 &amp; " received for " &amp; period &amp; ". Receipt No: " &amp; N101), "Send Receipt")))</f>
        <v/>
      </c>
    </row>
    <row r="102">
      <c r="A102" s="192"/>
      <c r="B102" s="192" t="s">
        <v>175</v>
      </c>
      <c r="C102" s="193"/>
      <c r="D102" s="192"/>
      <c r="E102" s="192"/>
      <c r="F102" s="192"/>
      <c r="G102" s="192"/>
      <c r="H102" s="192" t="str">
        <f t="shared" si="1"/>
        <v/>
      </c>
      <c r="I102" s="192" t="str">
        <f t="shared" si="2"/>
        <v/>
      </c>
      <c r="J102" s="29" t="str">
        <f>IF(A102="", "", IFERROR(VLOOKUP(A102, 'Master Roster'!A:H, 8, FALSE) - F102, ""))</f>
        <v/>
      </c>
      <c r="K102" s="29" t="s">
        <v>175</v>
      </c>
      <c r="L102" s="29" t="b">
        <v>0</v>
      </c>
      <c r="M102" s="29"/>
      <c r="N102" s="29" t="s">
        <v>175</v>
      </c>
      <c r="O102" s="29" t="str">
        <f>IF(ISBLANK(A102), "", LET(entry_day, VLOOKUP(A102, 'Master Roster'!$A:$G, 7, FALSE), start_date, DATE(E102, MONTH(D102&amp;" 1"), entry_day), end_date, EDATE(start_date, 1), period, TEXT(start_date, "mmm d, yyyy") &amp; " - " &amp; TEXT(end_date, "mmm d, yyyy"), HYPERLINK("https://wa.me/" &amp; VLOOKUP(A102, 'Master Roster'!$A:$F, 6, FALSE) &amp; "?text=" &amp; ENCODEURL("Hello " &amp; IFERROR(IF(VLOOKUP(A102, 'Master Roster'!$A:$J, 10, FALSE)="Male", "Mr. ", "Ms. "), "") &amp; B102 &amp; ", payment of K" &amp; F102 &amp; " received for " &amp; period &amp; ". Receipt No: " &amp; N102), "Send Receipt")))</f>
        <v/>
      </c>
    </row>
    <row r="103">
      <c r="A103" s="29"/>
      <c r="B103" s="29" t="s">
        <v>175</v>
      </c>
      <c r="C103" s="76"/>
      <c r="D103" s="29"/>
      <c r="E103" s="29"/>
      <c r="F103" s="29"/>
      <c r="G103" s="29"/>
      <c r="H103" s="29" t="str">
        <f t="shared" si="1"/>
        <v/>
      </c>
      <c r="I103" s="29" t="str">
        <f t="shared" si="2"/>
        <v/>
      </c>
      <c r="J103" s="29" t="str">
        <f>IF(A103="", "", IFERROR(VLOOKUP(A103, 'Master Roster'!A:H, 8, FALSE) - F103, ""))</f>
        <v/>
      </c>
      <c r="K103" s="29" t="s">
        <v>175</v>
      </c>
      <c r="L103" s="29" t="b">
        <v>0</v>
      </c>
      <c r="M103" s="29"/>
      <c r="N103" s="29" t="s">
        <v>175</v>
      </c>
      <c r="O103" s="29" t="str">
        <f>IF(ISBLANK(A103), "", LET(entry_day, VLOOKUP(A103, 'Master Roster'!$A:$G, 7, FALSE), start_date, DATE(E103, MONTH(D103&amp;" 1"), entry_day), end_date, EDATE(start_date, 1), period, TEXT(start_date, "mmm d, yyyy") &amp; " - " &amp; TEXT(end_date, "mmm d, yyyy"), HYPERLINK("https://wa.me/" &amp; VLOOKUP(A103, 'Master Roster'!$A:$F, 6, FALSE) &amp; "?text=" &amp; ENCODEURL("Hello " &amp; IFERROR(IF(VLOOKUP(A103, 'Master Roster'!$A:$J, 10, FALSE)="Male", "Mr. ", "Ms. "), "") &amp; B103 &amp; ", payment of K" &amp; F103 &amp; " received for " &amp; period &amp; ". Receipt No: " &amp; N103), "Send Receipt")))</f>
        <v/>
      </c>
    </row>
    <row r="104">
      <c r="A104" s="29"/>
      <c r="B104" s="29" t="s">
        <v>175</v>
      </c>
      <c r="C104" s="76"/>
      <c r="D104" s="29"/>
      <c r="E104" s="29"/>
      <c r="F104" s="29"/>
      <c r="G104" s="29"/>
      <c r="H104" s="29" t="str">
        <f t="shared" si="1"/>
        <v/>
      </c>
      <c r="I104" s="29" t="str">
        <f t="shared" si="2"/>
        <v/>
      </c>
      <c r="J104" s="29" t="str">
        <f>IF(A104="", "", IFERROR(VLOOKUP(A104, 'Master Roster'!A:H, 8, FALSE) - F104, ""))</f>
        <v/>
      </c>
      <c r="K104" s="29" t="s">
        <v>175</v>
      </c>
      <c r="L104" s="29" t="b">
        <v>0</v>
      </c>
      <c r="M104" s="29"/>
      <c r="N104" s="29" t="s">
        <v>175</v>
      </c>
      <c r="O104" s="29" t="str">
        <f>IF(ISBLANK(A104), "", LET(entry_day, VLOOKUP(A104, 'Master Roster'!$A:$G, 7, FALSE), start_date, DATE(E104, MONTH(D104&amp;" 1"), entry_day), end_date, EDATE(start_date, 1), period, TEXT(start_date, "mmm d, yyyy") &amp; " - " &amp; TEXT(end_date, "mmm d, yyyy"), HYPERLINK("https://wa.me/" &amp; VLOOKUP(A104, 'Master Roster'!$A:$F, 6, FALSE) &amp; "?text=" &amp; ENCODEURL("Hello " &amp; IFERROR(IF(VLOOKUP(A104, 'Master Roster'!$A:$J, 10, FALSE)="Male", "Mr. ", "Ms. "), "") &amp; B104 &amp; ", payment of K" &amp; F104 &amp; " received for " &amp; period &amp; ". Receipt No: " &amp; N104), "Send Receipt")))</f>
        <v/>
      </c>
    </row>
    <row r="105">
      <c r="A105" s="29"/>
      <c r="B105" s="29" t="s">
        <v>175</v>
      </c>
      <c r="C105" s="76"/>
      <c r="D105" s="29"/>
      <c r="E105" s="29"/>
      <c r="F105" s="29"/>
      <c r="G105" s="29"/>
      <c r="H105" s="29" t="str">
        <f t="shared" si="1"/>
        <v/>
      </c>
      <c r="I105" s="29" t="str">
        <f t="shared" si="2"/>
        <v/>
      </c>
      <c r="J105" s="29" t="str">
        <f>IF(A105="", "", IFERROR(VLOOKUP(A105, 'Master Roster'!A:H, 8, FALSE) - F105, ""))</f>
        <v/>
      </c>
      <c r="K105" s="29" t="s">
        <v>175</v>
      </c>
      <c r="L105" s="29" t="b">
        <v>0</v>
      </c>
      <c r="M105" s="29"/>
      <c r="N105" s="29" t="s">
        <v>175</v>
      </c>
      <c r="O105" s="29" t="str">
        <f>IF(ISBLANK(A105), "", LET(entry_day, VLOOKUP(A105, 'Master Roster'!$A:$G, 7, FALSE), start_date, DATE(E105, MONTH(D105&amp;" 1"), entry_day), end_date, EDATE(start_date, 1), period, TEXT(start_date, "mmm d, yyyy") &amp; " - " &amp; TEXT(end_date, "mmm d, yyyy"), HYPERLINK("https://wa.me/" &amp; VLOOKUP(A105, 'Master Roster'!$A:$F, 6, FALSE) &amp; "?text=" &amp; ENCODEURL("Hello " &amp; IFERROR(IF(VLOOKUP(A105, 'Master Roster'!$A:$J, 10, FALSE)="Male", "Mr. ", "Ms. "), "") &amp; B105 &amp; ", payment of K" &amp; F105 &amp; " received for " &amp; period &amp; ". Receipt No: " &amp; N105), "Send Receipt")))</f>
        <v/>
      </c>
    </row>
    <row r="106">
      <c r="A106" s="29"/>
      <c r="B106" s="29" t="s">
        <v>175</v>
      </c>
      <c r="C106" s="76"/>
      <c r="D106" s="29"/>
      <c r="E106" s="29"/>
      <c r="F106" s="29"/>
      <c r="G106" s="29"/>
      <c r="H106" s="29" t="str">
        <f t="shared" si="1"/>
        <v/>
      </c>
      <c r="I106" s="29" t="str">
        <f t="shared" si="2"/>
        <v/>
      </c>
      <c r="J106" s="29" t="str">
        <f>IF(A106="", "", IFERROR(VLOOKUP(A106, 'Master Roster'!A:H, 8, FALSE) - F106, ""))</f>
        <v/>
      </c>
      <c r="K106" s="29" t="s">
        <v>175</v>
      </c>
      <c r="L106" s="29" t="b">
        <v>0</v>
      </c>
      <c r="M106" s="29"/>
      <c r="N106" s="29" t="s">
        <v>175</v>
      </c>
      <c r="O106" s="29" t="str">
        <f>IF(ISBLANK(A106), "", LET(entry_day, VLOOKUP(A106, 'Master Roster'!$A:$G, 7, FALSE), start_date, DATE(E106, MONTH(D106&amp;" 1"), entry_day), end_date, EDATE(start_date, 1), period, TEXT(start_date, "mmm d, yyyy") &amp; " - " &amp; TEXT(end_date, "mmm d, yyyy"), HYPERLINK("https://wa.me/" &amp; VLOOKUP(A106, 'Master Roster'!$A:$F, 6, FALSE) &amp; "?text=" &amp; ENCODEURL("Hello " &amp; IFERROR(IF(VLOOKUP(A106, 'Master Roster'!$A:$J, 10, FALSE)="Male", "Mr. ", "Ms. "), "") &amp; B106 &amp; ", payment of K" &amp; F106 &amp; " received for " &amp; period &amp; ". Receipt No: " &amp; N106), "Send Receipt")))</f>
        <v/>
      </c>
    </row>
    <row r="107">
      <c r="A107" s="29"/>
      <c r="B107" s="29" t="s">
        <v>175</v>
      </c>
      <c r="C107" s="76"/>
      <c r="D107" s="29"/>
      <c r="E107" s="29"/>
      <c r="F107" s="29"/>
      <c r="G107" s="29"/>
      <c r="H107" s="29" t="str">
        <f t="shared" si="1"/>
        <v/>
      </c>
      <c r="I107" s="29" t="str">
        <f t="shared" si="2"/>
        <v/>
      </c>
      <c r="J107" s="29" t="str">
        <f>IF(A107="", "", IFERROR(VLOOKUP(A107, 'Master Roster'!A:H, 8, FALSE) - F107, ""))</f>
        <v/>
      </c>
      <c r="K107" s="29" t="s">
        <v>175</v>
      </c>
      <c r="L107" s="29" t="b">
        <v>0</v>
      </c>
      <c r="M107" s="29"/>
      <c r="N107" s="29" t="s">
        <v>175</v>
      </c>
      <c r="O107" s="29" t="str">
        <f>IF(ISBLANK(A107), "", LET(entry_day, VLOOKUP(A107, 'Master Roster'!$A:$G, 7, FALSE), start_date, DATE(E107, MONTH(D107&amp;" 1"), entry_day), end_date, EDATE(start_date, 1), period, TEXT(start_date, "mmm d, yyyy") &amp; " - " &amp; TEXT(end_date, "mmm d, yyyy"), HYPERLINK("https://wa.me/" &amp; VLOOKUP(A107, 'Master Roster'!$A:$F, 6, FALSE) &amp; "?text=" &amp; ENCODEURL("Hello " &amp; IFERROR(IF(VLOOKUP(A107, 'Master Roster'!$A:$J, 10, FALSE)="Male", "Mr. ", "Ms. "), "") &amp; B107 &amp; ", payment of K" &amp; F107 &amp; " received for " &amp; period &amp; ". Receipt No: " &amp; N107), "Send Receipt")))</f>
        <v/>
      </c>
    </row>
    <row r="108">
      <c r="A108" s="29"/>
      <c r="B108" s="29" t="s">
        <v>175</v>
      </c>
      <c r="C108" s="76"/>
      <c r="D108" s="29"/>
      <c r="E108" s="29"/>
      <c r="F108" s="29"/>
      <c r="G108" s="29"/>
      <c r="H108" s="29" t="str">
        <f t="shared" si="1"/>
        <v/>
      </c>
      <c r="I108" s="29" t="str">
        <f t="shared" si="2"/>
        <v/>
      </c>
      <c r="J108" s="29" t="str">
        <f>IF(A108="", "", IFERROR(VLOOKUP(A108, 'Master Roster'!A:H, 8, FALSE) - F108, ""))</f>
        <v/>
      </c>
      <c r="K108" s="29" t="s">
        <v>175</v>
      </c>
      <c r="L108" s="29" t="b">
        <v>0</v>
      </c>
      <c r="M108" s="29"/>
      <c r="N108" s="29" t="s">
        <v>175</v>
      </c>
      <c r="O108" s="29" t="str">
        <f>IF(ISBLANK(A108), "", LET(entry_day, VLOOKUP(A108, 'Master Roster'!$A:$G, 7, FALSE), start_date, DATE(E108, MONTH(D108&amp;" 1"), entry_day), end_date, EDATE(start_date, 1), period, TEXT(start_date, "mmm d, yyyy") &amp; " - " &amp; TEXT(end_date, "mmm d, yyyy"), HYPERLINK("https://wa.me/" &amp; VLOOKUP(A108, 'Master Roster'!$A:$F, 6, FALSE) &amp; "?text=" &amp; ENCODEURL("Hello " &amp; IFERROR(IF(VLOOKUP(A108, 'Master Roster'!$A:$J, 10, FALSE)="Male", "Mr. ", "Ms. "), "") &amp; B108 &amp; ", payment of K" &amp; F108 &amp; " received for " &amp; period &amp; ". Receipt No: " &amp; N108), "Send Receipt")))</f>
        <v/>
      </c>
    </row>
    <row r="109">
      <c r="A109" s="29"/>
      <c r="B109" s="29" t="s">
        <v>175</v>
      </c>
      <c r="C109" s="76"/>
      <c r="D109" s="29"/>
      <c r="E109" s="29"/>
      <c r="F109" s="29"/>
      <c r="G109" s="29"/>
      <c r="H109" s="29" t="str">
        <f t="shared" si="1"/>
        <v/>
      </c>
      <c r="I109" s="29" t="str">
        <f t="shared" si="2"/>
        <v/>
      </c>
      <c r="J109" s="29" t="str">
        <f>IF(A109="", "", IFERROR(VLOOKUP(A109, 'Master Roster'!A:H, 8, FALSE) - F109, ""))</f>
        <v/>
      </c>
      <c r="K109" s="29" t="s">
        <v>175</v>
      </c>
      <c r="L109" s="29" t="b">
        <v>0</v>
      </c>
      <c r="M109" s="29"/>
      <c r="N109" s="29" t="s">
        <v>175</v>
      </c>
      <c r="O109" s="29" t="str">
        <f>IF(ISBLANK(A109), "", LET(entry_day, VLOOKUP(A109, 'Master Roster'!$A:$G, 7, FALSE), start_date, DATE(E109, MONTH(D109&amp;" 1"), entry_day), end_date, EDATE(start_date, 1), period, TEXT(start_date, "mmm d, yyyy") &amp; " - " &amp; TEXT(end_date, "mmm d, yyyy"), HYPERLINK("https://wa.me/" &amp; VLOOKUP(A109, 'Master Roster'!$A:$F, 6, FALSE) &amp; "?text=" &amp; ENCODEURL("Hello " &amp; IFERROR(IF(VLOOKUP(A109, 'Master Roster'!$A:$J, 10, FALSE)="Male", "Mr. ", "Ms. "), "") &amp; B109 &amp; ", payment of K" &amp; F109 &amp; " received for " &amp; period &amp; ". Receipt No: " &amp; N109), "Send Receipt")))</f>
        <v/>
      </c>
    </row>
    <row r="110">
      <c r="A110" s="29"/>
      <c r="B110" s="29" t="s">
        <v>175</v>
      </c>
      <c r="C110" s="76"/>
      <c r="D110" s="29"/>
      <c r="E110" s="29"/>
      <c r="F110" s="29"/>
      <c r="G110" s="29"/>
      <c r="H110" s="29" t="str">
        <f t="shared" si="1"/>
        <v/>
      </c>
      <c r="I110" s="29" t="str">
        <f t="shared" si="2"/>
        <v/>
      </c>
      <c r="J110" s="29" t="str">
        <f>IF(A110="", "", IFERROR(VLOOKUP(A110, 'Master Roster'!A:H, 8, FALSE) - F110, ""))</f>
        <v/>
      </c>
      <c r="K110" s="29" t="s">
        <v>175</v>
      </c>
      <c r="L110" s="29" t="b">
        <v>0</v>
      </c>
      <c r="M110" s="29"/>
      <c r="N110" s="29" t="s">
        <v>175</v>
      </c>
      <c r="O110" s="29" t="str">
        <f>IF(ISBLANK(A110), "", LET(entry_day, VLOOKUP(A110, 'Master Roster'!$A:$G, 7, FALSE), start_date, DATE(E110, MONTH(D110&amp;" 1"), entry_day), end_date, EDATE(start_date, 1), period, TEXT(start_date, "mmm d, yyyy") &amp; " - " &amp; TEXT(end_date, "mmm d, yyyy"), HYPERLINK("https://wa.me/" &amp; VLOOKUP(A110, 'Master Roster'!$A:$F, 6, FALSE) &amp; "?text=" &amp; ENCODEURL("Hello " &amp; IFERROR(IF(VLOOKUP(A110, 'Master Roster'!$A:$J, 10, FALSE)="Male", "Mr. ", "Ms. "), "") &amp; B110 &amp; ", payment of K" &amp; F110 &amp; " received for " &amp; period &amp; ". Receipt No: " &amp; N110), "Send Receipt")))</f>
        <v/>
      </c>
    </row>
    <row r="111">
      <c r="A111" s="29"/>
      <c r="B111" s="29" t="s">
        <v>175</v>
      </c>
      <c r="C111" s="76"/>
      <c r="D111" s="29"/>
      <c r="E111" s="29"/>
      <c r="F111" s="29"/>
      <c r="G111" s="29"/>
      <c r="H111" s="29" t="str">
        <f t="shared" si="1"/>
        <v/>
      </c>
      <c r="I111" s="29" t="str">
        <f t="shared" si="2"/>
        <v/>
      </c>
      <c r="J111" s="29" t="str">
        <f>IF(A111="", "", IFERROR(VLOOKUP(A111, 'Master Roster'!A:H, 8, FALSE) - F111, ""))</f>
        <v/>
      </c>
      <c r="K111" s="29" t="s">
        <v>175</v>
      </c>
      <c r="L111" s="29" t="b">
        <v>0</v>
      </c>
      <c r="M111" s="29"/>
      <c r="N111" s="29" t="s">
        <v>175</v>
      </c>
      <c r="O111" s="29" t="str">
        <f>IF(ISBLANK(A111), "", LET(entry_day, VLOOKUP(A111, 'Master Roster'!$A:$G, 7, FALSE), start_date, DATE(E111, MONTH(D111&amp;" 1"), entry_day), end_date, EDATE(start_date, 1), period, TEXT(start_date, "mmm d, yyyy") &amp; " - " &amp; TEXT(end_date, "mmm d, yyyy"), HYPERLINK("https://wa.me/" &amp; VLOOKUP(A111, 'Master Roster'!$A:$F, 6, FALSE) &amp; "?text=" &amp; ENCODEURL("Hello " &amp; IFERROR(IF(VLOOKUP(A111, 'Master Roster'!$A:$J, 10, FALSE)="Male", "Mr. ", "Ms. "), "") &amp; B111 &amp; ", payment of K" &amp; F111 &amp; " received for " &amp; period &amp; ". Receipt No: " &amp; N111), "Send Receipt")))</f>
        <v/>
      </c>
    </row>
    <row r="112">
      <c r="A112" s="29"/>
      <c r="B112" s="29" t="s">
        <v>175</v>
      </c>
      <c r="C112" s="76"/>
      <c r="D112" s="29"/>
      <c r="E112" s="29"/>
      <c r="F112" s="29"/>
      <c r="G112" s="29"/>
      <c r="H112" s="29" t="str">
        <f t="shared" si="1"/>
        <v/>
      </c>
      <c r="I112" s="29" t="str">
        <f t="shared" si="2"/>
        <v/>
      </c>
      <c r="J112" s="29" t="str">
        <f>IF(A112="", "", IFERROR(VLOOKUP(A112, 'Master Roster'!A:H, 8, FALSE) - F112, ""))</f>
        <v/>
      </c>
      <c r="K112" s="29" t="s">
        <v>175</v>
      </c>
      <c r="L112" s="29" t="b">
        <v>0</v>
      </c>
      <c r="M112" s="29"/>
      <c r="N112" s="29" t="s">
        <v>175</v>
      </c>
      <c r="O112" s="29" t="str">
        <f>IF(ISBLANK(A112), "", LET(entry_day, VLOOKUP(A112, 'Master Roster'!$A:$G, 7, FALSE), start_date, DATE(E112, MONTH(D112&amp;" 1"), entry_day), end_date, EDATE(start_date, 1), period, TEXT(start_date, "mmm d, yyyy") &amp; " - " &amp; TEXT(end_date, "mmm d, yyyy"), HYPERLINK("https://wa.me/" &amp; VLOOKUP(A112, 'Master Roster'!$A:$F, 6, FALSE) &amp; "?text=" &amp; ENCODEURL("Hello " &amp; IFERROR(IF(VLOOKUP(A112, 'Master Roster'!$A:$J, 10, FALSE)="Male", "Mr. ", "Ms. "), "") &amp; B112 &amp; ", payment of K" &amp; F112 &amp; " received for " &amp; period &amp; ". Receipt No: " &amp; N112), "Send Receipt")))</f>
        <v/>
      </c>
    </row>
    <row r="113">
      <c r="A113" s="29"/>
      <c r="B113" s="29" t="s">
        <v>175</v>
      </c>
      <c r="C113" s="76"/>
      <c r="D113" s="29"/>
      <c r="E113" s="29"/>
      <c r="F113" s="29"/>
      <c r="G113" s="29"/>
      <c r="H113" s="29" t="str">
        <f t="shared" si="1"/>
        <v/>
      </c>
      <c r="I113" s="29" t="str">
        <f t="shared" si="2"/>
        <v/>
      </c>
      <c r="J113" s="29" t="str">
        <f>IF(A113="", "", IFERROR(VLOOKUP(A113, 'Master Roster'!A:H, 8, FALSE) - F113, ""))</f>
        <v/>
      </c>
      <c r="K113" s="29" t="s">
        <v>175</v>
      </c>
      <c r="L113" s="29" t="b">
        <v>0</v>
      </c>
      <c r="M113" s="29"/>
      <c r="N113" s="29" t="s">
        <v>175</v>
      </c>
      <c r="O113" s="29" t="str">
        <f>IF(ISBLANK(A113), "", LET(entry_day, VLOOKUP(A113, 'Master Roster'!$A:$G, 7, FALSE), start_date, DATE(E113, MONTH(D113&amp;" 1"), entry_day), end_date, EDATE(start_date, 1), period, TEXT(start_date, "mmm d, yyyy") &amp; " - " &amp; TEXT(end_date, "mmm d, yyyy"), HYPERLINK("https://wa.me/" &amp; VLOOKUP(A113, 'Master Roster'!$A:$F, 6, FALSE) &amp; "?text=" &amp; ENCODEURL("Hello " &amp; IFERROR(IF(VLOOKUP(A113, 'Master Roster'!$A:$J, 10, FALSE)="Male", "Mr. ", "Ms. "), "") &amp; B113 &amp; ", payment of K" &amp; F113 &amp; " received for " &amp; period &amp; ". Receipt No: " &amp; N113), "Send Receipt")))</f>
        <v/>
      </c>
    </row>
    <row r="114">
      <c r="A114" s="29"/>
      <c r="B114" s="29" t="s">
        <v>175</v>
      </c>
      <c r="C114" s="76"/>
      <c r="D114" s="29"/>
      <c r="E114" s="29"/>
      <c r="F114" s="29"/>
      <c r="G114" s="29"/>
      <c r="H114" s="29" t="str">
        <f t="shared" si="1"/>
        <v/>
      </c>
      <c r="I114" s="29" t="str">
        <f t="shared" si="2"/>
        <v/>
      </c>
      <c r="J114" s="29" t="str">
        <f>IF(A114="", "", IFERROR(VLOOKUP(A114, 'Master Roster'!A:H, 8, FALSE) - F114, ""))</f>
        <v/>
      </c>
      <c r="K114" s="29" t="s">
        <v>175</v>
      </c>
      <c r="L114" s="29" t="b">
        <v>0</v>
      </c>
      <c r="M114" s="29"/>
      <c r="N114" s="29" t="s">
        <v>175</v>
      </c>
      <c r="O114" s="29" t="str">
        <f>IF(ISBLANK(A114), "", LET(entry_day, VLOOKUP(A114, 'Master Roster'!$A:$G, 7, FALSE), start_date, DATE(E114, MONTH(D114&amp;" 1"), entry_day), end_date, EDATE(start_date, 1), period, TEXT(start_date, "mmm d, yyyy") &amp; " - " &amp; TEXT(end_date, "mmm d, yyyy"), HYPERLINK("https://wa.me/" &amp; VLOOKUP(A114, 'Master Roster'!$A:$F, 6, FALSE) &amp; "?text=" &amp; ENCODEURL("Hello " &amp; IFERROR(IF(VLOOKUP(A114, 'Master Roster'!$A:$J, 10, FALSE)="Male", "Mr. ", "Ms. "), "") &amp; B114 &amp; ", payment of K" &amp; F114 &amp; " received for " &amp; period &amp; ". Receipt No: " &amp; N114), "Send Receipt")))</f>
        <v/>
      </c>
    </row>
    <row r="115">
      <c r="A115" s="29"/>
      <c r="B115" s="29" t="s">
        <v>175</v>
      </c>
      <c r="C115" s="76"/>
      <c r="D115" s="29"/>
      <c r="E115" s="29"/>
      <c r="F115" s="29"/>
      <c r="G115" s="29"/>
      <c r="H115" s="29" t="str">
        <f t="shared" si="1"/>
        <v/>
      </c>
      <c r="I115" s="29" t="str">
        <f t="shared" si="2"/>
        <v/>
      </c>
      <c r="J115" s="29" t="str">
        <f>IF(A115="", "", IFERROR(VLOOKUP(A115, 'Master Roster'!A:H, 8, FALSE) - F115, ""))</f>
        <v/>
      </c>
      <c r="K115" s="29" t="s">
        <v>175</v>
      </c>
      <c r="L115" s="29" t="b">
        <v>0</v>
      </c>
      <c r="M115" s="29"/>
      <c r="N115" s="29" t="s">
        <v>175</v>
      </c>
      <c r="O115" s="29" t="str">
        <f>IF(ISBLANK(A115), "", LET(entry_day, VLOOKUP(A115, 'Master Roster'!$A:$G, 7, FALSE), start_date, DATE(E115, MONTH(D115&amp;" 1"), entry_day), end_date, EDATE(start_date, 1), period, TEXT(start_date, "mmm d, yyyy") &amp; " - " &amp; TEXT(end_date, "mmm d, yyyy"), HYPERLINK("https://wa.me/" &amp; VLOOKUP(A115, 'Master Roster'!$A:$F, 6, FALSE) &amp; "?text=" &amp; ENCODEURL("Hello " &amp; IFERROR(IF(VLOOKUP(A115, 'Master Roster'!$A:$J, 10, FALSE)="Male", "Mr. ", "Ms. "), "") &amp; B115 &amp; ", payment of K" &amp; F115 &amp; " received for " &amp; period &amp; ". Receipt No: " &amp; N115), "Send Receipt")))</f>
        <v/>
      </c>
    </row>
    <row r="116">
      <c r="A116" s="29"/>
      <c r="B116" s="29" t="s">
        <v>175</v>
      </c>
      <c r="C116" s="76"/>
      <c r="D116" s="29"/>
      <c r="E116" s="29"/>
      <c r="F116" s="29"/>
      <c r="G116" s="29"/>
      <c r="H116" s="29" t="str">
        <f t="shared" si="1"/>
        <v/>
      </c>
      <c r="I116" s="29" t="str">
        <f t="shared" si="2"/>
        <v/>
      </c>
      <c r="J116" s="29" t="str">
        <f>IF(A116="", "", IFERROR(VLOOKUP(A116, 'Master Roster'!A:H, 8, FALSE) - F116, ""))</f>
        <v/>
      </c>
      <c r="K116" s="29" t="s">
        <v>175</v>
      </c>
      <c r="L116" s="29" t="b">
        <v>0</v>
      </c>
      <c r="M116" s="29"/>
      <c r="N116" s="29" t="s">
        <v>175</v>
      </c>
      <c r="O116" s="29" t="str">
        <f>IF(ISBLANK(A116), "", LET(entry_day, VLOOKUP(A116, 'Master Roster'!$A:$G, 7, FALSE), start_date, DATE(E116, MONTH(D116&amp;" 1"), entry_day), end_date, EDATE(start_date, 1), period, TEXT(start_date, "mmm d, yyyy") &amp; " - " &amp; TEXT(end_date, "mmm d, yyyy"), HYPERLINK("https://wa.me/" &amp; VLOOKUP(A116, 'Master Roster'!$A:$F, 6, FALSE) &amp; "?text=" &amp; ENCODEURL("Hello " &amp; IFERROR(IF(VLOOKUP(A116, 'Master Roster'!$A:$J, 10, FALSE)="Male", "Mr. ", "Ms. "), "") &amp; B116 &amp; ", payment of K" &amp; F116 &amp; " received for " &amp; period &amp; ". Receipt No: " &amp; N116), "Send Receipt")))</f>
        <v/>
      </c>
    </row>
    <row r="117">
      <c r="A117" s="29"/>
      <c r="B117" s="29" t="s">
        <v>175</v>
      </c>
      <c r="C117" s="76"/>
      <c r="D117" s="29"/>
      <c r="E117" s="29"/>
      <c r="F117" s="29"/>
      <c r="G117" s="29"/>
      <c r="H117" s="29" t="str">
        <f t="shared" si="1"/>
        <v/>
      </c>
      <c r="I117" s="29" t="str">
        <f t="shared" si="2"/>
        <v/>
      </c>
      <c r="J117" s="29" t="str">
        <f>IF(A117="", "", IFERROR(VLOOKUP(A117, 'Master Roster'!A:H, 8, FALSE) - F117, ""))</f>
        <v/>
      </c>
      <c r="K117" s="29" t="s">
        <v>175</v>
      </c>
      <c r="L117" s="29" t="b">
        <v>0</v>
      </c>
      <c r="M117" s="29"/>
      <c r="N117" s="29" t="s">
        <v>175</v>
      </c>
      <c r="O117" s="29" t="str">
        <f>IF(ISBLANK(A117), "", LET(entry_day, VLOOKUP(A117, 'Master Roster'!$A:$G, 7, FALSE), start_date, DATE(E117, MONTH(D117&amp;" 1"), entry_day), end_date, EDATE(start_date, 1), period, TEXT(start_date, "mmm d, yyyy") &amp; " - " &amp; TEXT(end_date, "mmm d, yyyy"), HYPERLINK("https://wa.me/" &amp; VLOOKUP(A117, 'Master Roster'!$A:$F, 6, FALSE) &amp; "?text=" &amp; ENCODEURL("Hello " &amp; IFERROR(IF(VLOOKUP(A117, 'Master Roster'!$A:$J, 10, FALSE)="Male", "Mr. ", "Ms. "), "") &amp; B117 &amp; ", payment of K" &amp; F117 &amp; " received for " &amp; period &amp; ". Receipt No: " &amp; N117), "Send Receipt")))</f>
        <v/>
      </c>
    </row>
    <row r="118">
      <c r="A118" s="29"/>
      <c r="B118" s="29" t="s">
        <v>175</v>
      </c>
      <c r="C118" s="76"/>
      <c r="D118" s="29"/>
      <c r="E118" s="29"/>
      <c r="F118" s="29"/>
      <c r="G118" s="29"/>
      <c r="H118" s="29" t="str">
        <f t="shared" si="1"/>
        <v/>
      </c>
      <c r="I118" s="29" t="str">
        <f t="shared" si="2"/>
        <v/>
      </c>
      <c r="J118" s="29" t="str">
        <f>IF(A118="", "", IFERROR(VLOOKUP(A118, 'Master Roster'!A:H, 8, FALSE) - F118, ""))</f>
        <v/>
      </c>
      <c r="K118" s="29" t="s">
        <v>175</v>
      </c>
      <c r="L118" s="29" t="b">
        <v>0</v>
      </c>
      <c r="M118" s="29"/>
      <c r="N118" s="29" t="s">
        <v>175</v>
      </c>
      <c r="O118" s="29" t="str">
        <f>IF(ISBLANK(A118), "", LET(entry_day, VLOOKUP(A118, 'Master Roster'!$A:$G, 7, FALSE), start_date, DATE(E118, MONTH(D118&amp;" 1"), entry_day), end_date, EDATE(start_date, 1), period, TEXT(start_date, "mmm d, yyyy") &amp; " - " &amp; TEXT(end_date, "mmm d, yyyy"), HYPERLINK("https://wa.me/" &amp; VLOOKUP(A118, 'Master Roster'!$A:$F, 6, FALSE) &amp; "?text=" &amp; ENCODEURL("Hello " &amp; IFERROR(IF(VLOOKUP(A118, 'Master Roster'!$A:$J, 10, FALSE)="Male", "Mr. ", "Ms. "), "") &amp; B118 &amp; ", payment of K" &amp; F118 &amp; " received for " &amp; period &amp; ". Receipt No: " &amp; N118), "Send Receipt")))</f>
        <v/>
      </c>
    </row>
    <row r="119">
      <c r="A119" s="29"/>
      <c r="B119" s="29" t="s">
        <v>175</v>
      </c>
      <c r="C119" s="76"/>
      <c r="D119" s="29"/>
      <c r="E119" s="29"/>
      <c r="F119" s="29"/>
      <c r="G119" s="29"/>
      <c r="H119" s="29" t="str">
        <f t="shared" si="1"/>
        <v/>
      </c>
      <c r="I119" s="29" t="str">
        <f t="shared" si="2"/>
        <v/>
      </c>
      <c r="J119" s="29" t="str">
        <f>IF(A119="", "", IFERROR(VLOOKUP(A119, 'Master Roster'!A:H, 8, FALSE) - F119, ""))</f>
        <v/>
      </c>
      <c r="K119" s="29" t="s">
        <v>175</v>
      </c>
      <c r="L119" s="29" t="b">
        <v>0</v>
      </c>
      <c r="M119" s="29"/>
      <c r="N119" s="29" t="s">
        <v>175</v>
      </c>
      <c r="O119" s="29" t="str">
        <f>IF(ISBLANK(A119), "", LET(entry_day, VLOOKUP(A119, 'Master Roster'!$A:$G, 7, FALSE), start_date, DATE(E119, MONTH(D119&amp;" 1"), entry_day), end_date, EDATE(start_date, 1), period, TEXT(start_date, "mmm d, yyyy") &amp; " - " &amp; TEXT(end_date, "mmm d, yyyy"), HYPERLINK("https://wa.me/" &amp; VLOOKUP(A119, 'Master Roster'!$A:$F, 6, FALSE) &amp; "?text=" &amp; ENCODEURL("Hello " &amp; IFERROR(IF(VLOOKUP(A119, 'Master Roster'!$A:$J, 10, FALSE)="Male", "Mr. ", "Ms. "), "") &amp; B119 &amp; ", payment of K" &amp; F119 &amp; " received for " &amp; period &amp; ". Receipt No: " &amp; N119), "Send Receipt")))</f>
        <v/>
      </c>
    </row>
    <row r="120">
      <c r="A120" s="29"/>
      <c r="B120" s="29" t="s">
        <v>175</v>
      </c>
      <c r="C120" s="76"/>
      <c r="D120" s="29"/>
      <c r="E120" s="29"/>
      <c r="F120" s="29"/>
      <c r="G120" s="29"/>
      <c r="H120" s="29" t="str">
        <f t="shared" si="1"/>
        <v/>
      </c>
      <c r="I120" s="29" t="str">
        <f t="shared" si="2"/>
        <v/>
      </c>
      <c r="J120" s="29" t="str">
        <f>IF(A120="", "", IFERROR(VLOOKUP(A120, 'Master Roster'!A:H, 8, FALSE) - F120, ""))</f>
        <v/>
      </c>
      <c r="K120" s="29" t="s">
        <v>175</v>
      </c>
      <c r="L120" s="29" t="b">
        <v>0</v>
      </c>
      <c r="M120" s="29"/>
      <c r="N120" s="29" t="s">
        <v>175</v>
      </c>
      <c r="O120" s="29" t="str">
        <f>IF(ISBLANK(A120), "", LET(entry_day, VLOOKUP(A120, 'Master Roster'!$A:$G, 7, FALSE), start_date, DATE(E120, MONTH(D120&amp;" 1"), entry_day), end_date, EDATE(start_date, 1), period, TEXT(start_date, "mmm d, yyyy") &amp; " - " &amp; TEXT(end_date, "mmm d, yyyy"), HYPERLINK("https://wa.me/" &amp; VLOOKUP(A120, 'Master Roster'!$A:$F, 6, FALSE) &amp; "?text=" &amp; ENCODEURL("Hello " &amp; IFERROR(IF(VLOOKUP(A120, 'Master Roster'!$A:$J, 10, FALSE)="Male", "Mr. ", "Ms. "), "") &amp; B120 &amp; ", payment of K" &amp; F120 &amp; " received for " &amp; period &amp; ". Receipt No: " &amp; N120), "Send Receipt")))</f>
        <v/>
      </c>
    </row>
    <row r="121">
      <c r="A121" s="29"/>
      <c r="B121" s="29" t="s">
        <v>175</v>
      </c>
      <c r="C121" s="76"/>
      <c r="D121" s="29"/>
      <c r="E121" s="29"/>
      <c r="F121" s="29"/>
      <c r="G121" s="29"/>
      <c r="H121" s="29" t="str">
        <f t="shared" si="1"/>
        <v/>
      </c>
      <c r="I121" s="29" t="str">
        <f t="shared" si="2"/>
        <v/>
      </c>
      <c r="J121" s="29" t="str">
        <f>IF(A121="", "", IFERROR(VLOOKUP(A121, 'Master Roster'!A:H, 8, FALSE) - F121, ""))</f>
        <v/>
      </c>
      <c r="K121" s="29" t="s">
        <v>175</v>
      </c>
      <c r="L121" s="29" t="b">
        <v>0</v>
      </c>
      <c r="M121" s="29"/>
      <c r="N121" s="29" t="s">
        <v>175</v>
      </c>
      <c r="O121" s="29" t="str">
        <f>IF(ISBLANK(A121), "", LET(entry_day, VLOOKUP(A121, 'Master Roster'!$A:$G, 7, FALSE), start_date, DATE(E121, MONTH(D121&amp;" 1"), entry_day), end_date, EDATE(start_date, 1), period, TEXT(start_date, "mmm d, yyyy") &amp; " - " &amp; TEXT(end_date, "mmm d, yyyy"), HYPERLINK("https://wa.me/" &amp; VLOOKUP(A121, 'Master Roster'!$A:$F, 6, FALSE) &amp; "?text=" &amp; ENCODEURL("Hello " &amp; IFERROR(IF(VLOOKUP(A121, 'Master Roster'!$A:$J, 10, FALSE)="Male", "Mr. ", "Ms. "), "") &amp; B121 &amp; ", payment of K" &amp; F121 &amp; " received for " &amp; period &amp; ". Receipt No: " &amp; N121), "Send Receipt")))</f>
        <v/>
      </c>
    </row>
    <row r="122">
      <c r="A122" s="29"/>
      <c r="B122" s="29" t="s">
        <v>175</v>
      </c>
      <c r="C122" s="76"/>
      <c r="D122" s="29"/>
      <c r="E122" s="29"/>
      <c r="F122" s="29"/>
      <c r="G122" s="29"/>
      <c r="H122" s="29" t="str">
        <f t="shared" si="1"/>
        <v/>
      </c>
      <c r="I122" s="29" t="str">
        <f t="shared" si="2"/>
        <v/>
      </c>
      <c r="J122" s="29" t="str">
        <f>IF(A122="", "", IFERROR(VLOOKUP(A122, 'Master Roster'!A:H, 8, FALSE) - F122, ""))</f>
        <v/>
      </c>
      <c r="K122" s="29" t="s">
        <v>175</v>
      </c>
      <c r="L122" s="29" t="b">
        <v>0</v>
      </c>
      <c r="M122" s="29"/>
      <c r="N122" s="29" t="s">
        <v>175</v>
      </c>
      <c r="O122" s="29" t="str">
        <f>IF(ISBLANK(A122), "", LET(entry_day, VLOOKUP(A122, 'Master Roster'!$A:$G, 7, FALSE), start_date, DATE(E122, MONTH(D122&amp;" 1"), entry_day), end_date, EDATE(start_date, 1), period, TEXT(start_date, "mmm d, yyyy") &amp; " - " &amp; TEXT(end_date, "mmm d, yyyy"), HYPERLINK("https://wa.me/" &amp; VLOOKUP(A122, 'Master Roster'!$A:$F, 6, FALSE) &amp; "?text=" &amp; ENCODEURL("Hello " &amp; IFERROR(IF(VLOOKUP(A122, 'Master Roster'!$A:$J, 10, FALSE)="Male", "Mr. ", "Ms. "), "") &amp; B122 &amp; ", payment of K" &amp; F122 &amp; " received for " &amp; period &amp; ". Receipt No: " &amp; N122), "Send Receipt")))</f>
        <v/>
      </c>
    </row>
    <row r="123">
      <c r="A123" s="29"/>
      <c r="B123" s="29" t="s">
        <v>175</v>
      </c>
      <c r="C123" s="76"/>
      <c r="D123" s="29"/>
      <c r="E123" s="29"/>
      <c r="F123" s="29"/>
      <c r="G123" s="29"/>
      <c r="H123" s="29" t="str">
        <f t="shared" si="1"/>
        <v/>
      </c>
      <c r="I123" s="29" t="str">
        <f t="shared" si="2"/>
        <v/>
      </c>
      <c r="J123" s="29" t="str">
        <f>IF(A123="", "", IFERROR(VLOOKUP(A123, 'Master Roster'!A:H, 8, FALSE) - F123, ""))</f>
        <v/>
      </c>
      <c r="K123" s="29" t="s">
        <v>175</v>
      </c>
      <c r="L123" s="29" t="b">
        <v>0</v>
      </c>
      <c r="M123" s="29"/>
      <c r="N123" s="29" t="s">
        <v>175</v>
      </c>
      <c r="O123" s="29" t="str">
        <f>IF(ISBLANK(A123), "", LET(entry_day, VLOOKUP(A123, 'Master Roster'!$A:$G, 7, FALSE), start_date, DATE(E123, MONTH(D123&amp;" 1"), entry_day), end_date, EDATE(start_date, 1), period, TEXT(start_date, "mmm d, yyyy") &amp; " - " &amp; TEXT(end_date, "mmm d, yyyy"), HYPERLINK("https://wa.me/" &amp; VLOOKUP(A123, 'Master Roster'!$A:$F, 6, FALSE) &amp; "?text=" &amp; ENCODEURL("Hello " &amp; IFERROR(IF(VLOOKUP(A123, 'Master Roster'!$A:$J, 10, FALSE)="Male", "Mr. ", "Ms. "), "") &amp; B123 &amp; ", payment of K" &amp; F123 &amp; " received for " &amp; period &amp; ". Receipt No: " &amp; N123), "Send Receipt")))</f>
        <v/>
      </c>
    </row>
    <row r="124">
      <c r="A124" s="29"/>
      <c r="B124" s="29" t="s">
        <v>175</v>
      </c>
      <c r="C124" s="76"/>
      <c r="D124" s="29"/>
      <c r="E124" s="29"/>
      <c r="F124" s="29"/>
      <c r="G124" s="29"/>
      <c r="H124" s="29" t="str">
        <f t="shared" si="1"/>
        <v/>
      </c>
      <c r="I124" s="29" t="str">
        <f t="shared" si="2"/>
        <v/>
      </c>
      <c r="J124" s="29" t="str">
        <f>IF(A124="", "", IFERROR(VLOOKUP(A124, 'Master Roster'!A:H, 8, FALSE) - F124, ""))</f>
        <v/>
      </c>
      <c r="K124" s="29" t="s">
        <v>175</v>
      </c>
      <c r="L124" s="29" t="b">
        <v>0</v>
      </c>
      <c r="M124" s="29"/>
      <c r="N124" s="29" t="s">
        <v>175</v>
      </c>
      <c r="O124" s="29" t="str">
        <f>IF(ISBLANK(A124), "", LET(entry_day, VLOOKUP(A124, 'Master Roster'!$A:$G, 7, FALSE), start_date, DATE(E124, MONTH(D124&amp;" 1"), entry_day), end_date, EDATE(start_date, 1), period, TEXT(start_date, "mmm d, yyyy") &amp; " - " &amp; TEXT(end_date, "mmm d, yyyy"), HYPERLINK("https://wa.me/" &amp; VLOOKUP(A124, 'Master Roster'!$A:$F, 6, FALSE) &amp; "?text=" &amp; ENCODEURL("Hello " &amp; IFERROR(IF(VLOOKUP(A124, 'Master Roster'!$A:$J, 10, FALSE)="Male", "Mr. ", "Ms. "), "") &amp; B124 &amp; ", payment of K" &amp; F124 &amp; " received for " &amp; period &amp; ". Receipt No: " &amp; N124), "Send Receipt")))</f>
        <v/>
      </c>
    </row>
    <row r="125">
      <c r="A125" s="29"/>
      <c r="B125" s="29" t="s">
        <v>175</v>
      </c>
      <c r="C125" s="76"/>
      <c r="D125" s="29"/>
      <c r="E125" s="29"/>
      <c r="F125" s="29"/>
      <c r="G125" s="29"/>
      <c r="H125" s="29" t="str">
        <f t="shared" si="1"/>
        <v/>
      </c>
      <c r="I125" s="29" t="str">
        <f t="shared" si="2"/>
        <v/>
      </c>
      <c r="J125" s="29" t="str">
        <f>IF(A125="", "", IFERROR(VLOOKUP(A125, 'Master Roster'!A:H, 8, FALSE) - F125, ""))</f>
        <v/>
      </c>
      <c r="K125" s="29" t="s">
        <v>175</v>
      </c>
      <c r="L125" s="29" t="b">
        <v>0</v>
      </c>
      <c r="M125" s="29"/>
      <c r="N125" s="29" t="s">
        <v>175</v>
      </c>
      <c r="O125" s="29" t="str">
        <f>IF(ISBLANK(A125), "", LET(entry_day, VLOOKUP(A125, 'Master Roster'!$A:$G, 7, FALSE), start_date, DATE(E125, MONTH(D125&amp;" 1"), entry_day), end_date, EDATE(start_date, 1), period, TEXT(start_date, "mmm d, yyyy") &amp; " - " &amp; TEXT(end_date, "mmm d, yyyy"), HYPERLINK("https://wa.me/" &amp; VLOOKUP(A125, 'Master Roster'!$A:$F, 6, FALSE) &amp; "?text=" &amp; ENCODEURL("Hello " &amp; IFERROR(IF(VLOOKUP(A125, 'Master Roster'!$A:$J, 10, FALSE)="Male", "Mr. ", "Ms. "), "") &amp; B125 &amp; ", payment of K" &amp; F125 &amp; " received for " &amp; period &amp; ". Receipt No: " &amp; N125), "Send Receipt")))</f>
        <v/>
      </c>
    </row>
    <row r="126">
      <c r="A126" s="29"/>
      <c r="B126" s="29" t="s">
        <v>175</v>
      </c>
      <c r="C126" s="76"/>
      <c r="D126" s="29"/>
      <c r="E126" s="29"/>
      <c r="F126" s="29"/>
      <c r="G126" s="29"/>
      <c r="H126" s="29" t="str">
        <f t="shared" si="1"/>
        <v/>
      </c>
      <c r="I126" s="29" t="str">
        <f t="shared" si="2"/>
        <v/>
      </c>
      <c r="J126" s="29" t="str">
        <f>IF(A126="", "", IFERROR(VLOOKUP(A126, 'Master Roster'!A:H, 8, FALSE) - F126, ""))</f>
        <v/>
      </c>
      <c r="K126" s="29" t="s">
        <v>175</v>
      </c>
      <c r="L126" s="29" t="b">
        <v>0</v>
      </c>
      <c r="M126" s="29"/>
      <c r="N126" s="29" t="s">
        <v>175</v>
      </c>
      <c r="O126" s="29" t="str">
        <f>IF(ISBLANK(A126), "", LET(entry_day, VLOOKUP(A126, 'Master Roster'!$A:$G, 7, FALSE), start_date, DATE(E126, MONTH(D126&amp;" 1"), entry_day), end_date, EDATE(start_date, 1), period, TEXT(start_date, "mmm d, yyyy") &amp; " - " &amp; TEXT(end_date, "mmm d, yyyy"), HYPERLINK("https://wa.me/" &amp; VLOOKUP(A126, 'Master Roster'!$A:$F, 6, FALSE) &amp; "?text=" &amp; ENCODEURL("Hello " &amp; IFERROR(IF(VLOOKUP(A126, 'Master Roster'!$A:$J, 10, FALSE)="Male", "Mr. ", "Ms. "), "") &amp; B126 &amp; ", payment of K" &amp; F126 &amp; " received for " &amp; period &amp; ". Receipt No: " &amp; N126), "Send Receipt")))</f>
        <v/>
      </c>
    </row>
    <row r="127">
      <c r="A127" s="29"/>
      <c r="B127" s="29" t="s">
        <v>175</v>
      </c>
      <c r="C127" s="76"/>
      <c r="D127" s="29"/>
      <c r="E127" s="29"/>
      <c r="F127" s="29"/>
      <c r="G127" s="29"/>
      <c r="H127" s="29" t="str">
        <f t="shared" si="1"/>
        <v/>
      </c>
      <c r="I127" s="29" t="str">
        <f t="shared" si="2"/>
        <v/>
      </c>
      <c r="J127" s="29" t="str">
        <f>IF(A127="", "", IFERROR(VLOOKUP(A127, 'Master Roster'!A:H, 8, FALSE) - F127, ""))</f>
        <v/>
      </c>
      <c r="K127" s="29" t="s">
        <v>175</v>
      </c>
      <c r="L127" s="29" t="b">
        <v>0</v>
      </c>
      <c r="M127" s="29"/>
      <c r="N127" s="29" t="s">
        <v>175</v>
      </c>
      <c r="O127" s="29" t="str">
        <f>IF(ISBLANK(A127), "", LET(entry_day, VLOOKUP(A127, 'Master Roster'!$A:$G, 7, FALSE), start_date, DATE(E127, MONTH(D127&amp;" 1"), entry_day), end_date, EDATE(start_date, 1), period, TEXT(start_date, "mmm d, yyyy") &amp; " - " &amp; TEXT(end_date, "mmm d, yyyy"), HYPERLINK("https://wa.me/" &amp; VLOOKUP(A127, 'Master Roster'!$A:$F, 6, FALSE) &amp; "?text=" &amp; ENCODEURL("Hello " &amp; IFERROR(IF(VLOOKUP(A127, 'Master Roster'!$A:$J, 10, FALSE)="Male", "Mr. ", "Ms. "), "") &amp; B127 &amp; ", payment of K" &amp; F127 &amp; " received for " &amp; period &amp; ". Receipt No: " &amp; N127), "Send Receipt")))</f>
        <v/>
      </c>
    </row>
    <row r="128">
      <c r="A128" s="29"/>
      <c r="B128" s="29" t="s">
        <v>175</v>
      </c>
      <c r="C128" s="76"/>
      <c r="D128" s="29"/>
      <c r="E128" s="29"/>
      <c r="F128" s="29"/>
      <c r="G128" s="29"/>
      <c r="H128" s="29" t="str">
        <f t="shared" si="1"/>
        <v/>
      </c>
      <c r="I128" s="29" t="str">
        <f t="shared" si="2"/>
        <v/>
      </c>
      <c r="J128" s="29" t="str">
        <f>IF(A128="", "", IFERROR(VLOOKUP(A128, 'Master Roster'!A:H, 8, FALSE) - F128, ""))</f>
        <v/>
      </c>
      <c r="K128" s="29" t="s">
        <v>175</v>
      </c>
      <c r="L128" s="29" t="b">
        <v>0</v>
      </c>
      <c r="M128" s="29"/>
      <c r="N128" s="29" t="s">
        <v>175</v>
      </c>
      <c r="O128" s="29" t="str">
        <f>IF(ISBLANK(A128), "", LET(entry_day, VLOOKUP(A128, 'Master Roster'!$A:$G, 7, FALSE), start_date, DATE(E128, MONTH(D128&amp;" 1"), entry_day), end_date, EDATE(start_date, 1), period, TEXT(start_date, "mmm d, yyyy") &amp; " - " &amp; TEXT(end_date, "mmm d, yyyy"), HYPERLINK("https://wa.me/" &amp; VLOOKUP(A128, 'Master Roster'!$A:$F, 6, FALSE) &amp; "?text=" &amp; ENCODEURL("Hello " &amp; IFERROR(IF(VLOOKUP(A128, 'Master Roster'!$A:$J, 10, FALSE)="Male", "Mr. ", "Ms. "), "") &amp; B128 &amp; ", payment of K" &amp; F128 &amp; " received for " &amp; period &amp; ". Receipt No: " &amp; N128), "Send Receipt")))</f>
        <v/>
      </c>
    </row>
    <row r="129">
      <c r="A129" s="29"/>
      <c r="B129" s="29" t="s">
        <v>175</v>
      </c>
      <c r="C129" s="76"/>
      <c r="D129" s="29"/>
      <c r="E129" s="29"/>
      <c r="F129" s="29"/>
      <c r="G129" s="29"/>
      <c r="H129" s="29" t="str">
        <f t="shared" si="1"/>
        <v/>
      </c>
      <c r="I129" s="29" t="str">
        <f t="shared" si="2"/>
        <v/>
      </c>
      <c r="J129" s="29" t="str">
        <f>IF(A129="", "", IFERROR(VLOOKUP(A129, 'Master Roster'!A:H, 8, FALSE) - F129, ""))</f>
        <v/>
      </c>
      <c r="K129" s="29" t="s">
        <v>175</v>
      </c>
      <c r="L129" s="29" t="b">
        <v>0</v>
      </c>
      <c r="M129" s="29"/>
      <c r="N129" s="29" t="s">
        <v>175</v>
      </c>
      <c r="O129" s="29" t="str">
        <f>IF(ISBLANK(A129), "", LET(entry_day, VLOOKUP(A129, 'Master Roster'!$A:$G, 7, FALSE), start_date, DATE(E129, MONTH(D129&amp;" 1"), entry_day), end_date, EDATE(start_date, 1), period, TEXT(start_date, "mmm d, yyyy") &amp; " - " &amp; TEXT(end_date, "mmm d, yyyy"), HYPERLINK("https://wa.me/" &amp; VLOOKUP(A129, 'Master Roster'!$A:$F, 6, FALSE) &amp; "?text=" &amp; ENCODEURL("Hello " &amp; IFERROR(IF(VLOOKUP(A129, 'Master Roster'!$A:$J, 10, FALSE)="Male", "Mr. ", "Ms. "), "") &amp; B129 &amp; ", payment of K" &amp; F129 &amp; " received for " &amp; period &amp; ". Receipt No: " &amp; N129), "Send Receipt")))</f>
        <v/>
      </c>
    </row>
    <row r="130">
      <c r="A130" s="29"/>
      <c r="B130" s="29" t="s">
        <v>175</v>
      </c>
      <c r="C130" s="76"/>
      <c r="D130" s="29"/>
      <c r="E130" s="29"/>
      <c r="F130" s="29"/>
      <c r="G130" s="29"/>
      <c r="H130" s="29" t="str">
        <f t="shared" si="1"/>
        <v/>
      </c>
      <c r="I130" s="29" t="str">
        <f t="shared" si="2"/>
        <v/>
      </c>
      <c r="J130" s="29" t="str">
        <f>IF(A130="", "", IFERROR(VLOOKUP(A130, 'Master Roster'!A:H, 8, FALSE) - F130, ""))</f>
        <v/>
      </c>
      <c r="K130" s="29" t="s">
        <v>175</v>
      </c>
      <c r="L130" s="29" t="b">
        <v>0</v>
      </c>
      <c r="M130" s="29"/>
      <c r="N130" s="29" t="s">
        <v>175</v>
      </c>
      <c r="O130" s="29" t="str">
        <f>IF(ISBLANK(A130), "", LET(entry_day, VLOOKUP(A130, 'Master Roster'!$A:$G, 7, FALSE), start_date, DATE(E130, MONTH(D130&amp;" 1"), entry_day), end_date, EDATE(start_date, 1), period, TEXT(start_date, "mmm d, yyyy") &amp; " - " &amp; TEXT(end_date, "mmm d, yyyy"), HYPERLINK("https://wa.me/" &amp; VLOOKUP(A130, 'Master Roster'!$A:$F, 6, FALSE) &amp; "?text=" &amp; ENCODEURL("Hello " &amp; IFERROR(IF(VLOOKUP(A130, 'Master Roster'!$A:$J, 10, FALSE)="Male", "Mr. ", "Ms. "), "") &amp; B130 &amp; ", payment of K" &amp; F130 &amp; " received for " &amp; period &amp; ". Receipt No: " &amp; N130), "Send Receipt")))</f>
        <v/>
      </c>
    </row>
    <row r="131">
      <c r="A131" s="29"/>
      <c r="B131" s="29" t="s">
        <v>175</v>
      </c>
      <c r="C131" s="76"/>
      <c r="D131" s="29"/>
      <c r="E131" s="29"/>
      <c r="F131" s="29"/>
      <c r="G131" s="29"/>
      <c r="H131" s="29" t="str">
        <f t="shared" si="1"/>
        <v/>
      </c>
      <c r="I131" s="29" t="str">
        <f t="shared" si="2"/>
        <v/>
      </c>
      <c r="J131" s="29" t="str">
        <f>IF(A131="", "", IFERROR(VLOOKUP(A131, 'Master Roster'!A:H, 8, FALSE) - F131, ""))</f>
        <v/>
      </c>
      <c r="K131" s="29" t="s">
        <v>175</v>
      </c>
      <c r="L131" s="29" t="b">
        <v>0</v>
      </c>
      <c r="M131" s="29"/>
      <c r="N131" s="29" t="s">
        <v>175</v>
      </c>
      <c r="O131" s="29" t="str">
        <f>IF(ISBLANK(A131), "", LET(entry_day, VLOOKUP(A131, 'Master Roster'!$A:$G, 7, FALSE), start_date, DATE(E131, MONTH(D131&amp;" 1"), entry_day), end_date, EDATE(start_date, 1), period, TEXT(start_date, "mmm d, yyyy") &amp; " - " &amp; TEXT(end_date, "mmm d, yyyy"), HYPERLINK("https://wa.me/" &amp; VLOOKUP(A131, 'Master Roster'!$A:$F, 6, FALSE) &amp; "?text=" &amp; ENCODEURL("Hello " &amp; IFERROR(IF(VLOOKUP(A131, 'Master Roster'!$A:$J, 10, FALSE)="Male", "Mr. ", "Ms. "), "") &amp; B131 &amp; ", payment of K" &amp; F131 &amp; " received for " &amp; period &amp; ". Receipt No: " &amp; N131), "Send Receipt")))</f>
        <v/>
      </c>
    </row>
    <row r="132">
      <c r="A132" s="29"/>
      <c r="B132" s="29" t="s">
        <v>175</v>
      </c>
      <c r="C132" s="76"/>
      <c r="D132" s="29"/>
      <c r="E132" s="29"/>
      <c r="F132" s="29"/>
      <c r="G132" s="29"/>
      <c r="H132" s="29" t="str">
        <f t="shared" si="1"/>
        <v/>
      </c>
      <c r="I132" s="29" t="str">
        <f t="shared" si="2"/>
        <v/>
      </c>
      <c r="J132" s="29" t="str">
        <f>IF(A132="", "", IFERROR(VLOOKUP(A132, 'Master Roster'!A:H, 8, FALSE) - F132, ""))</f>
        <v/>
      </c>
      <c r="K132" s="29" t="s">
        <v>175</v>
      </c>
      <c r="L132" s="29" t="b">
        <v>0</v>
      </c>
      <c r="M132" s="29"/>
      <c r="N132" s="29" t="s">
        <v>175</v>
      </c>
      <c r="O132" s="29" t="str">
        <f>IF(ISBLANK(A132), "", LET(entry_day, VLOOKUP(A132, 'Master Roster'!$A:$G, 7, FALSE), start_date, DATE(E132, MONTH(D132&amp;" 1"), entry_day), end_date, EDATE(start_date, 1), period, TEXT(start_date, "mmm d, yyyy") &amp; " - " &amp; TEXT(end_date, "mmm d, yyyy"), HYPERLINK("https://wa.me/" &amp; VLOOKUP(A132, 'Master Roster'!$A:$F, 6, FALSE) &amp; "?text=" &amp; ENCODEURL("Hello " &amp; IFERROR(IF(VLOOKUP(A132, 'Master Roster'!$A:$J, 10, FALSE)="Male", "Mr. ", "Ms. "), "") &amp; B132 &amp; ", payment of K" &amp; F132 &amp; " received for " &amp; period &amp; ". Receipt No: " &amp; N132), "Send Receipt")))</f>
        <v/>
      </c>
    </row>
    <row r="133">
      <c r="A133" s="29"/>
      <c r="B133" s="29" t="s">
        <v>175</v>
      </c>
      <c r="C133" s="76"/>
      <c r="D133" s="29"/>
      <c r="E133" s="29"/>
      <c r="F133" s="29"/>
      <c r="G133" s="29"/>
      <c r="H133" s="29" t="str">
        <f t="shared" si="1"/>
        <v/>
      </c>
      <c r="I133" s="29" t="str">
        <f t="shared" si="2"/>
        <v/>
      </c>
      <c r="J133" s="29" t="str">
        <f>IF(A133="", "", IFERROR(VLOOKUP(A133, 'Master Roster'!A:H, 8, FALSE) - F133, ""))</f>
        <v/>
      </c>
      <c r="K133" s="29" t="s">
        <v>175</v>
      </c>
      <c r="L133" s="29" t="b">
        <v>0</v>
      </c>
      <c r="M133" s="29"/>
      <c r="N133" s="29" t="s">
        <v>175</v>
      </c>
      <c r="O133" s="29" t="str">
        <f>IF(ISBLANK(A133), "", LET(entry_day, VLOOKUP(A133, 'Master Roster'!$A:$G, 7, FALSE), start_date, DATE(E133, MONTH(D133&amp;" 1"), entry_day), end_date, EDATE(start_date, 1), period, TEXT(start_date, "mmm d, yyyy") &amp; " - " &amp; TEXT(end_date, "mmm d, yyyy"), HYPERLINK("https://wa.me/" &amp; VLOOKUP(A133, 'Master Roster'!$A:$F, 6, FALSE) &amp; "?text=" &amp; ENCODEURL("Hello " &amp; IFERROR(IF(VLOOKUP(A133, 'Master Roster'!$A:$J, 10, FALSE)="Male", "Mr. ", "Ms. "), "") &amp; B133 &amp; ", payment of K" &amp; F133 &amp; " received for " &amp; period &amp; ". Receipt No: " &amp; N133), "Send Receipt")))</f>
        <v/>
      </c>
    </row>
    <row r="134">
      <c r="A134" s="29"/>
      <c r="B134" s="29" t="s">
        <v>175</v>
      </c>
      <c r="C134" s="76"/>
      <c r="D134" s="29"/>
      <c r="E134" s="29"/>
      <c r="F134" s="29"/>
      <c r="G134" s="29"/>
      <c r="H134" s="29" t="str">
        <f t="shared" si="1"/>
        <v/>
      </c>
      <c r="I134" s="29" t="str">
        <f t="shared" si="2"/>
        <v/>
      </c>
      <c r="J134" s="29" t="str">
        <f>IF(A134="", "", IFERROR(VLOOKUP(A134, 'Master Roster'!A:H, 8, FALSE) - F134, ""))</f>
        <v/>
      </c>
      <c r="K134" s="29" t="s">
        <v>175</v>
      </c>
      <c r="L134" s="29" t="b">
        <v>0</v>
      </c>
      <c r="M134" s="29"/>
      <c r="N134" s="29" t="s">
        <v>175</v>
      </c>
      <c r="O134" s="29" t="str">
        <f>IF(ISBLANK(A134), "", LET(entry_day, VLOOKUP(A134, 'Master Roster'!$A:$G, 7, FALSE), start_date, DATE(E134, MONTH(D134&amp;" 1"), entry_day), end_date, EDATE(start_date, 1), period, TEXT(start_date, "mmm d, yyyy") &amp; " - " &amp; TEXT(end_date, "mmm d, yyyy"), HYPERLINK("https://wa.me/" &amp; VLOOKUP(A134, 'Master Roster'!$A:$F, 6, FALSE) &amp; "?text=" &amp; ENCODEURL("Hello " &amp; IFERROR(IF(VLOOKUP(A134, 'Master Roster'!$A:$J, 10, FALSE)="Male", "Mr. ", "Ms. "), "") &amp; B134 &amp; ", payment of K" &amp; F134 &amp; " received for " &amp; period &amp; ". Receipt No: " &amp; N134), "Send Receipt")))</f>
        <v/>
      </c>
    </row>
    <row r="135">
      <c r="A135" s="29"/>
      <c r="B135" s="29" t="s">
        <v>175</v>
      </c>
      <c r="C135" s="76"/>
      <c r="D135" s="29"/>
      <c r="E135" s="29"/>
      <c r="F135" s="29"/>
      <c r="G135" s="29"/>
      <c r="H135" s="29" t="str">
        <f t="shared" si="1"/>
        <v/>
      </c>
      <c r="I135" s="29" t="str">
        <f t="shared" si="2"/>
        <v/>
      </c>
      <c r="J135" s="29" t="str">
        <f>IF(A135="", "", IFERROR(VLOOKUP(A135, 'Master Roster'!A:H, 8, FALSE) - F135, ""))</f>
        <v/>
      </c>
      <c r="K135" s="29" t="s">
        <v>175</v>
      </c>
      <c r="L135" s="29" t="b">
        <v>0</v>
      </c>
      <c r="M135" s="29"/>
      <c r="N135" s="29" t="s">
        <v>175</v>
      </c>
      <c r="O135" s="29" t="str">
        <f>IF(ISBLANK(A135), "", LET(entry_day, VLOOKUP(A135, 'Master Roster'!$A:$G, 7, FALSE), start_date, DATE(E135, MONTH(D135&amp;" 1"), entry_day), end_date, EDATE(start_date, 1), period, TEXT(start_date, "mmm d, yyyy") &amp; " - " &amp; TEXT(end_date, "mmm d, yyyy"), HYPERLINK("https://wa.me/" &amp; VLOOKUP(A135, 'Master Roster'!$A:$F, 6, FALSE) &amp; "?text=" &amp; ENCODEURL("Hello " &amp; IFERROR(IF(VLOOKUP(A135, 'Master Roster'!$A:$J, 10, FALSE)="Male", "Mr. ", "Ms. "), "") &amp; B135 &amp; ", payment of K" &amp; F135 &amp; " received for " &amp; period &amp; ". Receipt No: " &amp; N135), "Send Receipt")))</f>
        <v/>
      </c>
    </row>
    <row r="136">
      <c r="A136" s="29"/>
      <c r="B136" s="29" t="s">
        <v>175</v>
      </c>
      <c r="C136" s="76"/>
      <c r="D136" s="29"/>
      <c r="E136" s="29"/>
      <c r="F136" s="29"/>
      <c r="G136" s="29"/>
      <c r="H136" s="29" t="str">
        <f t="shared" si="1"/>
        <v/>
      </c>
      <c r="I136" s="29" t="str">
        <f t="shared" si="2"/>
        <v/>
      </c>
      <c r="J136" s="29" t="str">
        <f>IF(A136="", "", IFERROR(VLOOKUP(A136, 'Master Roster'!A:H, 8, FALSE) - F136, ""))</f>
        <v/>
      </c>
      <c r="K136" s="29" t="s">
        <v>175</v>
      </c>
      <c r="L136" s="29" t="b">
        <v>0</v>
      </c>
      <c r="M136" s="29"/>
      <c r="N136" s="29" t="s">
        <v>175</v>
      </c>
      <c r="O136" s="29" t="str">
        <f>IF(ISBLANK(A136), "", LET(entry_day, VLOOKUP(A136, 'Master Roster'!$A:$G, 7, FALSE), start_date, DATE(E136, MONTH(D136&amp;" 1"), entry_day), end_date, EDATE(start_date, 1), period, TEXT(start_date, "mmm d, yyyy") &amp; " - " &amp; TEXT(end_date, "mmm d, yyyy"), HYPERLINK("https://wa.me/" &amp; VLOOKUP(A136, 'Master Roster'!$A:$F, 6, FALSE) &amp; "?text=" &amp; ENCODEURL("Hello " &amp; IFERROR(IF(VLOOKUP(A136, 'Master Roster'!$A:$J, 10, FALSE)="Male", "Mr. ", "Ms. "), "") &amp; B136 &amp; ", payment of K" &amp; F136 &amp; " received for " &amp; period &amp; ". Receipt No: " &amp; N136), "Send Receipt")))</f>
        <v/>
      </c>
    </row>
    <row r="137">
      <c r="A137" s="29"/>
      <c r="B137" s="29" t="s">
        <v>175</v>
      </c>
      <c r="C137" s="76"/>
      <c r="D137" s="29"/>
      <c r="E137" s="29"/>
      <c r="F137" s="29"/>
      <c r="G137" s="29"/>
      <c r="H137" s="29" t="str">
        <f t="shared" si="1"/>
        <v/>
      </c>
      <c r="I137" s="29" t="str">
        <f t="shared" si="2"/>
        <v/>
      </c>
      <c r="J137" s="29" t="str">
        <f>IF(A137="", "", IFERROR(VLOOKUP(A137, 'Master Roster'!A:H, 8, FALSE) - F137, ""))</f>
        <v/>
      </c>
      <c r="K137" s="29" t="s">
        <v>175</v>
      </c>
      <c r="L137" s="29" t="b">
        <v>0</v>
      </c>
      <c r="M137" s="29"/>
      <c r="N137" s="29" t="s">
        <v>175</v>
      </c>
      <c r="O137" s="29" t="str">
        <f>IF(ISBLANK(A137), "", LET(entry_day, VLOOKUP(A137, 'Master Roster'!$A:$G, 7, FALSE), start_date, DATE(E137, MONTH(D137&amp;" 1"), entry_day), end_date, EDATE(start_date, 1), period, TEXT(start_date, "mmm d, yyyy") &amp; " - " &amp; TEXT(end_date, "mmm d, yyyy"), HYPERLINK("https://wa.me/" &amp; VLOOKUP(A137, 'Master Roster'!$A:$F, 6, FALSE) &amp; "?text=" &amp; ENCODEURL("Hello " &amp; IFERROR(IF(VLOOKUP(A137, 'Master Roster'!$A:$J, 10, FALSE)="Male", "Mr. ", "Ms. "), "") &amp; B137 &amp; ", payment of K" &amp; F137 &amp; " received for " &amp; period &amp; ". Receipt No: " &amp; N137), "Send Receipt")))</f>
        <v/>
      </c>
    </row>
    <row r="138">
      <c r="A138" s="29"/>
      <c r="B138" s="29" t="s">
        <v>175</v>
      </c>
      <c r="C138" s="76"/>
      <c r="D138" s="29"/>
      <c r="E138" s="29"/>
      <c r="F138" s="29"/>
      <c r="G138" s="29"/>
      <c r="H138" s="29" t="str">
        <f t="shared" si="1"/>
        <v/>
      </c>
      <c r="I138" s="29" t="str">
        <f t="shared" si="2"/>
        <v/>
      </c>
      <c r="J138" s="29" t="str">
        <f>IF(A138="", "", IFERROR(VLOOKUP(A138, 'Master Roster'!A:H, 8, FALSE) - F138, ""))</f>
        <v/>
      </c>
      <c r="K138" s="29" t="s">
        <v>175</v>
      </c>
      <c r="L138" s="29" t="b">
        <v>0</v>
      </c>
      <c r="M138" s="29"/>
      <c r="N138" s="29" t="s">
        <v>175</v>
      </c>
      <c r="O138" s="29" t="str">
        <f>IF(ISBLANK(A138), "", LET(entry_day, VLOOKUP(A138, 'Master Roster'!$A:$G, 7, FALSE), start_date, DATE(E138, MONTH(D138&amp;" 1"), entry_day), end_date, EDATE(start_date, 1), period, TEXT(start_date, "mmm d, yyyy") &amp; " - " &amp; TEXT(end_date, "mmm d, yyyy"), HYPERLINK("https://wa.me/" &amp; VLOOKUP(A138, 'Master Roster'!$A:$F, 6, FALSE) &amp; "?text=" &amp; ENCODEURL("Hello " &amp; IFERROR(IF(VLOOKUP(A138, 'Master Roster'!$A:$J, 10, FALSE)="Male", "Mr. ", "Ms. "), "") &amp; B138 &amp; ", payment of K" &amp; F138 &amp; " received for " &amp; period &amp; ". Receipt No: " &amp; N138), "Send Receipt")))</f>
        <v/>
      </c>
    </row>
    <row r="139">
      <c r="A139" s="29"/>
      <c r="B139" s="29" t="s">
        <v>175</v>
      </c>
      <c r="C139" s="76"/>
      <c r="D139" s="29"/>
      <c r="E139" s="29"/>
      <c r="F139" s="29"/>
      <c r="G139" s="29"/>
      <c r="H139" s="29" t="str">
        <f t="shared" si="1"/>
        <v/>
      </c>
      <c r="I139" s="29" t="str">
        <f t="shared" si="2"/>
        <v/>
      </c>
      <c r="J139" s="29" t="str">
        <f>IF(A139="", "", IFERROR(VLOOKUP(A139, 'Master Roster'!A:H, 8, FALSE) - F139, ""))</f>
        <v/>
      </c>
      <c r="K139" s="29" t="s">
        <v>175</v>
      </c>
      <c r="L139" s="29" t="b">
        <v>0</v>
      </c>
      <c r="M139" s="29"/>
      <c r="N139" s="29" t="s">
        <v>175</v>
      </c>
      <c r="O139" s="29" t="str">
        <f>IF(ISBLANK(A139), "", LET(entry_day, VLOOKUP(A139, 'Master Roster'!$A:$G, 7, FALSE), start_date, DATE(E139, MONTH(D139&amp;" 1"), entry_day), end_date, EDATE(start_date, 1), period, TEXT(start_date, "mmm d, yyyy") &amp; " - " &amp; TEXT(end_date, "mmm d, yyyy"), HYPERLINK("https://wa.me/" &amp; VLOOKUP(A139, 'Master Roster'!$A:$F, 6, FALSE) &amp; "?text=" &amp; ENCODEURL("Hello " &amp; IFERROR(IF(VLOOKUP(A139, 'Master Roster'!$A:$J, 10, FALSE)="Male", "Mr. ", "Ms. "), "") &amp; B139 &amp; ", payment of K" &amp; F139 &amp; " received for " &amp; period &amp; ". Receipt No: " &amp; N139), "Send Receipt")))</f>
        <v/>
      </c>
    </row>
    <row r="140">
      <c r="A140" s="29"/>
      <c r="B140" s="29" t="s">
        <v>175</v>
      </c>
      <c r="C140" s="76"/>
      <c r="D140" s="29"/>
      <c r="E140" s="29"/>
      <c r="F140" s="29"/>
      <c r="G140" s="29"/>
      <c r="H140" s="29" t="str">
        <f t="shared" si="1"/>
        <v/>
      </c>
      <c r="I140" s="29" t="str">
        <f t="shared" si="2"/>
        <v/>
      </c>
      <c r="J140" s="29" t="str">
        <f>IF(A140="", "", IFERROR(VLOOKUP(A140, 'Master Roster'!A:H, 8, FALSE) - F140, ""))</f>
        <v/>
      </c>
      <c r="K140" s="29" t="s">
        <v>175</v>
      </c>
      <c r="L140" s="29" t="b">
        <v>0</v>
      </c>
      <c r="M140" s="29"/>
      <c r="N140" s="29" t="s">
        <v>175</v>
      </c>
      <c r="O140" s="29" t="str">
        <f>IF(ISBLANK(A140), "", LET(entry_day, VLOOKUP(A140, 'Master Roster'!$A:$G, 7, FALSE), start_date, DATE(E140, MONTH(D140&amp;" 1"), entry_day), end_date, EDATE(start_date, 1), period, TEXT(start_date, "mmm d, yyyy") &amp; " - " &amp; TEXT(end_date, "mmm d, yyyy"), HYPERLINK("https://wa.me/" &amp; VLOOKUP(A140, 'Master Roster'!$A:$F, 6, FALSE) &amp; "?text=" &amp; ENCODEURL("Hello " &amp; IFERROR(IF(VLOOKUP(A140, 'Master Roster'!$A:$J, 10, FALSE)="Male", "Mr. ", "Ms. "), "") &amp; B140 &amp; ", payment of K" &amp; F140 &amp; " received for " &amp; period &amp; ". Receipt No: " &amp; N140), "Send Receipt")))</f>
        <v/>
      </c>
    </row>
    <row r="141">
      <c r="A141" s="29"/>
      <c r="B141" s="29" t="s">
        <v>175</v>
      </c>
      <c r="C141" s="76"/>
      <c r="D141" s="29"/>
      <c r="E141" s="29"/>
      <c r="F141" s="29"/>
      <c r="G141" s="29"/>
      <c r="H141" s="29" t="str">
        <f t="shared" si="1"/>
        <v/>
      </c>
      <c r="I141" s="29" t="str">
        <f t="shared" si="2"/>
        <v/>
      </c>
      <c r="J141" s="29" t="str">
        <f>IF(A141="", "", IFERROR(VLOOKUP(A141, 'Master Roster'!A:H, 8, FALSE) - F141, ""))</f>
        <v/>
      </c>
      <c r="K141" s="29" t="s">
        <v>175</v>
      </c>
      <c r="L141" s="29" t="b">
        <v>0</v>
      </c>
      <c r="M141" s="29"/>
      <c r="N141" s="29" t="s">
        <v>175</v>
      </c>
      <c r="O141" s="29" t="str">
        <f>IF(ISBLANK(A141), "", LET(entry_day, VLOOKUP(A141, 'Master Roster'!$A:$G, 7, FALSE), start_date, DATE(E141, MONTH(D141&amp;" 1"), entry_day), end_date, EDATE(start_date, 1), period, TEXT(start_date, "mmm d, yyyy") &amp; " - " &amp; TEXT(end_date, "mmm d, yyyy"), HYPERLINK("https://wa.me/" &amp; VLOOKUP(A141, 'Master Roster'!$A:$F, 6, FALSE) &amp; "?text=" &amp; ENCODEURL("Hello " &amp; IFERROR(IF(VLOOKUP(A141, 'Master Roster'!$A:$J, 10, FALSE)="Male", "Mr. ", "Ms. "), "") &amp; B141 &amp; ", payment of K" &amp; F141 &amp; " received for " &amp; period &amp; ". Receipt No: " &amp; N141), "Send Receipt")))</f>
        <v/>
      </c>
    </row>
    <row r="142">
      <c r="A142" s="29"/>
      <c r="B142" s="29" t="s">
        <v>175</v>
      </c>
      <c r="C142" s="76"/>
      <c r="D142" s="29"/>
      <c r="E142" s="29"/>
      <c r="F142" s="29"/>
      <c r="G142" s="29"/>
      <c r="H142" s="29" t="str">
        <f t="shared" si="1"/>
        <v/>
      </c>
      <c r="I142" s="29" t="str">
        <f t="shared" si="2"/>
        <v/>
      </c>
      <c r="J142" s="29" t="str">
        <f>IF(A142="", "", IFERROR(VLOOKUP(A142, 'Master Roster'!A:H, 8, FALSE) - F142, ""))</f>
        <v/>
      </c>
      <c r="K142" s="29" t="s">
        <v>175</v>
      </c>
      <c r="L142" s="29" t="b">
        <v>0</v>
      </c>
      <c r="M142" s="29"/>
      <c r="N142" s="29" t="s">
        <v>175</v>
      </c>
      <c r="O142" s="29" t="str">
        <f>IF(ISBLANK(A142), "", LET(entry_day, VLOOKUP(A142, 'Master Roster'!$A:$G, 7, FALSE), start_date, DATE(E142, MONTH(D142&amp;" 1"), entry_day), end_date, EDATE(start_date, 1), period, TEXT(start_date, "mmm d, yyyy") &amp; " - " &amp; TEXT(end_date, "mmm d, yyyy"), HYPERLINK("https://wa.me/" &amp; VLOOKUP(A142, 'Master Roster'!$A:$F, 6, FALSE) &amp; "?text=" &amp; ENCODEURL("Hello " &amp; IFERROR(IF(VLOOKUP(A142, 'Master Roster'!$A:$J, 10, FALSE)="Male", "Mr. ", "Ms. "), "") &amp; B142 &amp; ", payment of K" &amp; F142 &amp; " received for " &amp; period &amp; ". Receipt No: " &amp; N142), "Send Receipt")))</f>
        <v/>
      </c>
    </row>
    <row r="143">
      <c r="A143" s="29"/>
      <c r="B143" s="29" t="s">
        <v>175</v>
      </c>
      <c r="C143" s="76"/>
      <c r="D143" s="29"/>
      <c r="E143" s="29"/>
      <c r="F143" s="29"/>
      <c r="G143" s="29"/>
      <c r="H143" s="29" t="str">
        <f t="shared" si="1"/>
        <v/>
      </c>
      <c r="I143" s="29" t="str">
        <f t="shared" si="2"/>
        <v/>
      </c>
      <c r="J143" s="29" t="str">
        <f>IF(A143="", "", IFERROR(VLOOKUP(A143, 'Master Roster'!A:H, 8, FALSE) - F143, ""))</f>
        <v/>
      </c>
      <c r="K143" s="29" t="s">
        <v>175</v>
      </c>
      <c r="L143" s="29" t="b">
        <v>0</v>
      </c>
      <c r="M143" s="29"/>
      <c r="N143" s="29" t="s">
        <v>175</v>
      </c>
      <c r="O143" s="29" t="str">
        <f>IF(ISBLANK(A143), "", LET(entry_day, VLOOKUP(A143, 'Master Roster'!$A:$G, 7, FALSE), start_date, DATE(E143, MONTH(D143&amp;" 1"), entry_day), end_date, EDATE(start_date, 1), period, TEXT(start_date, "mmm d, yyyy") &amp; " - " &amp; TEXT(end_date, "mmm d, yyyy"), HYPERLINK("https://wa.me/" &amp; VLOOKUP(A143, 'Master Roster'!$A:$F, 6, FALSE) &amp; "?text=" &amp; ENCODEURL("Hello " &amp; IFERROR(IF(VLOOKUP(A143, 'Master Roster'!$A:$J, 10, FALSE)="Male", "Mr. ", "Ms. "), "") &amp; B143 &amp; ", payment of K" &amp; F143 &amp; " received for " &amp; period &amp; ". Receipt No: " &amp; N143), "Send Receipt")))</f>
        <v/>
      </c>
    </row>
    <row r="144">
      <c r="A144" s="29"/>
      <c r="B144" s="29" t="s">
        <v>175</v>
      </c>
      <c r="C144" s="76"/>
      <c r="D144" s="29"/>
      <c r="E144" s="29"/>
      <c r="F144" s="29"/>
      <c r="G144" s="29"/>
      <c r="H144" s="29" t="str">
        <f t="shared" si="1"/>
        <v/>
      </c>
      <c r="I144" s="29" t="str">
        <f t="shared" si="2"/>
        <v/>
      </c>
      <c r="J144" s="29" t="str">
        <f>IF(A144="", "", IFERROR(VLOOKUP(A144, 'Master Roster'!A:H, 8, FALSE) - F144, ""))</f>
        <v/>
      </c>
      <c r="K144" s="29" t="s">
        <v>175</v>
      </c>
      <c r="L144" s="29" t="b">
        <v>0</v>
      </c>
      <c r="M144" s="29"/>
      <c r="N144" s="29" t="s">
        <v>175</v>
      </c>
      <c r="O144" s="29" t="str">
        <f>IF(ISBLANK(A144), "", LET(entry_day, VLOOKUP(A144, 'Master Roster'!$A:$G, 7, FALSE), start_date, DATE(E144, MONTH(D144&amp;" 1"), entry_day), end_date, EDATE(start_date, 1), period, TEXT(start_date, "mmm d, yyyy") &amp; " - " &amp; TEXT(end_date, "mmm d, yyyy"), HYPERLINK("https://wa.me/" &amp; VLOOKUP(A144, 'Master Roster'!$A:$F, 6, FALSE) &amp; "?text=" &amp; ENCODEURL("Hello " &amp; IFERROR(IF(VLOOKUP(A144, 'Master Roster'!$A:$J, 10, FALSE)="Male", "Mr. ", "Ms. "), "") &amp; B144 &amp; ", payment of K" &amp; F144 &amp; " received for " &amp; period &amp; ". Receipt No: " &amp; N144), "Send Receipt")))</f>
        <v/>
      </c>
    </row>
    <row r="145">
      <c r="A145" s="29"/>
      <c r="B145" s="29" t="s">
        <v>175</v>
      </c>
      <c r="C145" s="76"/>
      <c r="D145" s="29"/>
      <c r="E145" s="29"/>
      <c r="F145" s="29"/>
      <c r="G145" s="29"/>
      <c r="H145" s="29" t="str">
        <f t="shared" si="1"/>
        <v/>
      </c>
      <c r="I145" s="29" t="str">
        <f t="shared" si="2"/>
        <v/>
      </c>
      <c r="J145" s="29" t="str">
        <f>IF(A145="", "", IFERROR(VLOOKUP(A145, 'Master Roster'!A:H, 8, FALSE) - F145, ""))</f>
        <v/>
      </c>
      <c r="K145" s="29" t="s">
        <v>175</v>
      </c>
      <c r="L145" s="29" t="b">
        <v>0</v>
      </c>
      <c r="M145" s="29"/>
      <c r="N145" s="29" t="s">
        <v>175</v>
      </c>
      <c r="O145" s="29" t="str">
        <f>IF(ISBLANK(A145), "", LET(entry_day, VLOOKUP(A145, 'Master Roster'!$A:$G, 7, FALSE), start_date, DATE(E145, MONTH(D145&amp;" 1"), entry_day), end_date, EDATE(start_date, 1), period, TEXT(start_date, "mmm d, yyyy") &amp; " - " &amp; TEXT(end_date, "mmm d, yyyy"), HYPERLINK("https://wa.me/" &amp; VLOOKUP(A145, 'Master Roster'!$A:$F, 6, FALSE) &amp; "?text=" &amp; ENCODEURL("Hello " &amp; IFERROR(IF(VLOOKUP(A145, 'Master Roster'!$A:$J, 10, FALSE)="Male", "Mr. ", "Ms. "), "") &amp; B145 &amp; ", payment of K" &amp; F145 &amp; " received for " &amp; period &amp; ". Receipt No: " &amp; N145), "Send Receipt")))</f>
        <v/>
      </c>
    </row>
    <row r="146">
      <c r="A146" s="29"/>
      <c r="B146" s="29" t="s">
        <v>175</v>
      </c>
      <c r="C146" s="76"/>
      <c r="D146" s="29"/>
      <c r="E146" s="29"/>
      <c r="F146" s="29"/>
      <c r="G146" s="29"/>
      <c r="H146" s="29" t="str">
        <f t="shared" si="1"/>
        <v/>
      </c>
      <c r="I146" s="29" t="str">
        <f t="shared" si="2"/>
        <v/>
      </c>
      <c r="J146" s="29" t="str">
        <f>IF(A146="", "", IFERROR(VLOOKUP(A146, 'Master Roster'!A:H, 8, FALSE) - F146, ""))</f>
        <v/>
      </c>
      <c r="K146" s="29" t="s">
        <v>175</v>
      </c>
      <c r="L146" s="29" t="b">
        <v>0</v>
      </c>
      <c r="M146" s="29"/>
      <c r="N146" s="29" t="s">
        <v>175</v>
      </c>
      <c r="O146" s="29" t="str">
        <f>IF(ISBLANK(A146), "", LET(entry_day, VLOOKUP(A146, 'Master Roster'!$A:$G, 7, FALSE), start_date, DATE(E146, MONTH(D146&amp;" 1"), entry_day), end_date, EDATE(start_date, 1), period, TEXT(start_date, "mmm d, yyyy") &amp; " - " &amp; TEXT(end_date, "mmm d, yyyy"), HYPERLINK("https://wa.me/" &amp; VLOOKUP(A146, 'Master Roster'!$A:$F, 6, FALSE) &amp; "?text=" &amp; ENCODEURL("Hello " &amp; IFERROR(IF(VLOOKUP(A146, 'Master Roster'!$A:$J, 10, FALSE)="Male", "Mr. ", "Ms. "), "") &amp; B146 &amp; ", payment of K" &amp; F146 &amp; " received for " &amp; period &amp; ". Receipt No: " &amp; N146), "Send Receipt")))</f>
        <v/>
      </c>
    </row>
    <row r="147">
      <c r="A147" s="29"/>
      <c r="B147" s="29" t="s">
        <v>175</v>
      </c>
      <c r="C147" s="76"/>
      <c r="D147" s="29"/>
      <c r="E147" s="29"/>
      <c r="F147" s="29"/>
      <c r="G147" s="29"/>
      <c r="H147" s="29" t="str">
        <f t="shared" si="1"/>
        <v/>
      </c>
      <c r="I147" s="29" t="str">
        <f t="shared" si="2"/>
        <v/>
      </c>
      <c r="J147" s="29" t="str">
        <f>IF(A147="", "", IFERROR(VLOOKUP(A147, 'Master Roster'!A:H, 8, FALSE) - F147, ""))</f>
        <v/>
      </c>
      <c r="K147" s="29" t="s">
        <v>175</v>
      </c>
      <c r="L147" s="29" t="b">
        <v>0</v>
      </c>
      <c r="M147" s="29"/>
      <c r="N147" s="29" t="s">
        <v>175</v>
      </c>
      <c r="O147" s="29" t="str">
        <f>IF(ISBLANK(A147), "", LET(entry_day, VLOOKUP(A147, 'Master Roster'!$A:$G, 7, FALSE), start_date, DATE(E147, MONTH(D147&amp;" 1"), entry_day), end_date, EDATE(start_date, 1), period, TEXT(start_date, "mmm d, yyyy") &amp; " - " &amp; TEXT(end_date, "mmm d, yyyy"), HYPERLINK("https://wa.me/" &amp; VLOOKUP(A147, 'Master Roster'!$A:$F, 6, FALSE) &amp; "?text=" &amp; ENCODEURL("Hello " &amp; IFERROR(IF(VLOOKUP(A147, 'Master Roster'!$A:$J, 10, FALSE)="Male", "Mr. ", "Ms. "), "") &amp; B147 &amp; ", payment of K" &amp; F147 &amp; " received for " &amp; period &amp; ". Receipt No: " &amp; N147), "Send Receipt")))</f>
        <v/>
      </c>
    </row>
    <row r="148">
      <c r="A148" s="29"/>
      <c r="B148" s="29" t="s">
        <v>175</v>
      </c>
      <c r="C148" s="76"/>
      <c r="D148" s="29"/>
      <c r="E148" s="29"/>
      <c r="F148" s="29"/>
      <c r="G148" s="29"/>
      <c r="H148" s="29" t="str">
        <f t="shared" si="1"/>
        <v/>
      </c>
      <c r="I148" s="29" t="str">
        <f t="shared" si="2"/>
        <v/>
      </c>
      <c r="J148" s="29" t="str">
        <f>IF(A148="", "", IFERROR(VLOOKUP(A148, 'Master Roster'!A:H, 8, FALSE) - F148, ""))</f>
        <v/>
      </c>
      <c r="K148" s="29" t="s">
        <v>175</v>
      </c>
      <c r="L148" s="29" t="b">
        <v>0</v>
      </c>
      <c r="M148" s="29"/>
      <c r="N148" s="29" t="s">
        <v>175</v>
      </c>
      <c r="O148" s="29" t="str">
        <f>IF(ISBLANK(A148), "", LET(entry_day, VLOOKUP(A148, 'Master Roster'!$A:$G, 7, FALSE), start_date, DATE(E148, MONTH(D148&amp;" 1"), entry_day), end_date, EDATE(start_date, 1), period, TEXT(start_date, "mmm d, yyyy") &amp; " - " &amp; TEXT(end_date, "mmm d, yyyy"), HYPERLINK("https://wa.me/" &amp; VLOOKUP(A148, 'Master Roster'!$A:$F, 6, FALSE) &amp; "?text=" &amp; ENCODEURL("Hello " &amp; IFERROR(IF(VLOOKUP(A148, 'Master Roster'!$A:$J, 10, FALSE)="Male", "Mr. ", "Ms. "), "") &amp; B148 &amp; ", payment of K" &amp; F148 &amp; " received for " &amp; period &amp; ". Receipt No: " &amp; N148), "Send Receipt")))</f>
        <v/>
      </c>
    </row>
    <row r="149">
      <c r="A149" s="29"/>
      <c r="B149" s="29" t="s">
        <v>175</v>
      </c>
      <c r="C149" s="76"/>
      <c r="D149" s="29"/>
      <c r="E149" s="29"/>
      <c r="F149" s="29"/>
      <c r="G149" s="29"/>
      <c r="H149" s="29" t="str">
        <f t="shared" si="1"/>
        <v/>
      </c>
      <c r="I149" s="29" t="str">
        <f t="shared" si="2"/>
        <v/>
      </c>
      <c r="J149" s="29" t="str">
        <f>IF(A149="", "", IFERROR(VLOOKUP(A149, 'Master Roster'!A:H, 8, FALSE) - F149, ""))</f>
        <v/>
      </c>
      <c r="K149" s="29" t="s">
        <v>175</v>
      </c>
      <c r="L149" s="29" t="b">
        <v>0</v>
      </c>
      <c r="M149" s="29"/>
      <c r="N149" s="29" t="s">
        <v>175</v>
      </c>
      <c r="O149" s="29" t="str">
        <f>IF(ISBLANK(A149), "", LET(entry_day, VLOOKUP(A149, 'Master Roster'!$A:$G, 7, FALSE), start_date, DATE(E149, MONTH(D149&amp;" 1"), entry_day), end_date, EDATE(start_date, 1), period, TEXT(start_date, "mmm d, yyyy") &amp; " - " &amp; TEXT(end_date, "mmm d, yyyy"), HYPERLINK("https://wa.me/" &amp; VLOOKUP(A149, 'Master Roster'!$A:$F, 6, FALSE) &amp; "?text=" &amp; ENCODEURL("Hello " &amp; IFERROR(IF(VLOOKUP(A149, 'Master Roster'!$A:$J, 10, FALSE)="Male", "Mr. ", "Ms. "), "") &amp; B149 &amp; ", payment of K" &amp; F149 &amp; " received for " &amp; period &amp; ". Receipt No: " &amp; N149), "Send Receipt")))</f>
        <v/>
      </c>
    </row>
    <row r="150">
      <c r="A150" s="29"/>
      <c r="B150" s="29" t="s">
        <v>175</v>
      </c>
      <c r="C150" s="76"/>
      <c r="D150" s="29"/>
      <c r="E150" s="29"/>
      <c r="F150" s="29"/>
      <c r="G150" s="29"/>
      <c r="H150" s="29" t="str">
        <f t="shared" si="1"/>
        <v/>
      </c>
      <c r="I150" s="29" t="str">
        <f t="shared" si="2"/>
        <v/>
      </c>
      <c r="J150" s="29" t="str">
        <f>IF(A150="", "", IFERROR(VLOOKUP(A150, 'Master Roster'!A:H, 8, FALSE) - F150, ""))</f>
        <v/>
      </c>
      <c r="K150" s="29" t="s">
        <v>175</v>
      </c>
      <c r="L150" s="29" t="b">
        <v>0</v>
      </c>
      <c r="M150" s="29"/>
      <c r="N150" s="29" t="s">
        <v>175</v>
      </c>
      <c r="O150" s="29" t="str">
        <f>IF(ISBLANK(A150), "", LET(entry_day, VLOOKUP(A150, 'Master Roster'!$A:$G, 7, FALSE), start_date, DATE(E150, MONTH(D150&amp;" 1"), entry_day), end_date, EDATE(start_date, 1), period, TEXT(start_date, "mmm d, yyyy") &amp; " - " &amp; TEXT(end_date, "mmm d, yyyy"), HYPERLINK("https://wa.me/" &amp; VLOOKUP(A150, 'Master Roster'!$A:$F, 6, FALSE) &amp; "?text=" &amp; ENCODEURL("Hello " &amp; IFERROR(IF(VLOOKUP(A150, 'Master Roster'!$A:$J, 10, FALSE)="Male", "Mr. ", "Ms. "), "") &amp; B150 &amp; ", payment of K" &amp; F150 &amp; " received for " &amp; period &amp; ". Receipt No: " &amp; N150), "Send Receipt")))</f>
        <v/>
      </c>
    </row>
    <row r="151">
      <c r="A151" s="29"/>
      <c r="B151" s="29" t="s">
        <v>175</v>
      </c>
      <c r="C151" s="76"/>
      <c r="D151" s="29"/>
      <c r="E151" s="29"/>
      <c r="F151" s="29"/>
      <c r="G151" s="29"/>
      <c r="H151" s="29" t="str">
        <f t="shared" si="1"/>
        <v/>
      </c>
      <c r="I151" s="29" t="str">
        <f t="shared" si="2"/>
        <v/>
      </c>
      <c r="J151" s="29" t="str">
        <f>IF(A151="", "", IFERROR(VLOOKUP(A151, 'Master Roster'!A:H, 8, FALSE) - F151, ""))</f>
        <v/>
      </c>
      <c r="K151" s="29" t="s">
        <v>175</v>
      </c>
      <c r="L151" s="29" t="b">
        <v>0</v>
      </c>
      <c r="M151" s="29"/>
      <c r="N151" s="29" t="s">
        <v>175</v>
      </c>
      <c r="O151" s="29" t="str">
        <f>IF(ISBLANK(A151), "", LET(entry_day, VLOOKUP(A151, 'Master Roster'!$A:$G, 7, FALSE), start_date, DATE(E151, MONTH(D151&amp;" 1"), entry_day), end_date, EDATE(start_date, 1), period, TEXT(start_date, "mmm d, yyyy") &amp; " - " &amp; TEXT(end_date, "mmm d, yyyy"), HYPERLINK("https://wa.me/" &amp; VLOOKUP(A151, 'Master Roster'!$A:$F, 6, FALSE) &amp; "?text=" &amp; ENCODEURL("Hello " &amp; IFERROR(IF(VLOOKUP(A151, 'Master Roster'!$A:$J, 10, FALSE)="Male", "Mr. ", "Ms. "), "") &amp; B151 &amp; ", payment of K" &amp; F151 &amp; " received for " &amp; period &amp; ". Receipt No: " &amp; N151), "Send Receipt")))</f>
        <v/>
      </c>
    </row>
    <row r="152">
      <c r="A152" s="29"/>
      <c r="B152" s="29" t="s">
        <v>175</v>
      </c>
      <c r="C152" s="76"/>
      <c r="D152" s="29"/>
      <c r="E152" s="29"/>
      <c r="F152" s="29"/>
      <c r="G152" s="29"/>
      <c r="H152" s="29" t="str">
        <f t="shared" si="1"/>
        <v/>
      </c>
      <c r="I152" s="29" t="str">
        <f t="shared" si="2"/>
        <v/>
      </c>
      <c r="J152" s="29" t="str">
        <f>IF(A152="", "", IFERROR(VLOOKUP(A152, 'Master Roster'!A:H, 8, FALSE) - F152, ""))</f>
        <v/>
      </c>
      <c r="K152" s="29" t="s">
        <v>175</v>
      </c>
      <c r="L152" s="29" t="b">
        <v>0</v>
      </c>
      <c r="M152" s="29"/>
      <c r="N152" s="29" t="s">
        <v>175</v>
      </c>
      <c r="O152" s="29" t="str">
        <f>IF(ISBLANK(A152), "", LET(entry_day, VLOOKUP(A152, 'Master Roster'!$A:$G, 7, FALSE), start_date, DATE(E152, MONTH(D152&amp;" 1"), entry_day), end_date, EDATE(start_date, 1), period, TEXT(start_date, "mmm d, yyyy") &amp; " - " &amp; TEXT(end_date, "mmm d, yyyy"), HYPERLINK("https://wa.me/" &amp; VLOOKUP(A152, 'Master Roster'!$A:$F, 6, FALSE) &amp; "?text=" &amp; ENCODEURL("Hello " &amp; IFERROR(IF(VLOOKUP(A152, 'Master Roster'!$A:$J, 10, FALSE)="Male", "Mr. ", "Ms. "), "") &amp; B152 &amp; ", payment of K" &amp; F152 &amp; " received for " &amp; period &amp; ". Receipt No: " &amp; N152), "Send Receipt")))</f>
        <v/>
      </c>
    </row>
    <row r="153">
      <c r="A153" s="29"/>
      <c r="B153" s="29" t="s">
        <v>175</v>
      </c>
      <c r="C153" s="76"/>
      <c r="D153" s="29"/>
      <c r="E153" s="29"/>
      <c r="F153" s="29"/>
      <c r="G153" s="29"/>
      <c r="H153" s="29" t="str">
        <f t="shared" si="1"/>
        <v/>
      </c>
      <c r="I153" s="29" t="str">
        <f t="shared" si="2"/>
        <v/>
      </c>
      <c r="J153" s="29" t="str">
        <f>IF(A153="", "", IFERROR(VLOOKUP(A153, 'Master Roster'!A:H, 8, FALSE) - F153, ""))</f>
        <v/>
      </c>
      <c r="K153" s="29" t="s">
        <v>175</v>
      </c>
      <c r="L153" s="29" t="b">
        <v>0</v>
      </c>
      <c r="M153" s="29"/>
      <c r="N153" s="29" t="s">
        <v>175</v>
      </c>
      <c r="O153" s="29" t="str">
        <f>IF(ISBLANK(A153), "", LET(entry_day, VLOOKUP(A153, 'Master Roster'!$A:$G, 7, FALSE), start_date, DATE(E153, MONTH(D153&amp;" 1"), entry_day), end_date, EDATE(start_date, 1), period, TEXT(start_date, "mmm d, yyyy") &amp; " - " &amp; TEXT(end_date, "mmm d, yyyy"), HYPERLINK("https://wa.me/" &amp; VLOOKUP(A153, 'Master Roster'!$A:$F, 6, FALSE) &amp; "?text=" &amp; ENCODEURL("Hello " &amp; IFERROR(IF(VLOOKUP(A153, 'Master Roster'!$A:$J, 10, FALSE)="Male", "Mr. ", "Ms. "), "") &amp; B153 &amp; ", payment of K" &amp; F153 &amp; " received for " &amp; period &amp; ". Receipt No: " &amp; N153), "Send Receipt")))</f>
        <v/>
      </c>
    </row>
    <row r="154">
      <c r="A154" s="29"/>
      <c r="B154" s="29" t="s">
        <v>175</v>
      </c>
      <c r="C154" s="76"/>
      <c r="D154" s="29"/>
      <c r="E154" s="29"/>
      <c r="F154" s="29"/>
      <c r="G154" s="29"/>
      <c r="H154" s="29" t="str">
        <f t="shared" si="1"/>
        <v/>
      </c>
      <c r="I154" s="29" t="str">
        <f t="shared" si="2"/>
        <v/>
      </c>
      <c r="J154" s="29" t="str">
        <f>IF(A154="", "", IFERROR(VLOOKUP(A154, 'Master Roster'!A:H, 8, FALSE) - F154, ""))</f>
        <v/>
      </c>
      <c r="K154" s="29" t="s">
        <v>175</v>
      </c>
      <c r="L154" s="29" t="b">
        <v>0</v>
      </c>
      <c r="M154" s="29"/>
      <c r="N154" s="29" t="s">
        <v>175</v>
      </c>
      <c r="O154" s="29" t="str">
        <f>IF(ISBLANK(A154), "", LET(entry_day, VLOOKUP(A154, 'Master Roster'!$A:$G, 7, FALSE), start_date, DATE(E154, MONTH(D154&amp;" 1"), entry_day), end_date, EDATE(start_date, 1), period, TEXT(start_date, "mmm d, yyyy") &amp; " - " &amp; TEXT(end_date, "mmm d, yyyy"), HYPERLINK("https://wa.me/" &amp; VLOOKUP(A154, 'Master Roster'!$A:$F, 6, FALSE) &amp; "?text=" &amp; ENCODEURL("Hello " &amp; IFERROR(IF(VLOOKUP(A154, 'Master Roster'!$A:$J, 10, FALSE)="Male", "Mr. ", "Ms. "), "") &amp; B154 &amp; ", payment of K" &amp; F154 &amp; " received for " &amp; period &amp; ". Receipt No: " &amp; N154), "Send Receipt")))</f>
        <v/>
      </c>
    </row>
    <row r="155">
      <c r="A155" s="29"/>
      <c r="B155" s="29" t="s">
        <v>175</v>
      </c>
      <c r="C155" s="76"/>
      <c r="D155" s="29"/>
      <c r="E155" s="29"/>
      <c r="F155" s="29"/>
      <c r="G155" s="29"/>
      <c r="H155" s="29" t="str">
        <f t="shared" si="1"/>
        <v/>
      </c>
      <c r="I155" s="29" t="str">
        <f t="shared" si="2"/>
        <v/>
      </c>
      <c r="J155" s="29" t="str">
        <f>IF(A155="", "", IFERROR(VLOOKUP(A155, 'Master Roster'!A:H, 8, FALSE) - F155, ""))</f>
        <v/>
      </c>
      <c r="K155" s="29" t="s">
        <v>175</v>
      </c>
      <c r="L155" s="29" t="b">
        <v>0</v>
      </c>
      <c r="M155" s="29"/>
      <c r="N155" s="29" t="s">
        <v>175</v>
      </c>
      <c r="O155" s="29" t="str">
        <f>IF(ISBLANK(A155), "", LET(entry_day, VLOOKUP(A155, 'Master Roster'!$A:$G, 7, FALSE), start_date, DATE(E155, MONTH(D155&amp;" 1"), entry_day), end_date, EDATE(start_date, 1), period, TEXT(start_date, "mmm d, yyyy") &amp; " - " &amp; TEXT(end_date, "mmm d, yyyy"), HYPERLINK("https://wa.me/" &amp; VLOOKUP(A155, 'Master Roster'!$A:$F, 6, FALSE) &amp; "?text=" &amp; ENCODEURL("Hello " &amp; IFERROR(IF(VLOOKUP(A155, 'Master Roster'!$A:$J, 10, FALSE)="Male", "Mr. ", "Ms. "), "") &amp; B155 &amp; ", payment of K" &amp; F155 &amp; " received for " &amp; period &amp; ". Receipt No: " &amp; N155), "Send Receipt")))</f>
        <v/>
      </c>
    </row>
    <row r="156">
      <c r="A156" s="29"/>
      <c r="B156" s="29" t="s">
        <v>175</v>
      </c>
      <c r="C156" s="76"/>
      <c r="D156" s="29"/>
      <c r="E156" s="29"/>
      <c r="F156" s="29"/>
      <c r="G156" s="29"/>
      <c r="H156" s="29" t="str">
        <f t="shared" si="1"/>
        <v/>
      </c>
      <c r="I156" s="29" t="str">
        <f t="shared" si="2"/>
        <v/>
      </c>
      <c r="J156" s="29" t="str">
        <f>IF(A156="", "", IFERROR(VLOOKUP(A156, 'Master Roster'!A:H, 8, FALSE) - F156, ""))</f>
        <v/>
      </c>
      <c r="K156" s="29" t="s">
        <v>175</v>
      </c>
      <c r="L156" s="29" t="b">
        <v>0</v>
      </c>
      <c r="M156" s="29"/>
      <c r="N156" s="29" t="s">
        <v>175</v>
      </c>
      <c r="O156" s="29" t="str">
        <f>IF(ISBLANK(A156), "", LET(entry_day, VLOOKUP(A156, 'Master Roster'!$A:$G, 7, FALSE), start_date, DATE(E156, MONTH(D156&amp;" 1"), entry_day), end_date, EDATE(start_date, 1), period, TEXT(start_date, "mmm d, yyyy") &amp; " - " &amp; TEXT(end_date, "mmm d, yyyy"), HYPERLINK("https://wa.me/" &amp; VLOOKUP(A156, 'Master Roster'!$A:$F, 6, FALSE) &amp; "?text=" &amp; ENCODEURL("Hello " &amp; IFERROR(IF(VLOOKUP(A156, 'Master Roster'!$A:$J, 10, FALSE)="Male", "Mr. ", "Ms. "), "") &amp; B156 &amp; ", payment of K" &amp; F156 &amp; " received for " &amp; period &amp; ". Receipt No: " &amp; N156), "Send Receipt")))</f>
        <v/>
      </c>
    </row>
    <row r="157">
      <c r="A157" s="29"/>
      <c r="B157" s="29" t="s">
        <v>175</v>
      </c>
      <c r="C157" s="76"/>
      <c r="D157" s="29"/>
      <c r="E157" s="29"/>
      <c r="F157" s="29"/>
      <c r="G157" s="29"/>
      <c r="H157" s="29" t="str">
        <f t="shared" si="1"/>
        <v/>
      </c>
      <c r="I157" s="29" t="str">
        <f t="shared" si="2"/>
        <v/>
      </c>
      <c r="J157" s="29" t="str">
        <f>IF(A157="", "", IFERROR(VLOOKUP(A157, 'Master Roster'!A:H, 8, FALSE) - F157, ""))</f>
        <v/>
      </c>
      <c r="K157" s="29" t="s">
        <v>175</v>
      </c>
      <c r="L157" s="29" t="b">
        <v>0</v>
      </c>
      <c r="M157" s="29"/>
      <c r="N157" s="29" t="s">
        <v>175</v>
      </c>
      <c r="O157" s="29" t="str">
        <f>IF(ISBLANK(A157), "", LET(entry_day, VLOOKUP(A157, 'Master Roster'!$A:$G, 7, FALSE), start_date, DATE(E157, MONTH(D157&amp;" 1"), entry_day), end_date, EDATE(start_date, 1), period, TEXT(start_date, "mmm d, yyyy") &amp; " - " &amp; TEXT(end_date, "mmm d, yyyy"), HYPERLINK("https://wa.me/" &amp; VLOOKUP(A157, 'Master Roster'!$A:$F, 6, FALSE) &amp; "?text=" &amp; ENCODEURL("Hello " &amp; IFERROR(IF(VLOOKUP(A157, 'Master Roster'!$A:$J, 10, FALSE)="Male", "Mr. ", "Ms. "), "") &amp; B157 &amp; ", payment of K" &amp; F157 &amp; " received for " &amp; period &amp; ". Receipt No: " &amp; N157), "Send Receipt")))</f>
        <v/>
      </c>
    </row>
    <row r="158">
      <c r="A158" s="29"/>
      <c r="B158" s="29" t="s">
        <v>175</v>
      </c>
      <c r="C158" s="76"/>
      <c r="D158" s="29"/>
      <c r="E158" s="29"/>
      <c r="F158" s="29"/>
      <c r="G158" s="29"/>
      <c r="H158" s="29" t="str">
        <f t="shared" si="1"/>
        <v/>
      </c>
      <c r="I158" s="29" t="str">
        <f t="shared" si="2"/>
        <v/>
      </c>
      <c r="J158" s="29" t="str">
        <f>IF(A158="", "", IFERROR(VLOOKUP(A158, 'Master Roster'!A:H, 8, FALSE) - F158, ""))</f>
        <v/>
      </c>
      <c r="K158" s="29" t="s">
        <v>175</v>
      </c>
      <c r="L158" s="29" t="b">
        <v>0</v>
      </c>
      <c r="M158" s="29"/>
      <c r="N158" s="29" t="s">
        <v>175</v>
      </c>
      <c r="O158" s="29" t="str">
        <f>IF(ISBLANK(A158), "", LET(entry_day, VLOOKUP(A158, 'Master Roster'!$A:$G, 7, FALSE), start_date, DATE(E158, MONTH(D158&amp;" 1"), entry_day), end_date, EDATE(start_date, 1), period, TEXT(start_date, "mmm d, yyyy") &amp; " - " &amp; TEXT(end_date, "mmm d, yyyy"), HYPERLINK("https://wa.me/" &amp; VLOOKUP(A158, 'Master Roster'!$A:$F, 6, FALSE) &amp; "?text=" &amp; ENCODEURL("Hello " &amp; IFERROR(IF(VLOOKUP(A158, 'Master Roster'!$A:$J, 10, FALSE)="Male", "Mr. ", "Ms. "), "") &amp; B158 &amp; ", payment of K" &amp; F158 &amp; " received for " &amp; period &amp; ". Receipt No: " &amp; N158), "Send Receipt")))</f>
        <v/>
      </c>
    </row>
    <row r="159">
      <c r="A159" s="29"/>
      <c r="B159" s="29" t="s">
        <v>175</v>
      </c>
      <c r="C159" s="76"/>
      <c r="D159" s="29"/>
      <c r="E159" s="29"/>
      <c r="F159" s="29"/>
      <c r="G159" s="29"/>
      <c r="H159" s="29" t="str">
        <f t="shared" si="1"/>
        <v/>
      </c>
      <c r="I159" s="29" t="str">
        <f t="shared" si="2"/>
        <v/>
      </c>
      <c r="J159" s="29" t="str">
        <f>IF(A159="", "", IFERROR(VLOOKUP(A159, 'Master Roster'!A:H, 8, FALSE) - F159, ""))</f>
        <v/>
      </c>
      <c r="K159" s="29" t="s">
        <v>175</v>
      </c>
      <c r="L159" s="29" t="b">
        <v>0</v>
      </c>
      <c r="M159" s="29"/>
      <c r="N159" s="29" t="s">
        <v>175</v>
      </c>
      <c r="O159" s="29" t="str">
        <f>IF(ISBLANK(A159), "", LET(entry_day, VLOOKUP(A159, 'Master Roster'!$A:$G, 7, FALSE), start_date, DATE(E159, MONTH(D159&amp;" 1"), entry_day), end_date, EDATE(start_date, 1), period, TEXT(start_date, "mmm d, yyyy") &amp; " - " &amp; TEXT(end_date, "mmm d, yyyy"), HYPERLINK("https://wa.me/" &amp; VLOOKUP(A159, 'Master Roster'!$A:$F, 6, FALSE) &amp; "?text=" &amp; ENCODEURL("Hello " &amp; IFERROR(IF(VLOOKUP(A159, 'Master Roster'!$A:$J, 10, FALSE)="Male", "Mr. ", "Ms. "), "") &amp; B159 &amp; ", payment of K" &amp; F159 &amp; " received for " &amp; period &amp; ". Receipt No: " &amp; N159), "Send Receipt")))</f>
        <v/>
      </c>
    </row>
    <row r="160">
      <c r="A160" s="29"/>
      <c r="B160" s="29" t="s">
        <v>175</v>
      </c>
      <c r="C160" s="76"/>
      <c r="D160" s="29"/>
      <c r="E160" s="29"/>
      <c r="F160" s="29"/>
      <c r="G160" s="29"/>
      <c r="H160" s="29" t="str">
        <f t="shared" si="1"/>
        <v/>
      </c>
      <c r="I160" s="29" t="str">
        <f t="shared" si="2"/>
        <v/>
      </c>
      <c r="J160" s="29" t="str">
        <f>IF(A160="", "", IFERROR(VLOOKUP(A160, 'Master Roster'!A:H, 8, FALSE) - F160, ""))</f>
        <v/>
      </c>
      <c r="K160" s="29" t="s">
        <v>175</v>
      </c>
      <c r="L160" s="29" t="b">
        <v>0</v>
      </c>
      <c r="M160" s="29"/>
      <c r="N160" s="29" t="s">
        <v>175</v>
      </c>
      <c r="O160" s="29" t="str">
        <f>IF(ISBLANK(A160), "", LET(entry_day, VLOOKUP(A160, 'Master Roster'!$A:$G, 7, FALSE), start_date, DATE(E160, MONTH(D160&amp;" 1"), entry_day), end_date, EDATE(start_date, 1), period, TEXT(start_date, "mmm d, yyyy") &amp; " - " &amp; TEXT(end_date, "mmm d, yyyy"), HYPERLINK("https://wa.me/" &amp; VLOOKUP(A160, 'Master Roster'!$A:$F, 6, FALSE) &amp; "?text=" &amp; ENCODEURL("Hello " &amp; IFERROR(IF(VLOOKUP(A160, 'Master Roster'!$A:$J, 10, FALSE)="Male", "Mr. ", "Ms. "), "") &amp; B160 &amp; ", payment of K" &amp; F160 &amp; " received for " &amp; period &amp; ". Receipt No: " &amp; N160), "Send Receipt")))</f>
        <v/>
      </c>
    </row>
    <row r="161">
      <c r="A161" s="29"/>
      <c r="B161" s="29" t="s">
        <v>175</v>
      </c>
      <c r="C161" s="76"/>
      <c r="D161" s="29"/>
      <c r="E161" s="29"/>
      <c r="F161" s="29"/>
      <c r="G161" s="29"/>
      <c r="H161" s="29" t="str">
        <f t="shared" si="1"/>
        <v/>
      </c>
      <c r="I161" s="29" t="str">
        <f t="shared" si="2"/>
        <v/>
      </c>
      <c r="J161" s="29" t="str">
        <f>IF(A161="", "", IFERROR(VLOOKUP(A161, 'Master Roster'!A:H, 8, FALSE) - F161, ""))</f>
        <v/>
      </c>
      <c r="K161" s="29" t="s">
        <v>175</v>
      </c>
      <c r="L161" s="29" t="b">
        <v>0</v>
      </c>
      <c r="M161" s="29"/>
      <c r="N161" s="29" t="s">
        <v>175</v>
      </c>
      <c r="O161" s="29" t="str">
        <f>IF(ISBLANK(A161), "", LET(entry_day, VLOOKUP(A161, 'Master Roster'!$A:$G, 7, FALSE), start_date, DATE(E161, MONTH(D161&amp;" 1"), entry_day), end_date, EDATE(start_date, 1), period, TEXT(start_date, "mmm d, yyyy") &amp; " - " &amp; TEXT(end_date, "mmm d, yyyy"), HYPERLINK("https://wa.me/" &amp; VLOOKUP(A161, 'Master Roster'!$A:$F, 6, FALSE) &amp; "?text=" &amp; ENCODEURL("Hello " &amp; IFERROR(IF(VLOOKUP(A161, 'Master Roster'!$A:$J, 10, FALSE)="Male", "Mr. ", "Ms. "), "") &amp; B161 &amp; ", payment of K" &amp; F161 &amp; " received for " &amp; period &amp; ". Receipt No: " &amp; N161), "Send Receipt")))</f>
        <v/>
      </c>
    </row>
    <row r="162">
      <c r="A162" s="29"/>
      <c r="B162" s="29" t="s">
        <v>175</v>
      </c>
      <c r="C162" s="76"/>
      <c r="D162" s="29"/>
      <c r="E162" s="29"/>
      <c r="F162" s="29"/>
      <c r="G162" s="29"/>
      <c r="H162" s="29" t="str">
        <f t="shared" si="1"/>
        <v/>
      </c>
      <c r="I162" s="29" t="str">
        <f t="shared" si="2"/>
        <v/>
      </c>
      <c r="J162" s="29" t="str">
        <f>IF(A162="", "", IFERROR(VLOOKUP(A162, 'Master Roster'!A:H, 8, FALSE) - F162, ""))</f>
        <v/>
      </c>
      <c r="K162" s="29" t="s">
        <v>175</v>
      </c>
      <c r="L162" s="29" t="b">
        <v>0</v>
      </c>
      <c r="M162" s="29"/>
      <c r="N162" s="29" t="s">
        <v>175</v>
      </c>
      <c r="O162" s="29" t="str">
        <f>IF(ISBLANK(A162), "", LET(entry_day, VLOOKUP(A162, 'Master Roster'!$A:$G, 7, FALSE), start_date, DATE(E162, MONTH(D162&amp;" 1"), entry_day), end_date, EDATE(start_date, 1), period, TEXT(start_date, "mmm d, yyyy") &amp; " - " &amp; TEXT(end_date, "mmm d, yyyy"), HYPERLINK("https://wa.me/" &amp; VLOOKUP(A162, 'Master Roster'!$A:$F, 6, FALSE) &amp; "?text=" &amp; ENCODEURL("Hello " &amp; IFERROR(IF(VLOOKUP(A162, 'Master Roster'!$A:$J, 10, FALSE)="Male", "Mr. ", "Ms. "), "") &amp; B162 &amp; ", payment of K" &amp; F162 &amp; " received for " &amp; period &amp; ". Receipt No: " &amp; N162), "Send Receipt")))</f>
        <v/>
      </c>
    </row>
    <row r="163">
      <c r="A163" s="29"/>
      <c r="B163" s="29" t="s">
        <v>175</v>
      </c>
      <c r="C163" s="76"/>
      <c r="D163" s="29"/>
      <c r="E163" s="29"/>
      <c r="F163" s="29"/>
      <c r="G163" s="29"/>
      <c r="H163" s="29" t="str">
        <f t="shared" si="1"/>
        <v/>
      </c>
      <c r="I163" s="29" t="str">
        <f t="shared" si="2"/>
        <v/>
      </c>
      <c r="J163" s="29" t="str">
        <f>IF(A163="", "", IFERROR(VLOOKUP(A163, 'Master Roster'!A:H, 8, FALSE) - F163, ""))</f>
        <v/>
      </c>
      <c r="K163" s="29" t="s">
        <v>175</v>
      </c>
      <c r="L163" s="29" t="b">
        <v>0</v>
      </c>
      <c r="M163" s="29"/>
      <c r="N163" s="29" t="s">
        <v>175</v>
      </c>
      <c r="O163" s="29" t="str">
        <f>IF(ISBLANK(A163), "", LET(entry_day, VLOOKUP(A163, 'Master Roster'!$A:$G, 7, FALSE), start_date, DATE(E163, MONTH(D163&amp;" 1"), entry_day), end_date, EDATE(start_date, 1), period, TEXT(start_date, "mmm d, yyyy") &amp; " - " &amp; TEXT(end_date, "mmm d, yyyy"), HYPERLINK("https://wa.me/" &amp; VLOOKUP(A163, 'Master Roster'!$A:$F, 6, FALSE) &amp; "?text=" &amp; ENCODEURL("Hello " &amp; IFERROR(IF(VLOOKUP(A163, 'Master Roster'!$A:$J, 10, FALSE)="Male", "Mr. ", "Ms. "), "") &amp; B163 &amp; ", payment of K" &amp; F163 &amp; " received for " &amp; period &amp; ". Receipt No: " &amp; N163), "Send Receipt")))</f>
        <v/>
      </c>
    </row>
    <row r="164">
      <c r="A164" s="29"/>
      <c r="B164" s="29" t="s">
        <v>175</v>
      </c>
      <c r="C164" s="76"/>
      <c r="D164" s="29"/>
      <c r="E164" s="29"/>
      <c r="F164" s="29"/>
      <c r="G164" s="29"/>
      <c r="H164" s="29" t="str">
        <f t="shared" si="1"/>
        <v/>
      </c>
      <c r="I164" s="29" t="str">
        <f t="shared" si="2"/>
        <v/>
      </c>
      <c r="J164" s="29" t="str">
        <f>IF(A164="", "", IFERROR(VLOOKUP(A164, 'Master Roster'!A:H, 8, FALSE) - F164, ""))</f>
        <v/>
      </c>
      <c r="K164" s="29" t="s">
        <v>175</v>
      </c>
      <c r="L164" s="29" t="b">
        <v>0</v>
      </c>
      <c r="M164" s="29"/>
      <c r="N164" s="29" t="s">
        <v>175</v>
      </c>
      <c r="O164" s="29" t="str">
        <f>IF(ISBLANK(A164), "", LET(entry_day, VLOOKUP(A164, 'Master Roster'!$A:$G, 7, FALSE), start_date, DATE(E164, MONTH(D164&amp;" 1"), entry_day), end_date, EDATE(start_date, 1), period, TEXT(start_date, "mmm d, yyyy") &amp; " - " &amp; TEXT(end_date, "mmm d, yyyy"), HYPERLINK("https://wa.me/" &amp; VLOOKUP(A164, 'Master Roster'!$A:$F, 6, FALSE) &amp; "?text=" &amp; ENCODEURL("Hello " &amp; IFERROR(IF(VLOOKUP(A164, 'Master Roster'!$A:$J, 10, FALSE)="Male", "Mr. ", "Ms. "), "") &amp; B164 &amp; ", payment of K" &amp; F164 &amp; " received for " &amp; period &amp; ". Receipt No: " &amp; N164), "Send Receipt")))</f>
        <v/>
      </c>
    </row>
    <row r="165">
      <c r="A165" s="29"/>
      <c r="B165" s="29" t="s">
        <v>175</v>
      </c>
      <c r="C165" s="76"/>
      <c r="D165" s="29"/>
      <c r="E165" s="29"/>
      <c r="F165" s="29"/>
      <c r="G165" s="29"/>
      <c r="H165" s="29" t="str">
        <f t="shared" si="1"/>
        <v/>
      </c>
      <c r="I165" s="29" t="str">
        <f t="shared" si="2"/>
        <v/>
      </c>
      <c r="J165" s="29" t="str">
        <f>IF(A165="", "", IFERROR(VLOOKUP(A165, 'Master Roster'!A:H, 8, FALSE) - F165, ""))</f>
        <v/>
      </c>
      <c r="K165" s="29" t="s">
        <v>175</v>
      </c>
      <c r="L165" s="29" t="b">
        <v>0</v>
      </c>
      <c r="M165" s="29"/>
      <c r="N165" s="29" t="s">
        <v>175</v>
      </c>
      <c r="O165" s="29" t="str">
        <f>IF(ISBLANK(A165), "", LET(entry_day, VLOOKUP(A165, 'Master Roster'!$A:$G, 7, FALSE), start_date, DATE(E165, MONTH(D165&amp;" 1"), entry_day), end_date, EDATE(start_date, 1), period, TEXT(start_date, "mmm d, yyyy") &amp; " - " &amp; TEXT(end_date, "mmm d, yyyy"), HYPERLINK("https://wa.me/" &amp; VLOOKUP(A165, 'Master Roster'!$A:$F, 6, FALSE) &amp; "?text=" &amp; ENCODEURL("Hello " &amp; IFERROR(IF(VLOOKUP(A165, 'Master Roster'!$A:$J, 10, FALSE)="Male", "Mr. ", "Ms. "), "") &amp; B165 &amp; ", payment of K" &amp; F165 &amp; " received for " &amp; period &amp; ". Receipt No: " &amp; N165), "Send Receipt")))</f>
        <v/>
      </c>
    </row>
    <row r="166">
      <c r="A166" s="29"/>
      <c r="B166" s="29" t="s">
        <v>175</v>
      </c>
      <c r="C166" s="76"/>
      <c r="D166" s="29"/>
      <c r="E166" s="29"/>
      <c r="F166" s="29"/>
      <c r="G166" s="29"/>
      <c r="H166" s="29" t="str">
        <f t="shared" si="1"/>
        <v/>
      </c>
      <c r="I166" s="29" t="str">
        <f t="shared" si="2"/>
        <v/>
      </c>
      <c r="J166" s="29" t="str">
        <f>IF(A166="", "", IFERROR(VLOOKUP(A166, 'Master Roster'!A:H, 8, FALSE) - F166, ""))</f>
        <v/>
      </c>
      <c r="K166" s="29" t="s">
        <v>175</v>
      </c>
      <c r="L166" s="29" t="b">
        <v>0</v>
      </c>
      <c r="M166" s="29"/>
      <c r="N166" s="29" t="s">
        <v>175</v>
      </c>
      <c r="O166" s="29" t="str">
        <f>IF(ISBLANK(A166), "", LET(entry_day, VLOOKUP(A166, 'Master Roster'!$A:$G, 7, FALSE), start_date, DATE(E166, MONTH(D166&amp;" 1"), entry_day), end_date, EDATE(start_date, 1), period, TEXT(start_date, "mmm d, yyyy") &amp; " - " &amp; TEXT(end_date, "mmm d, yyyy"), HYPERLINK("https://wa.me/" &amp; VLOOKUP(A166, 'Master Roster'!$A:$F, 6, FALSE) &amp; "?text=" &amp; ENCODEURL("Hello " &amp; IFERROR(IF(VLOOKUP(A166, 'Master Roster'!$A:$J, 10, FALSE)="Male", "Mr. ", "Ms. "), "") &amp; B166 &amp; ", payment of K" &amp; F166 &amp; " received for " &amp; period &amp; ". Receipt No: " &amp; N166), "Send Receipt")))</f>
        <v/>
      </c>
    </row>
    <row r="167">
      <c r="A167" s="29"/>
      <c r="B167" s="29" t="s">
        <v>175</v>
      </c>
      <c r="C167" s="76"/>
      <c r="D167" s="29"/>
      <c r="E167" s="29"/>
      <c r="F167" s="29"/>
      <c r="G167" s="29"/>
      <c r="H167" s="29" t="str">
        <f t="shared" si="1"/>
        <v/>
      </c>
      <c r="I167" s="29" t="str">
        <f t="shared" si="2"/>
        <v/>
      </c>
      <c r="J167" s="29" t="str">
        <f>IF(A167="", "", IFERROR(VLOOKUP(A167, 'Master Roster'!A:H, 8, FALSE) - F167, ""))</f>
        <v/>
      </c>
      <c r="K167" s="29" t="s">
        <v>175</v>
      </c>
      <c r="L167" s="29" t="b">
        <v>0</v>
      </c>
      <c r="M167" s="29"/>
      <c r="N167" s="29" t="s">
        <v>175</v>
      </c>
      <c r="O167" s="29" t="str">
        <f>IF(ISBLANK(A167), "", LET(entry_day, VLOOKUP(A167, 'Master Roster'!$A:$G, 7, FALSE), start_date, DATE(E167, MONTH(D167&amp;" 1"), entry_day), end_date, EDATE(start_date, 1), period, TEXT(start_date, "mmm d, yyyy") &amp; " - " &amp; TEXT(end_date, "mmm d, yyyy"), HYPERLINK("https://wa.me/" &amp; VLOOKUP(A167, 'Master Roster'!$A:$F, 6, FALSE) &amp; "?text=" &amp; ENCODEURL("Hello " &amp; IFERROR(IF(VLOOKUP(A167, 'Master Roster'!$A:$J, 10, FALSE)="Male", "Mr. ", "Ms. "), "") &amp; B167 &amp; ", payment of K" &amp; F167 &amp; " received for " &amp; period &amp; ". Receipt No: " &amp; N167), "Send Receipt")))</f>
        <v/>
      </c>
    </row>
    <row r="168">
      <c r="A168" s="29"/>
      <c r="B168" s="29" t="s">
        <v>175</v>
      </c>
      <c r="C168" s="76"/>
      <c r="D168" s="29"/>
      <c r="E168" s="29"/>
      <c r="F168" s="29"/>
      <c r="G168" s="29"/>
      <c r="H168" s="29" t="str">
        <f t="shared" si="1"/>
        <v/>
      </c>
      <c r="I168" s="29" t="str">
        <f t="shared" si="2"/>
        <v/>
      </c>
      <c r="J168" s="29" t="str">
        <f>IF(A168="", "", IFERROR(VLOOKUP(A168, 'Master Roster'!A:H, 8, FALSE) - F168, ""))</f>
        <v/>
      </c>
      <c r="K168" s="29" t="s">
        <v>175</v>
      </c>
      <c r="L168" s="29" t="b">
        <v>0</v>
      </c>
      <c r="M168" s="29"/>
      <c r="N168" s="29" t="s">
        <v>175</v>
      </c>
      <c r="O168" s="29" t="str">
        <f>IF(ISBLANK(A168), "", LET(entry_day, VLOOKUP(A168, 'Master Roster'!$A:$G, 7, FALSE), start_date, DATE(E168, MONTH(D168&amp;" 1"), entry_day), end_date, EDATE(start_date, 1), period, TEXT(start_date, "mmm d, yyyy") &amp; " - " &amp; TEXT(end_date, "mmm d, yyyy"), HYPERLINK("https://wa.me/" &amp; VLOOKUP(A168, 'Master Roster'!$A:$F, 6, FALSE) &amp; "?text=" &amp; ENCODEURL("Hello " &amp; IFERROR(IF(VLOOKUP(A168, 'Master Roster'!$A:$J, 10, FALSE)="Male", "Mr. ", "Ms. "), "") &amp; B168 &amp; ", payment of K" &amp; F168 &amp; " received for " &amp; period &amp; ". Receipt No: " &amp; N168), "Send Receipt")))</f>
        <v/>
      </c>
    </row>
    <row r="169">
      <c r="A169" s="29"/>
      <c r="B169" s="29" t="s">
        <v>175</v>
      </c>
      <c r="C169" s="76"/>
      <c r="D169" s="29"/>
      <c r="E169" s="29"/>
      <c r="F169" s="29"/>
      <c r="G169" s="29"/>
      <c r="H169" s="29" t="str">
        <f t="shared" si="1"/>
        <v/>
      </c>
      <c r="I169" s="29" t="str">
        <f t="shared" si="2"/>
        <v/>
      </c>
      <c r="J169" s="29" t="str">
        <f>IF(A169="", "", IFERROR(VLOOKUP(A169, 'Master Roster'!A:H, 8, FALSE) - F169, ""))</f>
        <v/>
      </c>
      <c r="K169" s="29" t="s">
        <v>175</v>
      </c>
      <c r="L169" s="29" t="b">
        <v>0</v>
      </c>
      <c r="M169" s="29"/>
      <c r="N169" s="29" t="s">
        <v>175</v>
      </c>
      <c r="O169" s="29" t="str">
        <f>IF(ISBLANK(A169), "", LET(entry_day, VLOOKUP(A169, 'Master Roster'!$A:$G, 7, FALSE), start_date, DATE(E169, MONTH(D169&amp;" 1"), entry_day), end_date, EDATE(start_date, 1), period, TEXT(start_date, "mmm d, yyyy") &amp; " - " &amp; TEXT(end_date, "mmm d, yyyy"), HYPERLINK("https://wa.me/" &amp; VLOOKUP(A169, 'Master Roster'!$A:$F, 6, FALSE) &amp; "?text=" &amp; ENCODEURL("Hello " &amp; IFERROR(IF(VLOOKUP(A169, 'Master Roster'!$A:$J, 10, FALSE)="Male", "Mr. ", "Ms. "), "") &amp; B169 &amp; ", payment of K" &amp; F169 &amp; " received for " &amp; period &amp; ". Receipt No: " &amp; N169), "Send Receipt")))</f>
        <v/>
      </c>
    </row>
    <row r="170">
      <c r="A170" s="29"/>
      <c r="B170" s="29" t="s">
        <v>175</v>
      </c>
      <c r="C170" s="76"/>
      <c r="D170" s="29"/>
      <c r="E170" s="29"/>
      <c r="F170" s="29"/>
      <c r="G170" s="29"/>
      <c r="H170" s="29" t="str">
        <f t="shared" si="1"/>
        <v/>
      </c>
      <c r="I170" s="29" t="str">
        <f t="shared" si="2"/>
        <v/>
      </c>
      <c r="J170" s="29" t="str">
        <f>IF(A170="", "", IFERROR(VLOOKUP(A170, 'Master Roster'!A:H, 8, FALSE) - F170, ""))</f>
        <v/>
      </c>
      <c r="K170" s="29" t="s">
        <v>175</v>
      </c>
      <c r="L170" s="29" t="b">
        <v>0</v>
      </c>
      <c r="M170" s="29"/>
      <c r="N170" s="29" t="s">
        <v>175</v>
      </c>
      <c r="O170" s="29" t="str">
        <f>IF(ISBLANK(A170), "", LET(entry_day, VLOOKUP(A170, 'Master Roster'!$A:$G, 7, FALSE), start_date, DATE(E170, MONTH(D170&amp;" 1"), entry_day), end_date, EDATE(start_date, 1), period, TEXT(start_date, "mmm d, yyyy") &amp; " - " &amp; TEXT(end_date, "mmm d, yyyy"), HYPERLINK("https://wa.me/" &amp; VLOOKUP(A170, 'Master Roster'!$A:$F, 6, FALSE) &amp; "?text=" &amp; ENCODEURL("Hello " &amp; IFERROR(IF(VLOOKUP(A170, 'Master Roster'!$A:$J, 10, FALSE)="Male", "Mr. ", "Ms. "), "") &amp; B170 &amp; ", payment of K" &amp; F170 &amp; " received for " &amp; period &amp; ". Receipt No: " &amp; N170), "Send Receipt")))</f>
        <v/>
      </c>
    </row>
    <row r="171">
      <c r="A171" s="29"/>
      <c r="B171" s="29" t="s">
        <v>175</v>
      </c>
      <c r="C171" s="76"/>
      <c r="D171" s="29"/>
      <c r="E171" s="29"/>
      <c r="F171" s="29"/>
      <c r="G171" s="29"/>
      <c r="H171" s="29" t="str">
        <f t="shared" si="1"/>
        <v/>
      </c>
      <c r="I171" s="29" t="str">
        <f t="shared" si="2"/>
        <v/>
      </c>
      <c r="J171" s="29" t="str">
        <f>IF(A171="", "", IFERROR(VLOOKUP(A171, 'Master Roster'!A:H, 8, FALSE) - F171, ""))</f>
        <v/>
      </c>
      <c r="K171" s="29" t="s">
        <v>175</v>
      </c>
      <c r="L171" s="29" t="b">
        <v>0</v>
      </c>
      <c r="M171" s="29"/>
      <c r="N171" s="29" t="s">
        <v>175</v>
      </c>
      <c r="O171" s="29" t="str">
        <f>IF(ISBLANK(A171), "", LET(entry_day, VLOOKUP(A171, 'Master Roster'!$A:$G, 7, FALSE), start_date, DATE(E171, MONTH(D171&amp;" 1"), entry_day), end_date, EDATE(start_date, 1), period, TEXT(start_date, "mmm d, yyyy") &amp; " - " &amp; TEXT(end_date, "mmm d, yyyy"), HYPERLINK("https://wa.me/" &amp; VLOOKUP(A171, 'Master Roster'!$A:$F, 6, FALSE) &amp; "?text=" &amp; ENCODEURL("Hello " &amp; IFERROR(IF(VLOOKUP(A171, 'Master Roster'!$A:$J, 10, FALSE)="Male", "Mr. ", "Ms. "), "") &amp; B171 &amp; ", payment of K" &amp; F171 &amp; " received for " &amp; period &amp; ". Receipt No: " &amp; N171), "Send Receipt")))</f>
        <v/>
      </c>
    </row>
    <row r="172">
      <c r="A172" s="29"/>
      <c r="B172" s="29" t="s">
        <v>175</v>
      </c>
      <c r="C172" s="76"/>
      <c r="D172" s="29"/>
      <c r="E172" s="29"/>
      <c r="F172" s="29"/>
      <c r="G172" s="29"/>
      <c r="H172" s="29" t="str">
        <f t="shared" si="1"/>
        <v/>
      </c>
      <c r="I172" s="29" t="str">
        <f t="shared" si="2"/>
        <v/>
      </c>
      <c r="J172" s="29" t="str">
        <f>IF(A172="", "", IFERROR(VLOOKUP(A172, 'Master Roster'!A:H, 8, FALSE) - F172, ""))</f>
        <v/>
      </c>
      <c r="K172" s="29" t="s">
        <v>175</v>
      </c>
      <c r="L172" s="29" t="b">
        <v>0</v>
      </c>
      <c r="M172" s="29"/>
      <c r="N172" s="29" t="s">
        <v>175</v>
      </c>
      <c r="O172" s="29" t="str">
        <f>IF(ISBLANK(A172), "", LET(entry_day, VLOOKUP(A172, 'Master Roster'!$A:$G, 7, FALSE), start_date, DATE(E172, MONTH(D172&amp;" 1"), entry_day), end_date, EDATE(start_date, 1), period, TEXT(start_date, "mmm d, yyyy") &amp; " - " &amp; TEXT(end_date, "mmm d, yyyy"), HYPERLINK("https://wa.me/" &amp; VLOOKUP(A172, 'Master Roster'!$A:$F, 6, FALSE) &amp; "?text=" &amp; ENCODEURL("Hello " &amp; IFERROR(IF(VLOOKUP(A172, 'Master Roster'!$A:$J, 10, FALSE)="Male", "Mr. ", "Ms. "), "") &amp; B172 &amp; ", payment of K" &amp; F172 &amp; " received for " &amp; period &amp; ". Receipt No: " &amp; N172), "Send Receipt")))</f>
        <v/>
      </c>
    </row>
    <row r="173">
      <c r="A173" s="29"/>
      <c r="B173" s="29" t="s">
        <v>175</v>
      </c>
      <c r="C173" s="76"/>
      <c r="D173" s="29"/>
      <c r="E173" s="29"/>
      <c r="F173" s="29"/>
      <c r="G173" s="29"/>
      <c r="H173" s="29" t="str">
        <f t="shared" si="1"/>
        <v/>
      </c>
      <c r="I173" s="29" t="str">
        <f t="shared" si="2"/>
        <v/>
      </c>
      <c r="J173" s="29" t="str">
        <f>IF(A173="", "", IFERROR(VLOOKUP(A173, 'Master Roster'!A:H, 8, FALSE) - F173, ""))</f>
        <v/>
      </c>
      <c r="K173" s="29" t="s">
        <v>175</v>
      </c>
      <c r="L173" s="29" t="b">
        <v>0</v>
      </c>
      <c r="M173" s="29"/>
      <c r="N173" s="29" t="s">
        <v>175</v>
      </c>
      <c r="O173" s="29" t="str">
        <f>IF(ISBLANK(A173), "", LET(entry_day, VLOOKUP(A173, 'Master Roster'!$A:$G, 7, FALSE), start_date, DATE(E173, MONTH(D173&amp;" 1"), entry_day), end_date, EDATE(start_date, 1), period, TEXT(start_date, "mmm d, yyyy") &amp; " - " &amp; TEXT(end_date, "mmm d, yyyy"), HYPERLINK("https://wa.me/" &amp; VLOOKUP(A173, 'Master Roster'!$A:$F, 6, FALSE) &amp; "?text=" &amp; ENCODEURL("Hello " &amp; IFERROR(IF(VLOOKUP(A173, 'Master Roster'!$A:$J, 10, FALSE)="Male", "Mr. ", "Ms. "), "") &amp; B173 &amp; ", payment of K" &amp; F173 &amp; " received for " &amp; period &amp; ". Receipt No: " &amp; N173), "Send Receipt")))</f>
        <v/>
      </c>
    </row>
    <row r="174">
      <c r="A174" s="29"/>
      <c r="B174" s="29" t="s">
        <v>175</v>
      </c>
      <c r="C174" s="76"/>
      <c r="D174" s="29"/>
      <c r="E174" s="29"/>
      <c r="F174" s="29"/>
      <c r="G174" s="29"/>
      <c r="H174" s="29" t="str">
        <f t="shared" si="1"/>
        <v/>
      </c>
      <c r="I174" s="29" t="str">
        <f t="shared" si="2"/>
        <v/>
      </c>
      <c r="J174" s="29" t="str">
        <f>IF(A174="", "", IFERROR(VLOOKUP(A174, 'Master Roster'!A:H, 8, FALSE) - F174, ""))</f>
        <v/>
      </c>
      <c r="K174" s="29" t="s">
        <v>175</v>
      </c>
      <c r="L174" s="29" t="b">
        <v>0</v>
      </c>
      <c r="M174" s="29"/>
      <c r="N174" s="29" t="s">
        <v>175</v>
      </c>
      <c r="O174" s="29" t="str">
        <f>IF(ISBLANK(A174), "", LET(entry_day, VLOOKUP(A174, 'Master Roster'!$A:$G, 7, FALSE), start_date, DATE(E174, MONTH(D174&amp;" 1"), entry_day), end_date, EDATE(start_date, 1), period, TEXT(start_date, "mmm d, yyyy") &amp; " - " &amp; TEXT(end_date, "mmm d, yyyy"), HYPERLINK("https://wa.me/" &amp; VLOOKUP(A174, 'Master Roster'!$A:$F, 6, FALSE) &amp; "?text=" &amp; ENCODEURL("Hello " &amp; IFERROR(IF(VLOOKUP(A174, 'Master Roster'!$A:$J, 10, FALSE)="Male", "Mr. ", "Ms. "), "") &amp; B174 &amp; ", payment of K" &amp; F174 &amp; " received for " &amp; period &amp; ". Receipt No: " &amp; N174), "Send Receipt")))</f>
        <v/>
      </c>
    </row>
    <row r="175">
      <c r="A175" s="29"/>
      <c r="B175" s="29" t="s">
        <v>175</v>
      </c>
      <c r="C175" s="76"/>
      <c r="D175" s="29"/>
      <c r="E175" s="29"/>
      <c r="F175" s="29"/>
      <c r="G175" s="29"/>
      <c r="H175" s="29" t="str">
        <f t="shared" si="1"/>
        <v/>
      </c>
      <c r="I175" s="29" t="str">
        <f t="shared" si="2"/>
        <v/>
      </c>
      <c r="J175" s="29" t="str">
        <f>IF(A175="", "", IFERROR(VLOOKUP(A175, 'Master Roster'!A:H, 8, FALSE) - F175, ""))</f>
        <v/>
      </c>
      <c r="K175" s="29" t="s">
        <v>175</v>
      </c>
      <c r="L175" s="29" t="b">
        <v>0</v>
      </c>
      <c r="M175" s="29"/>
      <c r="N175" s="29" t="s">
        <v>175</v>
      </c>
      <c r="O175" s="29" t="str">
        <f>IF(ISBLANK(A175), "", LET(entry_day, VLOOKUP(A175, 'Master Roster'!$A:$G, 7, FALSE), start_date, DATE(E175, MONTH(D175&amp;" 1"), entry_day), end_date, EDATE(start_date, 1), period, TEXT(start_date, "mmm d, yyyy") &amp; " - " &amp; TEXT(end_date, "mmm d, yyyy"), HYPERLINK("https://wa.me/" &amp; VLOOKUP(A175, 'Master Roster'!$A:$F, 6, FALSE) &amp; "?text=" &amp; ENCODEURL("Hello " &amp; IFERROR(IF(VLOOKUP(A175, 'Master Roster'!$A:$J, 10, FALSE)="Male", "Mr. ", "Ms. "), "") &amp; B175 &amp; ", payment of K" &amp; F175 &amp; " received for " &amp; period &amp; ". Receipt No: " &amp; N175), "Send Receipt")))</f>
        <v/>
      </c>
    </row>
    <row r="176">
      <c r="A176" s="29"/>
      <c r="B176" s="29" t="s">
        <v>175</v>
      </c>
      <c r="C176" s="76"/>
      <c r="D176" s="29"/>
      <c r="E176" s="29"/>
      <c r="F176" s="29"/>
      <c r="G176" s="29"/>
      <c r="H176" s="29" t="str">
        <f t="shared" si="1"/>
        <v/>
      </c>
      <c r="I176" s="29" t="str">
        <f t="shared" si="2"/>
        <v/>
      </c>
      <c r="J176" s="29" t="str">
        <f>IF(A176="", "", IFERROR(VLOOKUP(A176, 'Master Roster'!A:H, 8, FALSE) - F176, ""))</f>
        <v/>
      </c>
      <c r="K176" s="29" t="s">
        <v>175</v>
      </c>
      <c r="L176" s="29" t="b">
        <v>0</v>
      </c>
      <c r="M176" s="29"/>
      <c r="N176" s="29" t="s">
        <v>175</v>
      </c>
      <c r="O176" s="29" t="str">
        <f>IF(ISBLANK(A176), "", LET(entry_day, VLOOKUP(A176, 'Master Roster'!$A:$G, 7, FALSE), start_date, DATE(E176, MONTH(D176&amp;" 1"), entry_day), end_date, EDATE(start_date, 1), period, TEXT(start_date, "mmm d, yyyy") &amp; " - " &amp; TEXT(end_date, "mmm d, yyyy"), HYPERLINK("https://wa.me/" &amp; VLOOKUP(A176, 'Master Roster'!$A:$F, 6, FALSE) &amp; "?text=" &amp; ENCODEURL("Hello " &amp; IFERROR(IF(VLOOKUP(A176, 'Master Roster'!$A:$J, 10, FALSE)="Male", "Mr. ", "Ms. "), "") &amp; B176 &amp; ", payment of K" &amp; F176 &amp; " received for " &amp; period &amp; ". Receipt No: " &amp; N176), "Send Receipt")))</f>
        <v/>
      </c>
    </row>
    <row r="177">
      <c r="A177" s="29"/>
      <c r="B177" s="29" t="s">
        <v>175</v>
      </c>
      <c r="C177" s="76"/>
      <c r="D177" s="29"/>
      <c r="E177" s="29"/>
      <c r="F177" s="29"/>
      <c r="G177" s="29"/>
      <c r="H177" s="29" t="str">
        <f t="shared" si="1"/>
        <v/>
      </c>
      <c r="I177" s="29" t="str">
        <f t="shared" si="2"/>
        <v/>
      </c>
      <c r="J177" s="29" t="str">
        <f>IF(A177="", "", IFERROR(VLOOKUP(A177, 'Master Roster'!A:H, 8, FALSE) - F177, ""))</f>
        <v/>
      </c>
      <c r="K177" s="29" t="s">
        <v>175</v>
      </c>
      <c r="L177" s="29" t="b">
        <v>0</v>
      </c>
      <c r="M177" s="29"/>
      <c r="N177" s="29" t="s">
        <v>175</v>
      </c>
      <c r="O177" s="29" t="str">
        <f>IF(ISBLANK(A177), "", LET(entry_day, VLOOKUP(A177, 'Master Roster'!$A:$G, 7, FALSE), start_date, DATE(E177, MONTH(D177&amp;" 1"), entry_day), end_date, EDATE(start_date, 1), period, TEXT(start_date, "mmm d, yyyy") &amp; " - " &amp; TEXT(end_date, "mmm d, yyyy"), HYPERLINK("https://wa.me/" &amp; VLOOKUP(A177, 'Master Roster'!$A:$F, 6, FALSE) &amp; "?text=" &amp; ENCODEURL("Hello " &amp; IFERROR(IF(VLOOKUP(A177, 'Master Roster'!$A:$J, 10, FALSE)="Male", "Mr. ", "Ms. "), "") &amp; B177 &amp; ", payment of K" &amp; F177 &amp; " received for " &amp; period &amp; ". Receipt No: " &amp; N177), "Send Receipt")))</f>
        <v/>
      </c>
    </row>
    <row r="178">
      <c r="A178" s="29"/>
      <c r="B178" s="29" t="s">
        <v>175</v>
      </c>
      <c r="C178" s="76"/>
      <c r="D178" s="29"/>
      <c r="E178" s="29"/>
      <c r="F178" s="29"/>
      <c r="G178" s="29"/>
      <c r="H178" s="29" t="str">
        <f t="shared" si="1"/>
        <v/>
      </c>
      <c r="I178" s="29" t="str">
        <f t="shared" si="2"/>
        <v/>
      </c>
      <c r="J178" s="29" t="str">
        <f>IF(A178="", "", IFERROR(VLOOKUP(A178, 'Master Roster'!A:H, 8, FALSE) - F178, ""))</f>
        <v/>
      </c>
      <c r="K178" s="29" t="s">
        <v>175</v>
      </c>
      <c r="L178" s="29" t="b">
        <v>0</v>
      </c>
      <c r="M178" s="29"/>
      <c r="N178" s="29" t="s">
        <v>175</v>
      </c>
      <c r="O178" s="29" t="str">
        <f>IF(ISBLANK(A178), "", LET(entry_day, VLOOKUP(A178, 'Master Roster'!$A:$G, 7, FALSE), start_date, DATE(E178, MONTH(D178&amp;" 1"), entry_day), end_date, EDATE(start_date, 1), period, TEXT(start_date, "mmm d, yyyy") &amp; " - " &amp; TEXT(end_date, "mmm d, yyyy"), HYPERLINK("https://wa.me/" &amp; VLOOKUP(A178, 'Master Roster'!$A:$F, 6, FALSE) &amp; "?text=" &amp; ENCODEURL("Hello " &amp; IFERROR(IF(VLOOKUP(A178, 'Master Roster'!$A:$J, 10, FALSE)="Male", "Mr. ", "Ms. "), "") &amp; B178 &amp; ", payment of K" &amp; F178 &amp; " received for " &amp; period &amp; ". Receipt No: " &amp; N178), "Send Receipt")))</f>
        <v/>
      </c>
    </row>
    <row r="179">
      <c r="A179" s="29"/>
      <c r="B179" s="29" t="s">
        <v>175</v>
      </c>
      <c r="C179" s="76"/>
      <c r="D179" s="29"/>
      <c r="E179" s="29"/>
      <c r="F179" s="29"/>
      <c r="G179" s="29"/>
      <c r="H179" s="29" t="str">
        <f t="shared" si="1"/>
        <v/>
      </c>
      <c r="I179" s="29" t="str">
        <f t="shared" si="2"/>
        <v/>
      </c>
      <c r="J179" s="29" t="str">
        <f>IF(A179="", "", IFERROR(VLOOKUP(A179, 'Master Roster'!A:H, 8, FALSE) - F179, ""))</f>
        <v/>
      </c>
      <c r="K179" s="29" t="s">
        <v>175</v>
      </c>
      <c r="L179" s="29" t="b">
        <v>0</v>
      </c>
      <c r="M179" s="29"/>
      <c r="N179" s="29" t="s">
        <v>175</v>
      </c>
      <c r="O179" s="29" t="str">
        <f>IF(ISBLANK(A179), "", LET(entry_day, VLOOKUP(A179, 'Master Roster'!$A:$G, 7, FALSE), start_date, DATE(E179, MONTH(D179&amp;" 1"), entry_day), end_date, EDATE(start_date, 1), period, TEXT(start_date, "mmm d, yyyy") &amp; " - " &amp; TEXT(end_date, "mmm d, yyyy"), HYPERLINK("https://wa.me/" &amp; VLOOKUP(A179, 'Master Roster'!$A:$F, 6, FALSE) &amp; "?text=" &amp; ENCODEURL("Hello " &amp; IFERROR(IF(VLOOKUP(A179, 'Master Roster'!$A:$J, 10, FALSE)="Male", "Mr. ", "Ms. "), "") &amp; B179 &amp; ", payment of K" &amp; F179 &amp; " received for " &amp; period &amp; ". Receipt No: " &amp; N179), "Send Receipt")))</f>
        <v/>
      </c>
    </row>
    <row r="180">
      <c r="A180" s="29"/>
      <c r="B180" s="29" t="s">
        <v>175</v>
      </c>
      <c r="C180" s="76"/>
      <c r="D180" s="29"/>
      <c r="E180" s="29"/>
      <c r="F180" s="29"/>
      <c r="G180" s="29"/>
      <c r="H180" s="29" t="str">
        <f t="shared" si="1"/>
        <v/>
      </c>
      <c r="I180" s="29" t="str">
        <f t="shared" si="2"/>
        <v/>
      </c>
      <c r="J180" s="29" t="str">
        <f>IF(A180="", "", IFERROR(VLOOKUP(A180, 'Master Roster'!A:H, 8, FALSE) - F180, ""))</f>
        <v/>
      </c>
      <c r="K180" s="29" t="s">
        <v>175</v>
      </c>
      <c r="L180" s="29" t="b">
        <v>0</v>
      </c>
      <c r="M180" s="29"/>
      <c r="N180" s="29" t="s">
        <v>175</v>
      </c>
      <c r="O180" s="29" t="str">
        <f>IF(ISBLANK(A180), "", LET(entry_day, VLOOKUP(A180, 'Master Roster'!$A:$G, 7, FALSE), start_date, DATE(E180, MONTH(D180&amp;" 1"), entry_day), end_date, EDATE(start_date, 1), period, TEXT(start_date, "mmm d, yyyy") &amp; " - " &amp; TEXT(end_date, "mmm d, yyyy"), HYPERLINK("https://wa.me/" &amp; VLOOKUP(A180, 'Master Roster'!$A:$F, 6, FALSE) &amp; "?text=" &amp; ENCODEURL("Hello " &amp; IFERROR(IF(VLOOKUP(A180, 'Master Roster'!$A:$J, 10, FALSE)="Male", "Mr. ", "Ms. "), "") &amp; B180 &amp; ", payment of K" &amp; F180 &amp; " received for " &amp; period &amp; ". Receipt No: " &amp; N180), "Send Receipt")))</f>
        <v/>
      </c>
    </row>
    <row r="181">
      <c r="A181" s="29"/>
      <c r="B181" s="29" t="s">
        <v>175</v>
      </c>
      <c r="C181" s="76"/>
      <c r="D181" s="29"/>
      <c r="E181" s="29"/>
      <c r="F181" s="29"/>
      <c r="G181" s="29"/>
      <c r="H181" s="29" t="str">
        <f t="shared" si="1"/>
        <v/>
      </c>
      <c r="I181" s="29" t="str">
        <f t="shared" si="2"/>
        <v/>
      </c>
      <c r="J181" s="29" t="str">
        <f>IF(A181="", "", IFERROR(VLOOKUP(A181, 'Master Roster'!A:H, 8, FALSE) - F181, ""))</f>
        <v/>
      </c>
      <c r="K181" s="29" t="s">
        <v>175</v>
      </c>
      <c r="L181" s="29" t="b">
        <v>0</v>
      </c>
      <c r="M181" s="29"/>
      <c r="N181" s="29" t="s">
        <v>175</v>
      </c>
      <c r="O181" s="29" t="str">
        <f>IF(ISBLANK(A181), "", LET(entry_day, VLOOKUP(A181, 'Master Roster'!$A:$G, 7, FALSE), start_date, DATE(E181, MONTH(D181&amp;" 1"), entry_day), end_date, EDATE(start_date, 1), period, TEXT(start_date, "mmm d, yyyy") &amp; " - " &amp; TEXT(end_date, "mmm d, yyyy"), HYPERLINK("https://wa.me/" &amp; VLOOKUP(A181, 'Master Roster'!$A:$F, 6, FALSE) &amp; "?text=" &amp; ENCODEURL("Hello " &amp; IFERROR(IF(VLOOKUP(A181, 'Master Roster'!$A:$J, 10, FALSE)="Male", "Mr. ", "Ms. "), "") &amp; B181 &amp; ", payment of K" &amp; F181 &amp; " received for " &amp; period &amp; ". Receipt No: " &amp; N181), "Send Receipt")))</f>
        <v/>
      </c>
    </row>
    <row r="182">
      <c r="A182" s="29"/>
      <c r="B182" s="29" t="s">
        <v>175</v>
      </c>
      <c r="C182" s="76"/>
      <c r="D182" s="29"/>
      <c r="E182" s="29"/>
      <c r="F182" s="29"/>
      <c r="G182" s="29"/>
      <c r="H182" s="29" t="str">
        <f t="shared" si="1"/>
        <v/>
      </c>
      <c r="I182" s="29" t="str">
        <f t="shared" si="2"/>
        <v/>
      </c>
      <c r="J182" s="29" t="str">
        <f>IF(A182="", "", IFERROR(VLOOKUP(A182, 'Master Roster'!A:H, 8, FALSE) - F182, ""))</f>
        <v/>
      </c>
      <c r="K182" s="29" t="s">
        <v>175</v>
      </c>
      <c r="L182" s="29" t="b">
        <v>0</v>
      </c>
      <c r="M182" s="29"/>
      <c r="N182" s="29" t="s">
        <v>175</v>
      </c>
      <c r="O182" s="29" t="str">
        <f>IF(ISBLANK(A182), "", LET(entry_day, VLOOKUP(A182, 'Master Roster'!$A:$G, 7, FALSE), start_date, DATE(E182, MONTH(D182&amp;" 1"), entry_day), end_date, EDATE(start_date, 1), period, TEXT(start_date, "mmm d, yyyy") &amp; " - " &amp; TEXT(end_date, "mmm d, yyyy"), HYPERLINK("https://wa.me/" &amp; VLOOKUP(A182, 'Master Roster'!$A:$F, 6, FALSE) &amp; "?text=" &amp; ENCODEURL("Hello " &amp; IFERROR(IF(VLOOKUP(A182, 'Master Roster'!$A:$J, 10, FALSE)="Male", "Mr. ", "Ms. "), "") &amp; B182 &amp; ", payment of K" &amp; F182 &amp; " received for " &amp; period &amp; ". Receipt No: " &amp; N182), "Send Receipt")))</f>
        <v/>
      </c>
    </row>
    <row r="183">
      <c r="A183" s="29"/>
      <c r="B183" s="29" t="s">
        <v>175</v>
      </c>
      <c r="C183" s="76"/>
      <c r="D183" s="29"/>
      <c r="E183" s="29"/>
      <c r="F183" s="29"/>
      <c r="G183" s="29"/>
      <c r="H183" s="29" t="str">
        <f t="shared" si="1"/>
        <v/>
      </c>
      <c r="I183" s="29" t="str">
        <f t="shared" si="2"/>
        <v/>
      </c>
      <c r="J183" s="29" t="str">
        <f>IF(A183="", "", IFERROR(VLOOKUP(A183, 'Master Roster'!A:H, 8, FALSE) - F183, ""))</f>
        <v/>
      </c>
      <c r="K183" s="29" t="s">
        <v>175</v>
      </c>
      <c r="L183" s="29" t="b">
        <v>0</v>
      </c>
      <c r="M183" s="29"/>
      <c r="N183" s="29" t="s">
        <v>175</v>
      </c>
      <c r="O183" s="29" t="str">
        <f>IF(ISBLANK(A183), "", LET(entry_day, VLOOKUP(A183, 'Master Roster'!$A:$G, 7, FALSE), start_date, DATE(E183, MONTH(D183&amp;" 1"), entry_day), end_date, EDATE(start_date, 1), period, TEXT(start_date, "mmm d, yyyy") &amp; " - " &amp; TEXT(end_date, "mmm d, yyyy"), HYPERLINK("https://wa.me/" &amp; VLOOKUP(A183, 'Master Roster'!$A:$F, 6, FALSE) &amp; "?text=" &amp; ENCODEURL("Hello " &amp; IFERROR(IF(VLOOKUP(A183, 'Master Roster'!$A:$J, 10, FALSE)="Male", "Mr. ", "Ms. "), "") &amp; B183 &amp; ", payment of K" &amp; F183 &amp; " received for " &amp; period &amp; ". Receipt No: " &amp; N183), "Send Receipt")))</f>
        <v/>
      </c>
    </row>
    <row r="184">
      <c r="A184" s="29"/>
      <c r="B184" s="29" t="s">
        <v>175</v>
      </c>
      <c r="C184" s="76"/>
      <c r="D184" s="29"/>
      <c r="E184" s="29"/>
      <c r="F184" s="29"/>
      <c r="G184" s="29"/>
      <c r="H184" s="29" t="str">
        <f t="shared" si="1"/>
        <v/>
      </c>
      <c r="I184" s="29" t="str">
        <f t="shared" si="2"/>
        <v/>
      </c>
      <c r="J184" s="29" t="str">
        <f>IF(A184="", "", IFERROR(VLOOKUP(A184, 'Master Roster'!A:H, 8, FALSE) - F184, ""))</f>
        <v/>
      </c>
      <c r="K184" s="29" t="s">
        <v>175</v>
      </c>
      <c r="L184" s="29" t="b">
        <v>0</v>
      </c>
      <c r="M184" s="29"/>
      <c r="N184" s="29" t="s">
        <v>175</v>
      </c>
      <c r="O184" s="29" t="str">
        <f>IF(ISBLANK(A184), "", LET(entry_day, VLOOKUP(A184, 'Master Roster'!$A:$G, 7, FALSE), start_date, DATE(E184, MONTH(D184&amp;" 1"), entry_day), end_date, EDATE(start_date, 1), period, TEXT(start_date, "mmm d, yyyy") &amp; " - " &amp; TEXT(end_date, "mmm d, yyyy"), HYPERLINK("https://wa.me/" &amp; VLOOKUP(A184, 'Master Roster'!$A:$F, 6, FALSE) &amp; "?text=" &amp; ENCODEURL("Hello " &amp; IFERROR(IF(VLOOKUP(A184, 'Master Roster'!$A:$J, 10, FALSE)="Male", "Mr. ", "Ms. "), "") &amp; B184 &amp; ", payment of K" &amp; F184 &amp; " received for " &amp; period &amp; ". Receipt No: " &amp; N184), "Send Receipt")))</f>
        <v/>
      </c>
    </row>
    <row r="185">
      <c r="A185" s="29"/>
      <c r="B185" s="29" t="s">
        <v>175</v>
      </c>
      <c r="C185" s="76"/>
      <c r="D185" s="29"/>
      <c r="E185" s="29"/>
      <c r="F185" s="29"/>
      <c r="G185" s="29"/>
      <c r="H185" s="29" t="str">
        <f t="shared" si="1"/>
        <v/>
      </c>
      <c r="I185" s="29" t="str">
        <f t="shared" si="2"/>
        <v/>
      </c>
      <c r="J185" s="29" t="str">
        <f>IF(A185="", "", IFERROR(VLOOKUP(A185, 'Master Roster'!A:H, 8, FALSE) - F185, ""))</f>
        <v/>
      </c>
      <c r="K185" s="29" t="s">
        <v>175</v>
      </c>
      <c r="L185" s="29" t="b">
        <v>0</v>
      </c>
      <c r="M185" s="29"/>
      <c r="N185" s="29" t="s">
        <v>175</v>
      </c>
      <c r="O185" s="29" t="str">
        <f>IF(ISBLANK(A185), "", LET(entry_day, VLOOKUP(A185, 'Master Roster'!$A:$G, 7, FALSE), start_date, DATE(E185, MONTH(D185&amp;" 1"), entry_day), end_date, EDATE(start_date, 1), period, TEXT(start_date, "mmm d, yyyy") &amp; " - " &amp; TEXT(end_date, "mmm d, yyyy"), HYPERLINK("https://wa.me/" &amp; VLOOKUP(A185, 'Master Roster'!$A:$F, 6, FALSE) &amp; "?text=" &amp; ENCODEURL("Hello " &amp; IFERROR(IF(VLOOKUP(A185, 'Master Roster'!$A:$J, 10, FALSE)="Male", "Mr. ", "Ms. "), "") &amp; B185 &amp; ", payment of K" &amp; F185 &amp; " received for " &amp; period &amp; ". Receipt No: " &amp; N185), "Send Receipt")))</f>
        <v/>
      </c>
    </row>
    <row r="186">
      <c r="A186" s="29"/>
      <c r="B186" s="29" t="s">
        <v>175</v>
      </c>
      <c r="C186" s="76"/>
      <c r="D186" s="29"/>
      <c r="E186" s="29"/>
      <c r="F186" s="29"/>
      <c r="G186" s="29"/>
      <c r="H186" s="29" t="str">
        <f t="shared" si="1"/>
        <v/>
      </c>
      <c r="I186" s="29" t="str">
        <f t="shared" si="2"/>
        <v/>
      </c>
      <c r="J186" s="29" t="str">
        <f>IF(A186="", "", IFERROR(VLOOKUP(A186, 'Master Roster'!A:H, 8, FALSE) - F186, ""))</f>
        <v/>
      </c>
      <c r="K186" s="29" t="s">
        <v>175</v>
      </c>
      <c r="L186" s="29" t="b">
        <v>0</v>
      </c>
      <c r="M186" s="29"/>
      <c r="N186" s="29" t="s">
        <v>175</v>
      </c>
      <c r="O186" s="29" t="str">
        <f>IF(ISBLANK(A186), "", LET(entry_day, VLOOKUP(A186, 'Master Roster'!$A:$G, 7, FALSE), start_date, DATE(E186, MONTH(D186&amp;" 1"), entry_day), end_date, EDATE(start_date, 1), period, TEXT(start_date, "mmm d, yyyy") &amp; " - " &amp; TEXT(end_date, "mmm d, yyyy"), HYPERLINK("https://wa.me/" &amp; VLOOKUP(A186, 'Master Roster'!$A:$F, 6, FALSE) &amp; "?text=" &amp; ENCODEURL("Hello " &amp; IFERROR(IF(VLOOKUP(A186, 'Master Roster'!$A:$J, 10, FALSE)="Male", "Mr. ", "Ms. "), "") &amp; B186 &amp; ", payment of K" &amp; F186 &amp; " received for " &amp; period &amp; ". Receipt No: " &amp; N186), "Send Receipt")))</f>
        <v/>
      </c>
    </row>
    <row r="187">
      <c r="A187" s="29"/>
      <c r="B187" s="29" t="s">
        <v>175</v>
      </c>
      <c r="C187" s="76"/>
      <c r="D187" s="29"/>
      <c r="E187" s="29"/>
      <c r="F187" s="29"/>
      <c r="G187" s="29"/>
      <c r="H187" s="29" t="str">
        <f t="shared" si="1"/>
        <v/>
      </c>
      <c r="I187" s="29" t="str">
        <f t="shared" si="2"/>
        <v/>
      </c>
      <c r="J187" s="29" t="str">
        <f>IF(A187="", "", IFERROR(VLOOKUP(A187, 'Master Roster'!A:H, 8, FALSE) - F187, ""))</f>
        <v/>
      </c>
      <c r="K187" s="29" t="s">
        <v>175</v>
      </c>
      <c r="L187" s="29" t="b">
        <v>0</v>
      </c>
      <c r="M187" s="29"/>
      <c r="N187" s="29" t="s">
        <v>175</v>
      </c>
      <c r="O187" s="29" t="str">
        <f>IF(ISBLANK(A187), "", LET(entry_day, VLOOKUP(A187, 'Master Roster'!$A:$G, 7, FALSE), start_date, DATE(E187, MONTH(D187&amp;" 1"), entry_day), end_date, EDATE(start_date, 1), period, TEXT(start_date, "mmm d, yyyy") &amp; " - " &amp; TEXT(end_date, "mmm d, yyyy"), HYPERLINK("https://wa.me/" &amp; VLOOKUP(A187, 'Master Roster'!$A:$F, 6, FALSE) &amp; "?text=" &amp; ENCODEURL("Hello " &amp; IFERROR(IF(VLOOKUP(A187, 'Master Roster'!$A:$J, 10, FALSE)="Male", "Mr. ", "Ms. "), "") &amp; B187 &amp; ", payment of K" &amp; F187 &amp; " received for " &amp; period &amp; ". Receipt No: " &amp; N187), "Send Receipt")))</f>
        <v/>
      </c>
    </row>
    <row r="188">
      <c r="A188" s="29"/>
      <c r="B188" s="29" t="s">
        <v>175</v>
      </c>
      <c r="C188" s="76"/>
      <c r="D188" s="29"/>
      <c r="E188" s="29"/>
      <c r="F188" s="29"/>
      <c r="G188" s="29"/>
      <c r="H188" s="29" t="str">
        <f t="shared" si="1"/>
        <v/>
      </c>
      <c r="I188" s="29" t="str">
        <f t="shared" si="2"/>
        <v/>
      </c>
      <c r="J188" s="29" t="str">
        <f>IF(A188="", "", IFERROR(VLOOKUP(A188, 'Master Roster'!A:H, 8, FALSE) - F188, ""))</f>
        <v/>
      </c>
      <c r="K188" s="29" t="s">
        <v>175</v>
      </c>
      <c r="L188" s="29" t="b">
        <v>0</v>
      </c>
      <c r="M188" s="29"/>
      <c r="N188" s="29" t="s">
        <v>175</v>
      </c>
      <c r="O188" s="29" t="str">
        <f>IF(ISBLANK(A188), "", LET(entry_day, VLOOKUP(A188, 'Master Roster'!$A:$G, 7, FALSE), start_date, DATE(E188, MONTH(D188&amp;" 1"), entry_day), end_date, EDATE(start_date, 1), period, TEXT(start_date, "mmm d, yyyy") &amp; " - " &amp; TEXT(end_date, "mmm d, yyyy"), HYPERLINK("https://wa.me/" &amp; VLOOKUP(A188, 'Master Roster'!$A:$F, 6, FALSE) &amp; "?text=" &amp; ENCODEURL("Hello " &amp; IFERROR(IF(VLOOKUP(A188, 'Master Roster'!$A:$J, 10, FALSE)="Male", "Mr. ", "Ms. "), "") &amp; B188 &amp; ", payment of K" &amp; F188 &amp; " received for " &amp; period &amp; ". Receipt No: " &amp; N188), "Send Receipt")))</f>
        <v/>
      </c>
    </row>
    <row r="189">
      <c r="A189" s="29"/>
      <c r="B189" s="29" t="s">
        <v>175</v>
      </c>
      <c r="C189" s="76"/>
      <c r="D189" s="29"/>
      <c r="E189" s="29"/>
      <c r="F189" s="29"/>
      <c r="G189" s="29"/>
      <c r="H189" s="29" t="str">
        <f t="shared" si="1"/>
        <v/>
      </c>
      <c r="I189" s="29" t="str">
        <f t="shared" si="2"/>
        <v/>
      </c>
      <c r="J189" s="29" t="str">
        <f>IF(A189="", "", IFERROR(VLOOKUP(A189, 'Master Roster'!A:H, 8, FALSE) - F189, ""))</f>
        <v/>
      </c>
      <c r="K189" s="29" t="s">
        <v>175</v>
      </c>
      <c r="L189" s="29" t="b">
        <v>0</v>
      </c>
      <c r="M189" s="29"/>
      <c r="N189" s="29" t="s">
        <v>175</v>
      </c>
      <c r="O189" s="29" t="str">
        <f>IF(ISBLANK(A189), "", LET(entry_day, VLOOKUP(A189, 'Master Roster'!$A:$G, 7, FALSE), start_date, DATE(E189, MONTH(D189&amp;" 1"), entry_day), end_date, EDATE(start_date, 1), period, TEXT(start_date, "mmm d, yyyy") &amp; " - " &amp; TEXT(end_date, "mmm d, yyyy"), HYPERLINK("https://wa.me/" &amp; VLOOKUP(A189, 'Master Roster'!$A:$F, 6, FALSE) &amp; "?text=" &amp; ENCODEURL("Hello " &amp; IFERROR(IF(VLOOKUP(A189, 'Master Roster'!$A:$J, 10, FALSE)="Male", "Mr. ", "Ms. "), "") &amp; B189 &amp; ", payment of K" &amp; F189 &amp; " received for " &amp; period &amp; ". Receipt No: " &amp; N189), "Send Receipt")))</f>
        <v/>
      </c>
    </row>
    <row r="190">
      <c r="A190" s="29"/>
      <c r="B190" s="29" t="s">
        <v>175</v>
      </c>
      <c r="C190" s="76"/>
      <c r="D190" s="29"/>
      <c r="E190" s="29"/>
      <c r="F190" s="29"/>
      <c r="G190" s="29"/>
      <c r="H190" s="29" t="str">
        <f t="shared" si="1"/>
        <v/>
      </c>
      <c r="I190" s="29" t="str">
        <f t="shared" si="2"/>
        <v/>
      </c>
      <c r="J190" s="29" t="str">
        <f>IF(A190="", "", IFERROR(VLOOKUP(A190, 'Master Roster'!A:H, 8, FALSE) - F190, ""))</f>
        <v/>
      </c>
      <c r="K190" s="29" t="s">
        <v>175</v>
      </c>
      <c r="L190" s="29" t="b">
        <v>0</v>
      </c>
      <c r="M190" s="29"/>
      <c r="N190" s="29" t="s">
        <v>175</v>
      </c>
      <c r="O190" s="29" t="str">
        <f>IF(ISBLANK(A190), "", LET(entry_day, VLOOKUP(A190, 'Master Roster'!$A:$G, 7, FALSE), start_date, DATE(E190, MONTH(D190&amp;" 1"), entry_day), end_date, EDATE(start_date, 1), period, TEXT(start_date, "mmm d, yyyy") &amp; " - " &amp; TEXT(end_date, "mmm d, yyyy"), HYPERLINK("https://wa.me/" &amp; VLOOKUP(A190, 'Master Roster'!$A:$F, 6, FALSE) &amp; "?text=" &amp; ENCODEURL("Hello " &amp; IFERROR(IF(VLOOKUP(A190, 'Master Roster'!$A:$J, 10, FALSE)="Male", "Mr. ", "Ms. "), "") &amp; B190 &amp; ", payment of K" &amp; F190 &amp; " received for " &amp; period &amp; ". Receipt No: " &amp; N190), "Send Receipt")))</f>
        <v/>
      </c>
    </row>
    <row r="191">
      <c r="A191" s="29"/>
      <c r="B191" s="29" t="s">
        <v>175</v>
      </c>
      <c r="C191" s="76"/>
      <c r="D191" s="29"/>
      <c r="E191" s="29"/>
      <c r="F191" s="29"/>
      <c r="G191" s="29"/>
      <c r="H191" s="29" t="str">
        <f t="shared" si="1"/>
        <v/>
      </c>
      <c r="I191" s="29" t="str">
        <f t="shared" si="2"/>
        <v/>
      </c>
      <c r="J191" s="29" t="str">
        <f>IF(A191="", "", IFERROR(VLOOKUP(A191, 'Master Roster'!A:H, 8, FALSE) - F191, ""))</f>
        <v/>
      </c>
      <c r="K191" s="29" t="s">
        <v>175</v>
      </c>
      <c r="L191" s="29" t="b">
        <v>0</v>
      </c>
      <c r="M191" s="29"/>
      <c r="N191" s="29" t="s">
        <v>175</v>
      </c>
      <c r="O191" s="29" t="str">
        <f>IF(ISBLANK(A191), "", LET(entry_day, VLOOKUP(A191, 'Master Roster'!$A:$G, 7, FALSE), start_date, DATE(E191, MONTH(D191&amp;" 1"), entry_day), end_date, EDATE(start_date, 1), period, TEXT(start_date, "mmm d, yyyy") &amp; " - " &amp; TEXT(end_date, "mmm d, yyyy"), HYPERLINK("https://wa.me/" &amp; VLOOKUP(A191, 'Master Roster'!$A:$F, 6, FALSE) &amp; "?text=" &amp; ENCODEURL("Hello " &amp; IFERROR(IF(VLOOKUP(A191, 'Master Roster'!$A:$J, 10, FALSE)="Male", "Mr. ", "Ms. "), "") &amp; B191 &amp; ", payment of K" &amp; F191 &amp; " received for " &amp; period &amp; ". Receipt No: " &amp; N191), "Send Receipt")))</f>
        <v/>
      </c>
    </row>
    <row r="192">
      <c r="A192" s="29"/>
      <c r="B192" s="29" t="s">
        <v>175</v>
      </c>
      <c r="C192" s="76"/>
      <c r="D192" s="29"/>
      <c r="E192" s="29"/>
      <c r="F192" s="29"/>
      <c r="G192" s="29"/>
      <c r="H192" s="29" t="str">
        <f t="shared" si="1"/>
        <v/>
      </c>
      <c r="I192" s="29" t="str">
        <f t="shared" si="2"/>
        <v/>
      </c>
      <c r="J192" s="29" t="str">
        <f>IF(A192="", "", IFERROR(VLOOKUP(A192, 'Master Roster'!A:H, 8, FALSE) - F192, ""))</f>
        <v/>
      </c>
      <c r="K192" s="29" t="s">
        <v>175</v>
      </c>
      <c r="L192" s="29" t="b">
        <v>0</v>
      </c>
      <c r="M192" s="29"/>
      <c r="N192" s="29" t="s">
        <v>175</v>
      </c>
      <c r="O192" s="29" t="str">
        <f>IF(ISBLANK(A192), "", LET(entry_day, VLOOKUP(A192, 'Master Roster'!$A:$G, 7, FALSE), start_date, DATE(E192, MONTH(D192&amp;" 1"), entry_day), end_date, EDATE(start_date, 1), period, TEXT(start_date, "mmm d, yyyy") &amp; " - " &amp; TEXT(end_date, "mmm d, yyyy"), HYPERLINK("https://wa.me/" &amp; VLOOKUP(A192, 'Master Roster'!$A:$F, 6, FALSE) &amp; "?text=" &amp; ENCODEURL("Hello " &amp; IFERROR(IF(VLOOKUP(A192, 'Master Roster'!$A:$J, 10, FALSE)="Male", "Mr. ", "Ms. "), "") &amp; B192 &amp; ", payment of K" &amp; F192 &amp; " received for " &amp; period &amp; ". Receipt No: " &amp; N192), "Send Receipt")))</f>
        <v/>
      </c>
    </row>
    <row r="193">
      <c r="A193" s="29"/>
      <c r="B193" s="29" t="s">
        <v>175</v>
      </c>
      <c r="C193" s="76"/>
      <c r="D193" s="29"/>
      <c r="E193" s="29"/>
      <c r="F193" s="29"/>
      <c r="G193" s="29"/>
      <c r="H193" s="29" t="str">
        <f t="shared" si="1"/>
        <v/>
      </c>
      <c r="I193" s="29" t="str">
        <f t="shared" si="2"/>
        <v/>
      </c>
      <c r="J193" s="29" t="str">
        <f>IF(A193="", "", IFERROR(VLOOKUP(A193, 'Master Roster'!A:H, 8, FALSE) - F193, ""))</f>
        <v/>
      </c>
      <c r="K193" s="29" t="s">
        <v>175</v>
      </c>
      <c r="L193" s="29" t="b">
        <v>0</v>
      </c>
      <c r="M193" s="29"/>
      <c r="N193" s="29" t="s">
        <v>175</v>
      </c>
      <c r="O193" s="29" t="str">
        <f>IF(ISBLANK(A193), "", LET(entry_day, VLOOKUP(A193, 'Master Roster'!$A:$G, 7, FALSE), start_date, DATE(E193, MONTH(D193&amp;" 1"), entry_day), end_date, EDATE(start_date, 1), period, TEXT(start_date, "mmm d, yyyy") &amp; " - " &amp; TEXT(end_date, "mmm d, yyyy"), HYPERLINK("https://wa.me/" &amp; VLOOKUP(A193, 'Master Roster'!$A:$F, 6, FALSE) &amp; "?text=" &amp; ENCODEURL("Hello " &amp; IFERROR(IF(VLOOKUP(A193, 'Master Roster'!$A:$J, 10, FALSE)="Male", "Mr. ", "Ms. "), "") &amp; B193 &amp; ", payment of K" &amp; F193 &amp; " received for " &amp; period &amp; ". Receipt No: " &amp; N193), "Send Receipt")))</f>
        <v/>
      </c>
    </row>
    <row r="194">
      <c r="A194" s="29"/>
      <c r="B194" s="29" t="s">
        <v>175</v>
      </c>
      <c r="C194" s="76"/>
      <c r="D194" s="29"/>
      <c r="E194" s="29"/>
      <c r="F194" s="29"/>
      <c r="G194" s="29"/>
      <c r="H194" s="29" t="str">
        <f t="shared" si="1"/>
        <v/>
      </c>
      <c r="I194" s="29" t="str">
        <f t="shared" si="2"/>
        <v/>
      </c>
      <c r="J194" s="29" t="str">
        <f>IF(A194="", "", IFERROR(VLOOKUP(A194, 'Master Roster'!A:H, 8, FALSE) - F194, ""))</f>
        <v/>
      </c>
      <c r="K194" s="29" t="s">
        <v>175</v>
      </c>
      <c r="L194" s="29" t="b">
        <v>0</v>
      </c>
      <c r="M194" s="29"/>
      <c r="N194" s="29" t="s">
        <v>175</v>
      </c>
      <c r="O194" s="29" t="str">
        <f>IF(ISBLANK(A194), "", LET(entry_day, VLOOKUP(A194, 'Master Roster'!$A:$G, 7, FALSE), start_date, DATE(E194, MONTH(D194&amp;" 1"), entry_day), end_date, EDATE(start_date, 1), period, TEXT(start_date, "mmm d, yyyy") &amp; " - " &amp; TEXT(end_date, "mmm d, yyyy"), HYPERLINK("https://wa.me/" &amp; VLOOKUP(A194, 'Master Roster'!$A:$F, 6, FALSE) &amp; "?text=" &amp; ENCODEURL("Hello " &amp; IFERROR(IF(VLOOKUP(A194, 'Master Roster'!$A:$J, 10, FALSE)="Male", "Mr. ", "Ms. "), "") &amp; B194 &amp; ", payment of K" &amp; F194 &amp; " received for " &amp; period &amp; ". Receipt No: " &amp; N194), "Send Receipt")))</f>
        <v/>
      </c>
    </row>
    <row r="195">
      <c r="A195" s="29"/>
      <c r="B195" s="29" t="s">
        <v>175</v>
      </c>
      <c r="C195" s="76"/>
      <c r="D195" s="29"/>
      <c r="E195" s="29"/>
      <c r="F195" s="29"/>
      <c r="G195" s="29"/>
      <c r="H195" s="29" t="str">
        <f t="shared" si="1"/>
        <v/>
      </c>
      <c r="I195" s="29" t="str">
        <f t="shared" si="2"/>
        <v/>
      </c>
      <c r="J195" s="29" t="str">
        <f>IF(A195="", "", IFERROR(VLOOKUP(A195, 'Master Roster'!A:H, 8, FALSE) - F195, ""))</f>
        <v/>
      </c>
      <c r="K195" s="29" t="s">
        <v>175</v>
      </c>
      <c r="L195" s="29" t="b">
        <v>0</v>
      </c>
      <c r="M195" s="29"/>
      <c r="N195" s="29" t="s">
        <v>175</v>
      </c>
      <c r="O195" s="29" t="str">
        <f>IF(ISBLANK(A195), "", LET(entry_day, VLOOKUP(A195, 'Master Roster'!$A:$G, 7, FALSE), start_date, DATE(E195, MONTH(D195&amp;" 1"), entry_day), end_date, EDATE(start_date, 1), period, TEXT(start_date, "mmm d, yyyy") &amp; " - " &amp; TEXT(end_date, "mmm d, yyyy"), HYPERLINK("https://wa.me/" &amp; VLOOKUP(A195, 'Master Roster'!$A:$F, 6, FALSE) &amp; "?text=" &amp; ENCODEURL("Hello " &amp; IFERROR(IF(VLOOKUP(A195, 'Master Roster'!$A:$J, 10, FALSE)="Male", "Mr. ", "Ms. "), "") &amp; B195 &amp; ", payment of K" &amp; F195 &amp; " received for " &amp; period &amp; ". Receipt No: " &amp; N195), "Send Receipt")))</f>
        <v/>
      </c>
    </row>
    <row r="196">
      <c r="A196" s="29"/>
      <c r="B196" s="29" t="s">
        <v>175</v>
      </c>
      <c r="C196" s="76"/>
      <c r="D196" s="29"/>
      <c r="E196" s="29"/>
      <c r="F196" s="29"/>
      <c r="G196" s="29"/>
      <c r="H196" s="29" t="str">
        <f t="shared" si="1"/>
        <v/>
      </c>
      <c r="I196" s="29" t="str">
        <f t="shared" si="2"/>
        <v/>
      </c>
      <c r="J196" s="29" t="str">
        <f>IF(A196="", "", IFERROR(VLOOKUP(A196, 'Master Roster'!A:H, 8, FALSE) - F196, ""))</f>
        <v/>
      </c>
      <c r="K196" s="29" t="s">
        <v>175</v>
      </c>
      <c r="L196" s="29" t="b">
        <v>0</v>
      </c>
      <c r="M196" s="29"/>
      <c r="N196" s="29" t="s">
        <v>175</v>
      </c>
      <c r="O196" s="29" t="str">
        <f>IF(ISBLANK(A196), "", LET(entry_day, VLOOKUP(A196, 'Master Roster'!$A:$G, 7, FALSE), start_date, DATE(E196, MONTH(D196&amp;" 1"), entry_day), end_date, EDATE(start_date, 1), period, TEXT(start_date, "mmm d, yyyy") &amp; " - " &amp; TEXT(end_date, "mmm d, yyyy"), HYPERLINK("https://wa.me/" &amp; VLOOKUP(A196, 'Master Roster'!$A:$F, 6, FALSE) &amp; "?text=" &amp; ENCODEURL("Hello " &amp; IFERROR(IF(VLOOKUP(A196, 'Master Roster'!$A:$J, 10, FALSE)="Male", "Mr. ", "Ms. "), "") &amp; B196 &amp; ", payment of K" &amp; F196 &amp; " received for " &amp; period &amp; ". Receipt No: " &amp; N196), "Send Receipt")))</f>
        <v/>
      </c>
    </row>
    <row r="197">
      <c r="A197" s="29"/>
      <c r="B197" s="29" t="s">
        <v>175</v>
      </c>
      <c r="C197" s="76"/>
      <c r="D197" s="29"/>
      <c r="E197" s="29"/>
      <c r="F197" s="29"/>
      <c r="G197" s="29"/>
      <c r="H197" s="29" t="str">
        <f t="shared" si="1"/>
        <v/>
      </c>
      <c r="I197" s="29" t="str">
        <f t="shared" si="2"/>
        <v/>
      </c>
      <c r="J197" s="29" t="str">
        <f>IF(A197="", "", IFERROR(VLOOKUP(A197, 'Master Roster'!A:H, 8, FALSE) - F197, ""))</f>
        <v/>
      </c>
      <c r="K197" s="29" t="s">
        <v>175</v>
      </c>
      <c r="L197" s="29" t="b">
        <v>0</v>
      </c>
      <c r="M197" s="29"/>
      <c r="N197" s="29" t="s">
        <v>175</v>
      </c>
      <c r="O197" s="29" t="str">
        <f>IF(ISBLANK(A197), "", LET(entry_day, VLOOKUP(A197, 'Master Roster'!$A:$G, 7, FALSE), start_date, DATE(E197, MONTH(D197&amp;" 1"), entry_day), end_date, EDATE(start_date, 1), period, TEXT(start_date, "mmm d, yyyy") &amp; " - " &amp; TEXT(end_date, "mmm d, yyyy"), HYPERLINK("https://wa.me/" &amp; VLOOKUP(A197, 'Master Roster'!$A:$F, 6, FALSE) &amp; "?text=" &amp; ENCODEURL("Hello " &amp; IFERROR(IF(VLOOKUP(A197, 'Master Roster'!$A:$J, 10, FALSE)="Male", "Mr. ", "Ms. "), "") &amp; B197 &amp; ", payment of K" &amp; F197 &amp; " received for " &amp; period &amp; ". Receipt No: " &amp; N197), "Send Receipt")))</f>
        <v/>
      </c>
    </row>
    <row r="198">
      <c r="A198" s="29"/>
      <c r="B198" s="29" t="s">
        <v>175</v>
      </c>
      <c r="C198" s="76"/>
      <c r="D198" s="29"/>
      <c r="E198" s="29"/>
      <c r="F198" s="29"/>
      <c r="G198" s="29"/>
      <c r="H198" s="29" t="str">
        <f t="shared" si="1"/>
        <v/>
      </c>
      <c r="I198" s="29" t="str">
        <f t="shared" si="2"/>
        <v/>
      </c>
      <c r="J198" s="29" t="str">
        <f>IF(A198="", "", IFERROR(VLOOKUP(A198, 'Master Roster'!A:H, 8, FALSE) - F198, ""))</f>
        <v/>
      </c>
      <c r="K198" s="29" t="s">
        <v>175</v>
      </c>
      <c r="L198" s="29" t="b">
        <v>0</v>
      </c>
      <c r="M198" s="29"/>
      <c r="N198" s="29" t="s">
        <v>175</v>
      </c>
      <c r="O198" s="29" t="str">
        <f>IF(ISBLANK(A198), "", LET(entry_day, VLOOKUP(A198, 'Master Roster'!$A:$G, 7, FALSE), start_date, DATE(E198, MONTH(D198&amp;" 1"), entry_day), end_date, EDATE(start_date, 1), period, TEXT(start_date, "mmm d, yyyy") &amp; " - " &amp; TEXT(end_date, "mmm d, yyyy"), HYPERLINK("https://wa.me/" &amp; VLOOKUP(A198, 'Master Roster'!$A:$F, 6, FALSE) &amp; "?text=" &amp; ENCODEURL("Hello " &amp; IFERROR(IF(VLOOKUP(A198, 'Master Roster'!$A:$J, 10, FALSE)="Male", "Mr. ", "Ms. "), "") &amp; B198 &amp; ", payment of K" &amp; F198 &amp; " received for " &amp; period &amp; ". Receipt No: " &amp; N198), "Send Receipt")))</f>
        <v/>
      </c>
    </row>
    <row r="199">
      <c r="A199" s="29"/>
      <c r="B199" s="29" t="s">
        <v>175</v>
      </c>
      <c r="C199" s="76"/>
      <c r="D199" s="29"/>
      <c r="E199" s="29"/>
      <c r="F199" s="29"/>
      <c r="G199" s="29"/>
      <c r="H199" s="29" t="str">
        <f t="shared" si="1"/>
        <v/>
      </c>
      <c r="I199" s="29" t="str">
        <f t="shared" si="2"/>
        <v/>
      </c>
      <c r="J199" s="29" t="str">
        <f>IF(A199="", "", IFERROR(VLOOKUP(A199, 'Master Roster'!A:H, 8, FALSE) - F199, ""))</f>
        <v/>
      </c>
      <c r="K199" s="29" t="s">
        <v>175</v>
      </c>
      <c r="L199" s="29" t="b">
        <v>0</v>
      </c>
      <c r="M199" s="29"/>
      <c r="N199" s="29" t="s">
        <v>175</v>
      </c>
      <c r="O199" s="29" t="str">
        <f>IF(ISBLANK(A199), "", LET(entry_day, VLOOKUP(A199, 'Master Roster'!$A:$G, 7, FALSE), start_date, DATE(E199, MONTH(D199&amp;" 1"), entry_day), end_date, EDATE(start_date, 1), period, TEXT(start_date, "mmm d, yyyy") &amp; " - " &amp; TEXT(end_date, "mmm d, yyyy"), HYPERLINK("https://wa.me/" &amp; VLOOKUP(A199, 'Master Roster'!$A:$F, 6, FALSE) &amp; "?text=" &amp; ENCODEURL("Hello " &amp; IFERROR(IF(VLOOKUP(A199, 'Master Roster'!$A:$J, 10, FALSE)="Male", "Mr. ", "Ms. "), "") &amp; B199 &amp; ", payment of K" &amp; F199 &amp; " received for " &amp; period &amp; ". Receipt No: " &amp; N199), "Send Receipt")))</f>
        <v/>
      </c>
    </row>
    <row r="200">
      <c r="A200" s="29"/>
      <c r="B200" s="29" t="s">
        <v>175</v>
      </c>
      <c r="C200" s="76"/>
      <c r="D200" s="29"/>
      <c r="E200" s="29"/>
      <c r="F200" s="29"/>
      <c r="G200" s="29"/>
      <c r="H200" s="29" t="str">
        <f t="shared" si="1"/>
        <v/>
      </c>
      <c r="I200" s="29" t="str">
        <f t="shared" si="2"/>
        <v/>
      </c>
      <c r="J200" s="29" t="str">
        <f>IF(A200="", "", IFERROR(VLOOKUP(A200, 'Master Roster'!A:H, 8, FALSE) - F200, ""))</f>
        <v/>
      </c>
      <c r="K200" s="29" t="s">
        <v>175</v>
      </c>
      <c r="L200" s="29" t="b">
        <v>0</v>
      </c>
      <c r="M200" s="29"/>
      <c r="N200" s="29" t="s">
        <v>175</v>
      </c>
      <c r="O200" s="29" t="str">
        <f>IF(ISBLANK(A200), "", LET(entry_day, VLOOKUP(A200, 'Master Roster'!$A:$G, 7, FALSE), start_date, DATE(E200, MONTH(D200&amp;" 1"), entry_day), end_date, EDATE(start_date, 1), period, TEXT(start_date, "mmm d, yyyy") &amp; " - " &amp; TEXT(end_date, "mmm d, yyyy"), HYPERLINK("https://wa.me/" &amp; VLOOKUP(A200, 'Master Roster'!$A:$F, 6, FALSE) &amp; "?text=" &amp; ENCODEURL("Hello " &amp; IFERROR(IF(VLOOKUP(A200, 'Master Roster'!$A:$J, 10, FALSE)="Male", "Mr. ", "Ms. "), "") &amp; B200 &amp; ", payment of K" &amp; F200 &amp; " received for " &amp; period &amp; ". Receipt No: " &amp; N200), "Send Receipt")))</f>
        <v/>
      </c>
    </row>
    <row r="201">
      <c r="A201" s="29"/>
      <c r="B201" s="29" t="s">
        <v>175</v>
      </c>
      <c r="C201" s="76"/>
      <c r="D201" s="29"/>
      <c r="E201" s="29"/>
      <c r="F201" s="29"/>
      <c r="G201" s="29"/>
      <c r="H201" s="29" t="str">
        <f t="shared" si="1"/>
        <v/>
      </c>
      <c r="I201" s="29" t="str">
        <f t="shared" si="2"/>
        <v/>
      </c>
      <c r="J201" s="29" t="str">
        <f>IF(A201="", "", IFERROR(VLOOKUP(A201, 'Master Roster'!A:H, 8, FALSE) - F201, ""))</f>
        <v/>
      </c>
      <c r="K201" s="29" t="s">
        <v>175</v>
      </c>
      <c r="L201" s="29" t="b">
        <v>0</v>
      </c>
      <c r="M201" s="29"/>
      <c r="N201" s="29" t="s">
        <v>175</v>
      </c>
      <c r="O201" s="29" t="str">
        <f>IF(ISBLANK(A201), "", LET(entry_day, VLOOKUP(A201, 'Master Roster'!$A:$G, 7, FALSE), start_date, DATE(E201, MONTH(D201&amp;" 1"), entry_day), end_date, EDATE(start_date, 1), period, TEXT(start_date, "mmm d, yyyy") &amp; " - " &amp; TEXT(end_date, "mmm d, yyyy"), HYPERLINK("https://wa.me/" &amp; VLOOKUP(A201, 'Master Roster'!$A:$F, 6, FALSE) &amp; "?text=" &amp; ENCODEURL("Hello " &amp; IFERROR(IF(VLOOKUP(A201, 'Master Roster'!$A:$J, 10, FALSE)="Male", "Mr. ", "Ms. "), "") &amp; B201 &amp; ", payment of K" &amp; F201 &amp; " received for " &amp; period &amp; ". Receipt No: " &amp; N201), "Send Receipt")))</f>
        <v/>
      </c>
    </row>
    <row r="202">
      <c r="A202" s="29"/>
      <c r="B202" s="29" t="s">
        <v>175</v>
      </c>
      <c r="C202" s="76"/>
      <c r="D202" s="29"/>
      <c r="E202" s="29"/>
      <c r="F202" s="29"/>
      <c r="G202" s="29"/>
      <c r="H202" s="29" t="str">
        <f t="shared" si="1"/>
        <v/>
      </c>
      <c r="I202" s="29" t="str">
        <f t="shared" si="2"/>
        <v/>
      </c>
      <c r="J202" s="29" t="str">
        <f>IF(A202="", "", IFERROR(VLOOKUP(A202, 'Master Roster'!A:H, 8, FALSE) - F202, ""))</f>
        <v/>
      </c>
      <c r="K202" s="29" t="s">
        <v>175</v>
      </c>
      <c r="L202" s="29" t="b">
        <v>0</v>
      </c>
      <c r="M202" s="29"/>
      <c r="N202" s="29" t="s">
        <v>175</v>
      </c>
      <c r="O202" s="29" t="str">
        <f>IF(ISBLANK(A202), "", LET(entry_day, VLOOKUP(A202, 'Master Roster'!$A:$G, 7, FALSE), start_date, DATE(E202, MONTH(D202&amp;" 1"), entry_day), end_date, EDATE(start_date, 1), period, TEXT(start_date, "mmm d, yyyy") &amp; " - " &amp; TEXT(end_date, "mmm d, yyyy"), HYPERLINK("https://wa.me/" &amp; VLOOKUP(A202, 'Master Roster'!$A:$F, 6, FALSE) &amp; "?text=" &amp; ENCODEURL("Hello " &amp; IFERROR(IF(VLOOKUP(A202, 'Master Roster'!$A:$J, 10, FALSE)="Male", "Mr. ", "Ms. "), "") &amp; B202 &amp; ", payment of K" &amp; F202 &amp; " received for " &amp; period &amp; ". Receipt No: " &amp; N202), "Send Receipt")))</f>
        <v/>
      </c>
    </row>
    <row r="203">
      <c r="A203" s="29"/>
      <c r="B203" s="29" t="s">
        <v>175</v>
      </c>
      <c r="C203" s="76"/>
      <c r="D203" s="29"/>
      <c r="E203" s="29"/>
      <c r="F203" s="29"/>
      <c r="G203" s="29"/>
      <c r="H203" s="29" t="str">
        <f t="shared" si="1"/>
        <v/>
      </c>
      <c r="I203" s="29" t="str">
        <f t="shared" si="2"/>
        <v/>
      </c>
      <c r="J203" s="29" t="str">
        <f>IF(A203="", "", IFERROR(VLOOKUP(A203, 'Master Roster'!A:H, 8, FALSE) - F203, ""))</f>
        <v/>
      </c>
      <c r="K203" s="29" t="s">
        <v>175</v>
      </c>
      <c r="L203" s="29" t="b">
        <v>0</v>
      </c>
      <c r="M203" s="29"/>
      <c r="N203" s="29" t="s">
        <v>175</v>
      </c>
      <c r="O203" s="29" t="str">
        <f>IF(ISBLANK(A203), "", LET(entry_day, VLOOKUP(A203, 'Master Roster'!$A:$G, 7, FALSE), start_date, DATE(E203, MONTH(D203&amp;" 1"), entry_day), end_date, EDATE(start_date, 1), period, TEXT(start_date, "mmm d, yyyy") &amp; " - " &amp; TEXT(end_date, "mmm d, yyyy"), HYPERLINK("https://wa.me/" &amp; VLOOKUP(A203, 'Master Roster'!$A:$F, 6, FALSE) &amp; "?text=" &amp; ENCODEURL("Hello " &amp; IFERROR(IF(VLOOKUP(A203, 'Master Roster'!$A:$J, 10, FALSE)="Male", "Mr. ", "Ms. "), "") &amp; B203 &amp; ", payment of K" &amp; F203 &amp; " received for " &amp; period &amp; ". Receipt No: " &amp; N203), "Send Receipt")))</f>
        <v/>
      </c>
    </row>
    <row r="204">
      <c r="A204" s="29"/>
      <c r="B204" s="29" t="s">
        <v>175</v>
      </c>
      <c r="C204" s="76"/>
      <c r="D204" s="29"/>
      <c r="E204" s="29"/>
      <c r="F204" s="29"/>
      <c r="G204" s="29"/>
      <c r="H204" s="29" t="str">
        <f t="shared" si="1"/>
        <v/>
      </c>
      <c r="I204" s="29" t="str">
        <f t="shared" si="2"/>
        <v/>
      </c>
      <c r="J204" s="29" t="str">
        <f>IF(A204="", "", IFERROR(VLOOKUP(A204, 'Master Roster'!A:H, 8, FALSE) - F204, ""))</f>
        <v/>
      </c>
      <c r="K204" s="29" t="s">
        <v>175</v>
      </c>
      <c r="L204" s="29" t="b">
        <v>0</v>
      </c>
      <c r="M204" s="29"/>
      <c r="N204" s="29" t="s">
        <v>175</v>
      </c>
      <c r="O204" s="29" t="str">
        <f>IF(ISBLANK(A204), "", LET(entry_day, VLOOKUP(A204, 'Master Roster'!$A:$G, 7, FALSE), start_date, DATE(E204, MONTH(D204&amp;" 1"), entry_day), end_date, EDATE(start_date, 1), period, TEXT(start_date, "mmm d, yyyy") &amp; " - " &amp; TEXT(end_date, "mmm d, yyyy"), HYPERLINK("https://wa.me/" &amp; VLOOKUP(A204, 'Master Roster'!$A:$F, 6, FALSE) &amp; "?text=" &amp; ENCODEURL("Hello " &amp; IFERROR(IF(VLOOKUP(A204, 'Master Roster'!$A:$J, 10, FALSE)="Male", "Mr. ", "Ms. "), "") &amp; B204 &amp; ", payment of K" &amp; F204 &amp; " received for " &amp; period &amp; ". Receipt No: " &amp; N204), "Send Receipt")))</f>
        <v/>
      </c>
    </row>
    <row r="205">
      <c r="A205" s="29"/>
      <c r="B205" s="29" t="s">
        <v>175</v>
      </c>
      <c r="C205" s="76"/>
      <c r="D205" s="29"/>
      <c r="E205" s="29"/>
      <c r="F205" s="29"/>
      <c r="G205" s="29"/>
      <c r="H205" s="29" t="str">
        <f t="shared" si="1"/>
        <v/>
      </c>
      <c r="I205" s="29" t="str">
        <f t="shared" si="2"/>
        <v/>
      </c>
      <c r="J205" s="29" t="str">
        <f>IF(A205="", "", IFERROR(VLOOKUP(A205, 'Master Roster'!A:H, 8, FALSE) - F205, ""))</f>
        <v/>
      </c>
      <c r="K205" s="29" t="s">
        <v>175</v>
      </c>
      <c r="L205" s="29" t="b">
        <v>0</v>
      </c>
      <c r="M205" s="29"/>
      <c r="N205" s="29" t="s">
        <v>175</v>
      </c>
      <c r="O205" s="29" t="str">
        <f>IF(ISBLANK(A205), "", LET(entry_day, VLOOKUP(A205, 'Master Roster'!$A:$G, 7, FALSE), start_date, DATE(E205, MONTH(D205&amp;" 1"), entry_day), end_date, EDATE(start_date, 1), period, TEXT(start_date, "mmm d, yyyy") &amp; " - " &amp; TEXT(end_date, "mmm d, yyyy"), HYPERLINK("https://wa.me/" &amp; VLOOKUP(A205, 'Master Roster'!$A:$F, 6, FALSE) &amp; "?text=" &amp; ENCODEURL("Hello " &amp; IFERROR(IF(VLOOKUP(A205, 'Master Roster'!$A:$J, 10, FALSE)="Male", "Mr. ", "Ms. "), "") &amp; B205 &amp; ", payment of K" &amp; F205 &amp; " received for " &amp; period &amp; ". Receipt No: " &amp; N205), "Send Receipt")))</f>
        <v/>
      </c>
    </row>
    <row r="206">
      <c r="A206" s="29"/>
      <c r="B206" s="29" t="s">
        <v>175</v>
      </c>
      <c r="C206" s="76"/>
      <c r="D206" s="29"/>
      <c r="E206" s="29"/>
      <c r="F206" s="29"/>
      <c r="G206" s="29"/>
      <c r="H206" s="29" t="str">
        <f t="shared" si="1"/>
        <v/>
      </c>
      <c r="I206" s="29" t="str">
        <f t="shared" si="2"/>
        <v/>
      </c>
      <c r="J206" s="29" t="str">
        <f>IF(A206="", "", IFERROR(VLOOKUP(A206, 'Master Roster'!A:H, 8, FALSE) - F206, ""))</f>
        <v/>
      </c>
      <c r="K206" s="29" t="s">
        <v>175</v>
      </c>
      <c r="L206" s="29" t="b">
        <v>0</v>
      </c>
      <c r="M206" s="29"/>
      <c r="N206" s="29" t="s">
        <v>175</v>
      </c>
      <c r="O206" s="29" t="str">
        <f>IF(ISBLANK(A206), "", LET(entry_day, VLOOKUP(A206, 'Master Roster'!$A:$G, 7, FALSE), start_date, DATE(E206, MONTH(D206&amp;" 1"), entry_day), end_date, EDATE(start_date, 1), period, TEXT(start_date, "mmm d, yyyy") &amp; " - " &amp; TEXT(end_date, "mmm d, yyyy"), HYPERLINK("https://wa.me/" &amp; VLOOKUP(A206, 'Master Roster'!$A:$F, 6, FALSE) &amp; "?text=" &amp; ENCODEURL("Hello " &amp; IFERROR(IF(VLOOKUP(A206, 'Master Roster'!$A:$J, 10, FALSE)="Male", "Mr. ", "Ms. "), "") &amp; B206 &amp; ", payment of K" &amp; F206 &amp; " received for " &amp; period &amp; ". Receipt No: " &amp; N206), "Send Receipt")))</f>
        <v/>
      </c>
    </row>
    <row r="207">
      <c r="A207" s="29"/>
      <c r="B207" s="29" t="s">
        <v>175</v>
      </c>
      <c r="C207" s="76"/>
      <c r="D207" s="29"/>
      <c r="E207" s="29"/>
      <c r="F207" s="29"/>
      <c r="G207" s="29"/>
      <c r="H207" s="29" t="str">
        <f t="shared" si="1"/>
        <v/>
      </c>
      <c r="I207" s="29" t="str">
        <f t="shared" si="2"/>
        <v/>
      </c>
      <c r="J207" s="29" t="str">
        <f>IF(A207="", "", IFERROR(VLOOKUP(A207, 'Master Roster'!A:H, 8, FALSE) - F207, ""))</f>
        <v/>
      </c>
      <c r="K207" s="29" t="s">
        <v>175</v>
      </c>
      <c r="L207" s="29" t="b">
        <v>0</v>
      </c>
      <c r="M207" s="29"/>
      <c r="N207" s="29" t="s">
        <v>175</v>
      </c>
      <c r="O207" s="29" t="str">
        <f>IF(ISBLANK(A207), "", LET(entry_day, VLOOKUP(A207, 'Master Roster'!$A:$G, 7, FALSE), start_date, DATE(E207, MONTH(D207&amp;" 1"), entry_day), end_date, EDATE(start_date, 1), period, TEXT(start_date, "mmm d, yyyy") &amp; " - " &amp; TEXT(end_date, "mmm d, yyyy"), HYPERLINK("https://wa.me/" &amp; VLOOKUP(A207, 'Master Roster'!$A:$F, 6, FALSE) &amp; "?text=" &amp; ENCODEURL("Hello " &amp; IFERROR(IF(VLOOKUP(A207, 'Master Roster'!$A:$J, 10, FALSE)="Male", "Mr. ", "Ms. "), "") &amp; B207 &amp; ", payment of K" &amp; F207 &amp; " received for " &amp; period &amp; ". Receipt No: " &amp; N207), "Send Receipt")))</f>
        <v/>
      </c>
    </row>
    <row r="208">
      <c r="A208" s="29"/>
      <c r="B208" s="29" t="s">
        <v>175</v>
      </c>
      <c r="C208" s="76"/>
      <c r="D208" s="29"/>
      <c r="E208" s="29"/>
      <c r="F208" s="29"/>
      <c r="G208" s="29"/>
      <c r="H208" s="29" t="str">
        <f t="shared" si="1"/>
        <v/>
      </c>
      <c r="I208" s="29" t="str">
        <f t="shared" si="2"/>
        <v/>
      </c>
      <c r="J208" s="29" t="str">
        <f>IF(A208="", "", IFERROR(VLOOKUP(A208, 'Master Roster'!A:H, 8, FALSE) - F208, ""))</f>
        <v/>
      </c>
      <c r="K208" s="29" t="s">
        <v>175</v>
      </c>
      <c r="L208" s="29" t="b">
        <v>0</v>
      </c>
      <c r="M208" s="29"/>
      <c r="N208" s="29" t="s">
        <v>175</v>
      </c>
      <c r="O208" s="29" t="str">
        <f>IF(ISBLANK(A208), "", LET(entry_day, VLOOKUP(A208, 'Master Roster'!$A:$G, 7, FALSE), start_date, DATE(E208, MONTH(D208&amp;" 1"), entry_day), end_date, EDATE(start_date, 1), period, TEXT(start_date, "mmm d, yyyy") &amp; " - " &amp; TEXT(end_date, "mmm d, yyyy"), HYPERLINK("https://wa.me/" &amp; VLOOKUP(A208, 'Master Roster'!$A:$F, 6, FALSE) &amp; "?text=" &amp; ENCODEURL("Hello " &amp; IFERROR(IF(VLOOKUP(A208, 'Master Roster'!$A:$J, 10, FALSE)="Male", "Mr. ", "Ms. "), "") &amp; B208 &amp; ", payment of K" &amp; F208 &amp; " received for " &amp; period &amp; ". Receipt No: " &amp; N208), "Send Receipt")))</f>
        <v/>
      </c>
    </row>
    <row r="209">
      <c r="A209" s="29"/>
      <c r="B209" s="29" t="s">
        <v>175</v>
      </c>
      <c r="C209" s="76"/>
      <c r="D209" s="29"/>
      <c r="E209" s="29"/>
      <c r="F209" s="29"/>
      <c r="G209" s="29"/>
      <c r="H209" s="29" t="str">
        <f t="shared" si="1"/>
        <v/>
      </c>
      <c r="I209" s="29" t="str">
        <f t="shared" si="2"/>
        <v/>
      </c>
      <c r="J209" s="29" t="str">
        <f>IF(A209="", "", IFERROR(VLOOKUP(A209, 'Master Roster'!A:H, 8, FALSE) - F209, ""))</f>
        <v/>
      </c>
      <c r="K209" s="29" t="s">
        <v>175</v>
      </c>
      <c r="L209" s="29" t="b">
        <v>0</v>
      </c>
      <c r="M209" s="29"/>
      <c r="N209" s="29" t="s">
        <v>175</v>
      </c>
      <c r="O209" s="29" t="str">
        <f>IF(ISBLANK(A209), "", LET(entry_day, VLOOKUP(A209, 'Master Roster'!$A:$G, 7, FALSE), start_date, DATE(E209, MONTH(D209&amp;" 1"), entry_day), end_date, EDATE(start_date, 1), period, TEXT(start_date, "mmm d, yyyy") &amp; " - " &amp; TEXT(end_date, "mmm d, yyyy"), HYPERLINK("https://wa.me/" &amp; VLOOKUP(A209, 'Master Roster'!$A:$F, 6, FALSE) &amp; "?text=" &amp; ENCODEURL("Hello " &amp; IFERROR(IF(VLOOKUP(A209, 'Master Roster'!$A:$J, 10, FALSE)="Male", "Mr. ", "Ms. "), "") &amp; B209 &amp; ", payment of K" &amp; F209 &amp; " received for " &amp; period &amp; ". Receipt No: " &amp; N209), "Send Receipt")))</f>
        <v/>
      </c>
    </row>
    <row r="210">
      <c r="A210" s="29"/>
      <c r="B210" s="29" t="s">
        <v>175</v>
      </c>
      <c r="C210" s="76"/>
      <c r="D210" s="29"/>
      <c r="E210" s="29"/>
      <c r="F210" s="29"/>
      <c r="G210" s="29"/>
      <c r="H210" s="29" t="str">
        <f t="shared" si="1"/>
        <v/>
      </c>
      <c r="I210" s="29" t="str">
        <f t="shared" si="2"/>
        <v/>
      </c>
      <c r="J210" s="29" t="str">
        <f>IF(A210="", "", IFERROR(VLOOKUP(A210, 'Master Roster'!A:H, 8, FALSE) - F210, ""))</f>
        <v/>
      </c>
      <c r="K210" s="29" t="s">
        <v>175</v>
      </c>
      <c r="L210" s="29" t="b">
        <v>0</v>
      </c>
      <c r="M210" s="29"/>
      <c r="N210" s="29" t="s">
        <v>175</v>
      </c>
      <c r="O210" s="29" t="str">
        <f>IF(ISBLANK(A210), "", LET(entry_day, VLOOKUP(A210, 'Master Roster'!$A:$G, 7, FALSE), start_date, DATE(E210, MONTH(D210&amp;" 1"), entry_day), end_date, EDATE(start_date, 1), period, TEXT(start_date, "mmm d, yyyy") &amp; " - " &amp; TEXT(end_date, "mmm d, yyyy"), HYPERLINK("https://wa.me/" &amp; VLOOKUP(A210, 'Master Roster'!$A:$F, 6, FALSE) &amp; "?text=" &amp; ENCODEURL("Hello " &amp; IFERROR(IF(VLOOKUP(A210, 'Master Roster'!$A:$J, 10, FALSE)="Male", "Mr. ", "Ms. "), "") &amp; B210 &amp; ", payment of K" &amp; F210 &amp; " received for " &amp; period &amp; ". Receipt No: " &amp; N210), "Send Receipt")))</f>
        <v/>
      </c>
    </row>
    <row r="211">
      <c r="A211" s="29"/>
      <c r="B211" s="29" t="s">
        <v>175</v>
      </c>
      <c r="C211" s="76"/>
      <c r="D211" s="29"/>
      <c r="E211" s="29"/>
      <c r="F211" s="29"/>
      <c r="G211" s="29"/>
      <c r="H211" s="29" t="str">
        <f t="shared" si="1"/>
        <v/>
      </c>
      <c r="I211" s="29" t="str">
        <f t="shared" si="2"/>
        <v/>
      </c>
      <c r="J211" s="29" t="str">
        <f>IF(A211="", "", IFERROR(VLOOKUP(A211, 'Master Roster'!A:H, 8, FALSE) - F211, ""))</f>
        <v/>
      </c>
      <c r="K211" s="29" t="s">
        <v>175</v>
      </c>
      <c r="L211" s="29" t="b">
        <v>0</v>
      </c>
      <c r="M211" s="29"/>
      <c r="N211" s="29" t="s">
        <v>175</v>
      </c>
      <c r="O211" s="29" t="str">
        <f>IF(ISBLANK(A211), "", LET(entry_day, VLOOKUP(A211, 'Master Roster'!$A:$G, 7, FALSE), start_date, DATE(E211, MONTH(D211&amp;" 1"), entry_day), end_date, EDATE(start_date, 1), period, TEXT(start_date, "mmm d, yyyy") &amp; " - " &amp; TEXT(end_date, "mmm d, yyyy"), HYPERLINK("https://wa.me/" &amp; VLOOKUP(A211, 'Master Roster'!$A:$F, 6, FALSE) &amp; "?text=" &amp; ENCODEURL("Hello " &amp; IFERROR(IF(VLOOKUP(A211, 'Master Roster'!$A:$J, 10, FALSE)="Male", "Mr. ", "Ms. "), "") &amp; B211 &amp; ", payment of K" &amp; F211 &amp; " received for " &amp; period &amp; ". Receipt No: " &amp; N211), "Send Receipt")))</f>
        <v/>
      </c>
    </row>
    <row r="212">
      <c r="A212" s="29"/>
      <c r="B212" s="29" t="s">
        <v>175</v>
      </c>
      <c r="C212" s="76"/>
      <c r="D212" s="29"/>
      <c r="E212" s="29"/>
      <c r="F212" s="29"/>
      <c r="G212" s="29"/>
      <c r="H212" s="29" t="str">
        <f t="shared" si="1"/>
        <v/>
      </c>
      <c r="I212" s="29" t="str">
        <f t="shared" si="2"/>
        <v/>
      </c>
      <c r="J212" s="29" t="str">
        <f>IF(A212="", "", IFERROR(VLOOKUP(A212, 'Master Roster'!A:H, 8, FALSE) - F212, ""))</f>
        <v/>
      </c>
      <c r="K212" s="29" t="s">
        <v>175</v>
      </c>
      <c r="L212" s="29" t="b">
        <v>0</v>
      </c>
      <c r="M212" s="29"/>
      <c r="N212" s="29" t="s">
        <v>175</v>
      </c>
      <c r="O212" s="29" t="str">
        <f>IF(ISBLANK(A212), "", LET(entry_day, VLOOKUP(A212, 'Master Roster'!$A:$G, 7, FALSE), start_date, DATE(E212, MONTH(D212&amp;" 1"), entry_day), end_date, EDATE(start_date, 1), period, TEXT(start_date, "mmm d, yyyy") &amp; " - " &amp; TEXT(end_date, "mmm d, yyyy"), HYPERLINK("https://wa.me/" &amp; VLOOKUP(A212, 'Master Roster'!$A:$F, 6, FALSE) &amp; "?text=" &amp; ENCODEURL("Hello " &amp; IFERROR(IF(VLOOKUP(A212, 'Master Roster'!$A:$J, 10, FALSE)="Male", "Mr. ", "Ms. "), "") &amp; B212 &amp; ", payment of K" &amp; F212 &amp; " received for " &amp; period &amp; ". Receipt No: " &amp; N212), "Send Receipt")))</f>
        <v/>
      </c>
    </row>
    <row r="213">
      <c r="A213" s="29"/>
      <c r="B213" s="29" t="s">
        <v>175</v>
      </c>
      <c r="C213" s="76"/>
      <c r="D213" s="29"/>
      <c r="E213" s="29"/>
      <c r="F213" s="29"/>
      <c r="G213" s="29"/>
      <c r="H213" s="29" t="str">
        <f t="shared" si="1"/>
        <v/>
      </c>
      <c r="I213" s="29" t="str">
        <f t="shared" si="2"/>
        <v/>
      </c>
      <c r="J213" s="29" t="str">
        <f>IF(A213="", "", IFERROR(VLOOKUP(A213, 'Master Roster'!A:H, 8, FALSE) - F213, ""))</f>
        <v/>
      </c>
      <c r="K213" s="29" t="s">
        <v>175</v>
      </c>
      <c r="L213" s="29" t="b">
        <v>0</v>
      </c>
      <c r="M213" s="29"/>
      <c r="N213" s="29" t="s">
        <v>175</v>
      </c>
      <c r="O213" s="29" t="str">
        <f>IF(ISBLANK(A213), "", LET(entry_day, VLOOKUP(A213, 'Master Roster'!$A:$G, 7, FALSE), start_date, DATE(E213, MONTH(D213&amp;" 1"), entry_day), end_date, EDATE(start_date, 1), period, TEXT(start_date, "mmm d, yyyy") &amp; " - " &amp; TEXT(end_date, "mmm d, yyyy"), HYPERLINK("https://wa.me/" &amp; VLOOKUP(A213, 'Master Roster'!$A:$F, 6, FALSE) &amp; "?text=" &amp; ENCODEURL("Hello " &amp; IFERROR(IF(VLOOKUP(A213, 'Master Roster'!$A:$J, 10, FALSE)="Male", "Mr. ", "Ms. "), "") &amp; B213 &amp; ", payment of K" &amp; F213 &amp; " received for " &amp; period &amp; ". Receipt No: " &amp; N213), "Send Receipt")))</f>
        <v/>
      </c>
    </row>
    <row r="214">
      <c r="A214" s="29"/>
      <c r="B214" s="29" t="s">
        <v>175</v>
      </c>
      <c r="C214" s="76"/>
      <c r="D214" s="29"/>
      <c r="E214" s="29"/>
      <c r="F214" s="29"/>
      <c r="G214" s="29"/>
      <c r="H214" s="29" t="str">
        <f t="shared" si="1"/>
        <v/>
      </c>
      <c r="I214" s="29" t="str">
        <f t="shared" si="2"/>
        <v/>
      </c>
      <c r="J214" s="29" t="str">
        <f>IF(A214="", "", IFERROR(VLOOKUP(A214, 'Master Roster'!A:H, 8, FALSE) - F214, ""))</f>
        <v/>
      </c>
      <c r="K214" s="29" t="s">
        <v>175</v>
      </c>
      <c r="L214" s="29" t="b">
        <v>0</v>
      </c>
      <c r="M214" s="29"/>
      <c r="N214" s="29" t="s">
        <v>175</v>
      </c>
      <c r="O214" s="29" t="str">
        <f>IF(ISBLANK(A214), "", LET(entry_day, VLOOKUP(A214, 'Master Roster'!$A:$G, 7, FALSE), start_date, DATE(E214, MONTH(D214&amp;" 1"), entry_day), end_date, EDATE(start_date, 1), period, TEXT(start_date, "mmm d, yyyy") &amp; " - " &amp; TEXT(end_date, "mmm d, yyyy"), HYPERLINK("https://wa.me/" &amp; VLOOKUP(A214, 'Master Roster'!$A:$F, 6, FALSE) &amp; "?text=" &amp; ENCODEURL("Hello " &amp; IFERROR(IF(VLOOKUP(A214, 'Master Roster'!$A:$J, 10, FALSE)="Male", "Mr. ", "Ms. "), "") &amp; B214 &amp; ", payment of K" &amp; F214 &amp; " received for " &amp; period &amp; ". Receipt No: " &amp; N214), "Send Receipt")))</f>
        <v/>
      </c>
    </row>
    <row r="215">
      <c r="A215" s="29"/>
      <c r="B215" s="29" t="s">
        <v>175</v>
      </c>
      <c r="C215" s="76"/>
      <c r="D215" s="29"/>
      <c r="E215" s="29"/>
      <c r="F215" s="29"/>
      <c r="G215" s="29"/>
      <c r="H215" s="29" t="str">
        <f t="shared" si="1"/>
        <v/>
      </c>
      <c r="I215" s="29" t="str">
        <f t="shared" si="2"/>
        <v/>
      </c>
      <c r="J215" s="29" t="str">
        <f>IF(A215="", "", IFERROR(VLOOKUP(A215, 'Master Roster'!A:H, 8, FALSE) - F215, ""))</f>
        <v/>
      </c>
      <c r="K215" s="29" t="s">
        <v>175</v>
      </c>
      <c r="L215" s="29" t="b">
        <v>0</v>
      </c>
      <c r="M215" s="29"/>
      <c r="N215" s="29" t="s">
        <v>175</v>
      </c>
      <c r="O215" s="29" t="str">
        <f>IF(ISBLANK(A215), "", LET(entry_day, VLOOKUP(A215, 'Master Roster'!$A:$G, 7, FALSE), start_date, DATE(E215, MONTH(D215&amp;" 1"), entry_day), end_date, EDATE(start_date, 1), period, TEXT(start_date, "mmm d, yyyy") &amp; " - " &amp; TEXT(end_date, "mmm d, yyyy"), HYPERLINK("https://wa.me/" &amp; VLOOKUP(A215, 'Master Roster'!$A:$F, 6, FALSE) &amp; "?text=" &amp; ENCODEURL("Hello " &amp; IFERROR(IF(VLOOKUP(A215, 'Master Roster'!$A:$J, 10, FALSE)="Male", "Mr. ", "Ms. "), "") &amp; B215 &amp; ", payment of K" &amp; F215 &amp; " received for " &amp; period &amp; ". Receipt No: " &amp; N215), "Send Receipt")))</f>
        <v/>
      </c>
    </row>
    <row r="216">
      <c r="A216" s="29"/>
      <c r="B216" s="29" t="s">
        <v>175</v>
      </c>
      <c r="C216" s="76"/>
      <c r="D216" s="29"/>
      <c r="E216" s="29"/>
      <c r="F216" s="29"/>
      <c r="G216" s="29"/>
      <c r="H216" s="29" t="str">
        <f t="shared" si="1"/>
        <v/>
      </c>
      <c r="I216" s="29" t="str">
        <f t="shared" si="2"/>
        <v/>
      </c>
      <c r="J216" s="29" t="str">
        <f>IF(A216="", "", IFERROR(VLOOKUP(A216, 'Master Roster'!A:H, 8, FALSE) - F216, ""))</f>
        <v/>
      </c>
      <c r="K216" s="29" t="s">
        <v>175</v>
      </c>
      <c r="L216" s="29" t="b">
        <v>0</v>
      </c>
      <c r="M216" s="29"/>
      <c r="N216" s="29" t="s">
        <v>175</v>
      </c>
      <c r="O216" s="29" t="str">
        <f>IF(ISBLANK(A216), "", LET(entry_day, VLOOKUP(A216, 'Master Roster'!$A:$G, 7, FALSE), start_date, DATE(E216, MONTH(D216&amp;" 1"), entry_day), end_date, EDATE(start_date, 1), period, TEXT(start_date, "mmm d, yyyy") &amp; " - " &amp; TEXT(end_date, "mmm d, yyyy"), HYPERLINK("https://wa.me/" &amp; VLOOKUP(A216, 'Master Roster'!$A:$F, 6, FALSE) &amp; "?text=" &amp; ENCODEURL("Hello " &amp; IFERROR(IF(VLOOKUP(A216, 'Master Roster'!$A:$J, 10, FALSE)="Male", "Mr. ", "Ms. "), "") &amp; B216 &amp; ", payment of K" &amp; F216 &amp; " received for " &amp; period &amp; ". Receipt No: " &amp; N216), "Send Receipt")))</f>
        <v/>
      </c>
    </row>
    <row r="217">
      <c r="A217" s="29"/>
      <c r="B217" s="29" t="s">
        <v>175</v>
      </c>
      <c r="C217" s="76"/>
      <c r="D217" s="29"/>
      <c r="E217" s="29"/>
      <c r="F217" s="29"/>
      <c r="G217" s="29"/>
      <c r="H217" s="29" t="str">
        <f t="shared" si="1"/>
        <v/>
      </c>
      <c r="I217" s="29" t="str">
        <f t="shared" si="2"/>
        <v/>
      </c>
      <c r="J217" s="29" t="str">
        <f>IF(A217="", "", IFERROR(VLOOKUP(A217, 'Master Roster'!A:H, 8, FALSE) - F217, ""))</f>
        <v/>
      </c>
      <c r="K217" s="29" t="s">
        <v>175</v>
      </c>
      <c r="L217" s="29" t="b">
        <v>0</v>
      </c>
      <c r="M217" s="29"/>
      <c r="N217" s="29" t="s">
        <v>175</v>
      </c>
      <c r="O217" s="29" t="str">
        <f>IF(ISBLANK(A217), "", LET(entry_day, VLOOKUP(A217, 'Master Roster'!$A:$G, 7, FALSE), start_date, DATE(E217, MONTH(D217&amp;" 1"), entry_day), end_date, EDATE(start_date, 1), period, TEXT(start_date, "mmm d, yyyy") &amp; " - " &amp; TEXT(end_date, "mmm d, yyyy"), HYPERLINK("https://wa.me/" &amp; VLOOKUP(A217, 'Master Roster'!$A:$F, 6, FALSE) &amp; "?text=" &amp; ENCODEURL("Hello " &amp; IFERROR(IF(VLOOKUP(A217, 'Master Roster'!$A:$J, 10, FALSE)="Male", "Mr. ", "Ms. "), "") &amp; B217 &amp; ", payment of K" &amp; F217 &amp; " received for " &amp; period &amp; ". Receipt No: " &amp; N217), "Send Receipt")))</f>
        <v/>
      </c>
    </row>
    <row r="218">
      <c r="A218" s="29"/>
      <c r="B218" s="29" t="s">
        <v>175</v>
      </c>
      <c r="C218" s="76"/>
      <c r="D218" s="29"/>
      <c r="E218" s="29"/>
      <c r="F218" s="29"/>
      <c r="G218" s="29"/>
      <c r="H218" s="29" t="str">
        <f t="shared" si="1"/>
        <v/>
      </c>
      <c r="I218" s="29" t="str">
        <f t="shared" si="2"/>
        <v/>
      </c>
      <c r="J218" s="29" t="str">
        <f>IF(A218="", "", IFERROR(VLOOKUP(A218, 'Master Roster'!A:H, 8, FALSE) - F218, ""))</f>
        <v/>
      </c>
      <c r="K218" s="29" t="s">
        <v>175</v>
      </c>
      <c r="L218" s="29" t="b">
        <v>0</v>
      </c>
      <c r="M218" s="29"/>
      <c r="N218" s="29" t="s">
        <v>175</v>
      </c>
      <c r="O218" s="29" t="str">
        <f>IF(ISBLANK(A218), "", LET(entry_day, VLOOKUP(A218, 'Master Roster'!$A:$G, 7, FALSE), start_date, DATE(E218, MONTH(D218&amp;" 1"), entry_day), end_date, EDATE(start_date, 1), period, TEXT(start_date, "mmm d, yyyy") &amp; " - " &amp; TEXT(end_date, "mmm d, yyyy"), HYPERLINK("https://wa.me/" &amp; VLOOKUP(A218, 'Master Roster'!$A:$F, 6, FALSE) &amp; "?text=" &amp; ENCODEURL("Hello " &amp; IFERROR(IF(VLOOKUP(A218, 'Master Roster'!$A:$J, 10, FALSE)="Male", "Mr. ", "Ms. "), "") &amp; B218 &amp; ", payment of K" &amp; F218 &amp; " received for " &amp; period &amp; ". Receipt No: " &amp; N218), "Send Receipt")))</f>
        <v/>
      </c>
    </row>
    <row r="219">
      <c r="A219" s="29"/>
      <c r="B219" s="29" t="s">
        <v>175</v>
      </c>
      <c r="C219" s="76"/>
      <c r="D219" s="29"/>
      <c r="E219" s="29"/>
      <c r="F219" s="29"/>
      <c r="G219" s="29"/>
      <c r="H219" s="29" t="str">
        <f t="shared" si="1"/>
        <v/>
      </c>
      <c r="I219" s="29" t="str">
        <f t="shared" si="2"/>
        <v/>
      </c>
      <c r="J219" s="29" t="str">
        <f>IF(A219="", "", IFERROR(VLOOKUP(A219, 'Master Roster'!A:H, 8, FALSE) - F219, ""))</f>
        <v/>
      </c>
      <c r="K219" s="29" t="s">
        <v>175</v>
      </c>
      <c r="L219" s="29" t="b">
        <v>0</v>
      </c>
      <c r="M219" s="29"/>
      <c r="N219" s="29" t="s">
        <v>175</v>
      </c>
      <c r="O219" s="29" t="str">
        <f>IF(ISBLANK(A219), "", LET(entry_day, VLOOKUP(A219, 'Master Roster'!$A:$G, 7, FALSE), start_date, DATE(E219, MONTH(D219&amp;" 1"), entry_day), end_date, EDATE(start_date, 1), period, TEXT(start_date, "mmm d, yyyy") &amp; " - " &amp; TEXT(end_date, "mmm d, yyyy"), HYPERLINK("https://wa.me/" &amp; VLOOKUP(A219, 'Master Roster'!$A:$F, 6, FALSE) &amp; "?text=" &amp; ENCODEURL("Hello " &amp; IFERROR(IF(VLOOKUP(A219, 'Master Roster'!$A:$J, 10, FALSE)="Male", "Mr. ", "Ms. "), "") &amp; B219 &amp; ", payment of K" &amp; F219 &amp; " received for " &amp; period &amp; ". Receipt No: " &amp; N219), "Send Receipt")))</f>
        <v/>
      </c>
    </row>
    <row r="220">
      <c r="A220" s="29"/>
      <c r="B220" s="29" t="s">
        <v>175</v>
      </c>
      <c r="C220" s="76"/>
      <c r="D220" s="29"/>
      <c r="E220" s="29"/>
      <c r="F220" s="29"/>
      <c r="G220" s="29"/>
      <c r="H220" s="29" t="str">
        <f t="shared" si="1"/>
        <v/>
      </c>
      <c r="I220" s="29" t="str">
        <f t="shared" si="2"/>
        <v/>
      </c>
      <c r="J220" s="29" t="str">
        <f>IF(A220="", "", IFERROR(VLOOKUP(A220, 'Master Roster'!A:H, 8, FALSE) - F220, ""))</f>
        <v/>
      </c>
      <c r="K220" s="29" t="s">
        <v>175</v>
      </c>
      <c r="L220" s="29" t="b">
        <v>0</v>
      </c>
      <c r="M220" s="29"/>
      <c r="N220" s="29" t="s">
        <v>175</v>
      </c>
      <c r="O220" s="29" t="str">
        <f>IF(ISBLANK(A220), "", LET(entry_day, VLOOKUP(A220, 'Master Roster'!$A:$G, 7, FALSE), start_date, DATE(E220, MONTH(D220&amp;" 1"), entry_day), end_date, EDATE(start_date, 1), period, TEXT(start_date, "mmm d, yyyy") &amp; " - " &amp; TEXT(end_date, "mmm d, yyyy"), HYPERLINK("https://wa.me/" &amp; VLOOKUP(A220, 'Master Roster'!$A:$F, 6, FALSE) &amp; "?text=" &amp; ENCODEURL("Hello " &amp; IFERROR(IF(VLOOKUP(A220, 'Master Roster'!$A:$J, 10, FALSE)="Male", "Mr. ", "Ms. "), "") &amp; B220 &amp; ", payment of K" &amp; F220 &amp; " received for " &amp; period &amp; ". Receipt No: " &amp; N220), "Send Receipt")))</f>
        <v/>
      </c>
    </row>
    <row r="221">
      <c r="A221" s="29"/>
      <c r="B221" s="29" t="s">
        <v>175</v>
      </c>
      <c r="C221" s="76"/>
      <c r="D221" s="29"/>
      <c r="E221" s="29"/>
      <c r="F221" s="29"/>
      <c r="G221" s="29"/>
      <c r="H221" s="29" t="str">
        <f t="shared" si="1"/>
        <v/>
      </c>
      <c r="I221" s="29" t="str">
        <f t="shared" si="2"/>
        <v/>
      </c>
      <c r="J221" s="29" t="str">
        <f>IF(A221="", "", IFERROR(VLOOKUP(A221, 'Master Roster'!A:H, 8, FALSE) - F221, ""))</f>
        <v/>
      </c>
      <c r="K221" s="29" t="s">
        <v>175</v>
      </c>
      <c r="L221" s="29" t="b">
        <v>0</v>
      </c>
      <c r="M221" s="29"/>
      <c r="N221" s="29" t="s">
        <v>175</v>
      </c>
      <c r="O221" s="29" t="str">
        <f>IF(ISBLANK(A221), "", LET(entry_day, VLOOKUP(A221, 'Master Roster'!$A:$G, 7, FALSE), start_date, DATE(E221, MONTH(D221&amp;" 1"), entry_day), end_date, EDATE(start_date, 1), period, TEXT(start_date, "mmm d, yyyy") &amp; " - " &amp; TEXT(end_date, "mmm d, yyyy"), HYPERLINK("https://wa.me/" &amp; VLOOKUP(A221, 'Master Roster'!$A:$F, 6, FALSE) &amp; "?text=" &amp; ENCODEURL("Hello " &amp; IFERROR(IF(VLOOKUP(A221, 'Master Roster'!$A:$J, 10, FALSE)="Male", "Mr. ", "Ms. "), "") &amp; B221 &amp; ", payment of K" &amp; F221 &amp; " received for " &amp; period &amp; ". Receipt No: " &amp; N221), "Send Receipt")))</f>
        <v/>
      </c>
    </row>
    <row r="222">
      <c r="A222" s="29"/>
      <c r="B222" s="29" t="s">
        <v>175</v>
      </c>
      <c r="C222" s="76"/>
      <c r="D222" s="29"/>
      <c r="E222" s="29"/>
      <c r="F222" s="29"/>
      <c r="G222" s="29"/>
      <c r="H222" s="29" t="str">
        <f t="shared" si="1"/>
        <v/>
      </c>
      <c r="I222" s="29" t="str">
        <f t="shared" si="2"/>
        <v/>
      </c>
      <c r="J222" s="29" t="str">
        <f>IF(A222="", "", IFERROR(VLOOKUP(A222, 'Master Roster'!A:H, 8, FALSE) - F222, ""))</f>
        <v/>
      </c>
      <c r="K222" s="29" t="s">
        <v>175</v>
      </c>
      <c r="L222" s="29" t="b">
        <v>0</v>
      </c>
      <c r="M222" s="29"/>
      <c r="N222" s="29" t="s">
        <v>175</v>
      </c>
      <c r="O222" s="29" t="str">
        <f>IF(ISBLANK(A222), "", LET(entry_day, VLOOKUP(A222, 'Master Roster'!$A:$G, 7, FALSE), start_date, DATE(E222, MONTH(D222&amp;" 1"), entry_day), end_date, EDATE(start_date, 1), period, TEXT(start_date, "mmm d, yyyy") &amp; " - " &amp; TEXT(end_date, "mmm d, yyyy"), HYPERLINK("https://wa.me/" &amp; VLOOKUP(A222, 'Master Roster'!$A:$F, 6, FALSE) &amp; "?text=" &amp; ENCODEURL("Hello " &amp; IFERROR(IF(VLOOKUP(A222, 'Master Roster'!$A:$J, 10, FALSE)="Male", "Mr. ", "Ms. "), "") &amp; B222 &amp; ", payment of K" &amp; F222 &amp; " received for " &amp; period &amp; ". Receipt No: " &amp; N222), "Send Receipt")))</f>
        <v/>
      </c>
    </row>
    <row r="223">
      <c r="A223" s="29"/>
      <c r="B223" s="29" t="s">
        <v>175</v>
      </c>
      <c r="C223" s="76"/>
      <c r="D223" s="29"/>
      <c r="E223" s="29"/>
      <c r="F223" s="29"/>
      <c r="G223" s="29"/>
      <c r="H223" s="29" t="str">
        <f t="shared" si="1"/>
        <v/>
      </c>
      <c r="I223" s="29" t="str">
        <f t="shared" si="2"/>
        <v/>
      </c>
      <c r="J223" s="29" t="str">
        <f>IF(A223="", "", IFERROR(VLOOKUP(A223, 'Master Roster'!A:H, 8, FALSE) - F223, ""))</f>
        <v/>
      </c>
      <c r="K223" s="29" t="s">
        <v>175</v>
      </c>
      <c r="L223" s="29" t="b">
        <v>0</v>
      </c>
      <c r="M223" s="29"/>
      <c r="N223" s="29" t="s">
        <v>175</v>
      </c>
      <c r="O223" s="29" t="str">
        <f>IF(ISBLANK(A223), "", LET(entry_day, VLOOKUP(A223, 'Master Roster'!$A:$G, 7, FALSE), start_date, DATE(E223, MONTH(D223&amp;" 1"), entry_day), end_date, EDATE(start_date, 1), period, TEXT(start_date, "mmm d, yyyy") &amp; " - " &amp; TEXT(end_date, "mmm d, yyyy"), HYPERLINK("https://wa.me/" &amp; VLOOKUP(A223, 'Master Roster'!$A:$F, 6, FALSE) &amp; "?text=" &amp; ENCODEURL("Hello " &amp; IFERROR(IF(VLOOKUP(A223, 'Master Roster'!$A:$J, 10, FALSE)="Male", "Mr. ", "Ms. "), "") &amp; B223 &amp; ", payment of K" &amp; F223 &amp; " received for " &amp; period &amp; ". Receipt No: " &amp; N223), "Send Receipt")))</f>
        <v/>
      </c>
    </row>
    <row r="224">
      <c r="A224" s="29"/>
      <c r="B224" s="29" t="s">
        <v>175</v>
      </c>
      <c r="C224" s="76"/>
      <c r="D224" s="29"/>
      <c r="E224" s="29"/>
      <c r="F224" s="29"/>
      <c r="G224" s="29"/>
      <c r="H224" s="29" t="str">
        <f t="shared" si="1"/>
        <v/>
      </c>
      <c r="I224" s="29" t="str">
        <f t="shared" si="2"/>
        <v/>
      </c>
      <c r="J224" s="29" t="str">
        <f>IF(A224="", "", IFERROR(VLOOKUP(A224, 'Master Roster'!A:H, 8, FALSE) - F224, ""))</f>
        <v/>
      </c>
      <c r="K224" s="29" t="s">
        <v>175</v>
      </c>
      <c r="L224" s="29" t="b">
        <v>0</v>
      </c>
      <c r="M224" s="29"/>
      <c r="N224" s="29" t="s">
        <v>175</v>
      </c>
      <c r="O224" s="29" t="str">
        <f>IF(ISBLANK(A224), "", LET(entry_day, VLOOKUP(A224, 'Master Roster'!$A:$G, 7, FALSE), start_date, DATE(E224, MONTH(D224&amp;" 1"), entry_day), end_date, EDATE(start_date, 1), period, TEXT(start_date, "mmm d, yyyy") &amp; " - " &amp; TEXT(end_date, "mmm d, yyyy"), HYPERLINK("https://wa.me/" &amp; VLOOKUP(A224, 'Master Roster'!$A:$F, 6, FALSE) &amp; "?text=" &amp; ENCODEURL("Hello " &amp; IFERROR(IF(VLOOKUP(A224, 'Master Roster'!$A:$J, 10, FALSE)="Male", "Mr. ", "Ms. "), "") &amp; B224 &amp; ", payment of K" &amp; F224 &amp; " received for " &amp; period &amp; ". Receipt No: " &amp; N224), "Send Receipt")))</f>
        <v/>
      </c>
    </row>
    <row r="225">
      <c r="A225" s="29"/>
      <c r="B225" s="29" t="s">
        <v>175</v>
      </c>
      <c r="C225" s="76"/>
      <c r="D225" s="29"/>
      <c r="E225" s="29"/>
      <c r="F225" s="29"/>
      <c r="G225" s="29"/>
      <c r="H225" s="29" t="str">
        <f t="shared" si="1"/>
        <v/>
      </c>
      <c r="I225" s="29" t="str">
        <f t="shared" si="2"/>
        <v/>
      </c>
      <c r="J225" s="29" t="str">
        <f>IF(A225="", "", IFERROR(VLOOKUP(A225, 'Master Roster'!A:H, 8, FALSE) - F225, ""))</f>
        <v/>
      </c>
      <c r="K225" s="29" t="s">
        <v>175</v>
      </c>
      <c r="L225" s="29" t="b">
        <v>0</v>
      </c>
      <c r="M225" s="29"/>
      <c r="N225" s="29" t="s">
        <v>175</v>
      </c>
      <c r="O225" s="29" t="str">
        <f>IF(ISBLANK(A225), "", LET(entry_day, VLOOKUP(A225, 'Master Roster'!$A:$G, 7, FALSE), start_date, DATE(E225, MONTH(D225&amp;" 1"), entry_day), end_date, EDATE(start_date, 1), period, TEXT(start_date, "mmm d, yyyy") &amp; " - " &amp; TEXT(end_date, "mmm d, yyyy"), HYPERLINK("https://wa.me/" &amp; VLOOKUP(A225, 'Master Roster'!$A:$F, 6, FALSE) &amp; "?text=" &amp; ENCODEURL("Hello " &amp; IFERROR(IF(VLOOKUP(A225, 'Master Roster'!$A:$J, 10, FALSE)="Male", "Mr. ", "Ms. "), "") &amp; B225 &amp; ", payment of K" &amp; F225 &amp; " received for " &amp; period &amp; ". Receipt No: " &amp; N225), "Send Receipt")))</f>
        <v/>
      </c>
    </row>
    <row r="226">
      <c r="A226" s="29"/>
      <c r="B226" s="29" t="s">
        <v>175</v>
      </c>
      <c r="C226" s="76"/>
      <c r="D226" s="29"/>
      <c r="E226" s="29"/>
      <c r="F226" s="29"/>
      <c r="G226" s="29"/>
      <c r="H226" s="29" t="str">
        <f t="shared" si="1"/>
        <v/>
      </c>
      <c r="I226" s="29" t="str">
        <f t="shared" si="2"/>
        <v/>
      </c>
      <c r="J226" s="29" t="str">
        <f>IF(A226="", "", IFERROR(VLOOKUP(A226, 'Master Roster'!A:H, 8, FALSE) - F226, ""))</f>
        <v/>
      </c>
      <c r="K226" s="29" t="s">
        <v>175</v>
      </c>
      <c r="L226" s="29" t="b">
        <v>0</v>
      </c>
      <c r="M226" s="29"/>
      <c r="N226" s="29" t="s">
        <v>175</v>
      </c>
      <c r="O226" s="29" t="str">
        <f>IF(ISBLANK(A226), "", LET(entry_day, VLOOKUP(A226, 'Master Roster'!$A:$G, 7, FALSE), start_date, DATE(E226, MONTH(D226&amp;" 1"), entry_day), end_date, EDATE(start_date, 1), period, TEXT(start_date, "mmm d, yyyy") &amp; " - " &amp; TEXT(end_date, "mmm d, yyyy"), HYPERLINK("https://wa.me/" &amp; VLOOKUP(A226, 'Master Roster'!$A:$F, 6, FALSE) &amp; "?text=" &amp; ENCODEURL("Hello " &amp; IFERROR(IF(VLOOKUP(A226, 'Master Roster'!$A:$J, 10, FALSE)="Male", "Mr. ", "Ms. "), "") &amp; B226 &amp; ", payment of K" &amp; F226 &amp; " received for " &amp; period &amp; ". Receipt No: " &amp; N226), "Send Receipt")))</f>
        <v/>
      </c>
    </row>
    <row r="227">
      <c r="A227" s="29"/>
      <c r="B227" s="29" t="s">
        <v>175</v>
      </c>
      <c r="C227" s="76"/>
      <c r="D227" s="29"/>
      <c r="E227" s="29"/>
      <c r="F227" s="29"/>
      <c r="G227" s="29"/>
      <c r="H227" s="29" t="str">
        <f t="shared" si="1"/>
        <v/>
      </c>
      <c r="I227" s="29" t="str">
        <f t="shared" si="2"/>
        <v/>
      </c>
      <c r="J227" s="29" t="str">
        <f>IF(A227="", "", IFERROR(VLOOKUP(A227, 'Master Roster'!A:H, 8, FALSE) - F227, ""))</f>
        <v/>
      </c>
      <c r="K227" s="29" t="s">
        <v>175</v>
      </c>
      <c r="L227" s="29" t="b">
        <v>0</v>
      </c>
      <c r="M227" s="29"/>
      <c r="N227" s="29" t="s">
        <v>175</v>
      </c>
      <c r="O227" s="29" t="str">
        <f>IF(ISBLANK(A227), "", LET(entry_day, VLOOKUP(A227, 'Master Roster'!$A:$G, 7, FALSE), start_date, DATE(E227, MONTH(D227&amp;" 1"), entry_day), end_date, EDATE(start_date, 1), period, TEXT(start_date, "mmm d, yyyy") &amp; " - " &amp; TEXT(end_date, "mmm d, yyyy"), HYPERLINK("https://wa.me/" &amp; VLOOKUP(A227, 'Master Roster'!$A:$F, 6, FALSE) &amp; "?text=" &amp; ENCODEURL("Hello " &amp; IFERROR(IF(VLOOKUP(A227, 'Master Roster'!$A:$J, 10, FALSE)="Male", "Mr. ", "Ms. "), "") &amp; B227 &amp; ", payment of K" &amp; F227 &amp; " received for " &amp; period &amp; ". Receipt No: " &amp; N227), "Send Receipt")))</f>
        <v/>
      </c>
    </row>
    <row r="228">
      <c r="A228" s="29"/>
      <c r="B228" s="29" t="s">
        <v>175</v>
      </c>
      <c r="C228" s="76"/>
      <c r="D228" s="29"/>
      <c r="E228" s="29"/>
      <c r="F228" s="29"/>
      <c r="G228" s="29"/>
      <c r="H228" s="29" t="str">
        <f t="shared" si="1"/>
        <v/>
      </c>
      <c r="I228" s="29" t="str">
        <f t="shared" si="2"/>
        <v/>
      </c>
      <c r="J228" s="29" t="str">
        <f>IF(A228="", "", IFERROR(VLOOKUP(A228, 'Master Roster'!A:H, 8, FALSE) - F228, ""))</f>
        <v/>
      </c>
      <c r="K228" s="29" t="s">
        <v>175</v>
      </c>
      <c r="L228" s="29" t="b">
        <v>0</v>
      </c>
      <c r="M228" s="29"/>
      <c r="N228" s="29" t="s">
        <v>175</v>
      </c>
      <c r="O228" s="29" t="str">
        <f>IF(ISBLANK(A228), "", LET(entry_day, VLOOKUP(A228, 'Master Roster'!$A:$G, 7, FALSE), start_date, DATE(E228, MONTH(D228&amp;" 1"), entry_day), end_date, EDATE(start_date, 1), period, TEXT(start_date, "mmm d, yyyy") &amp; " - " &amp; TEXT(end_date, "mmm d, yyyy"), HYPERLINK("https://wa.me/" &amp; VLOOKUP(A228, 'Master Roster'!$A:$F, 6, FALSE) &amp; "?text=" &amp; ENCODEURL("Hello " &amp; IFERROR(IF(VLOOKUP(A228, 'Master Roster'!$A:$J, 10, FALSE)="Male", "Mr. ", "Ms. "), "") &amp; B228 &amp; ", payment of K" &amp; F228 &amp; " received for " &amp; period &amp; ". Receipt No: " &amp; N228), "Send Receipt")))</f>
        <v/>
      </c>
    </row>
    <row r="229">
      <c r="A229" s="29"/>
      <c r="B229" s="29" t="s">
        <v>175</v>
      </c>
      <c r="C229" s="76"/>
      <c r="D229" s="29"/>
      <c r="E229" s="29"/>
      <c r="F229" s="29"/>
      <c r="G229" s="29"/>
      <c r="H229" s="29" t="str">
        <f t="shared" si="1"/>
        <v/>
      </c>
      <c r="I229" s="29" t="str">
        <f t="shared" si="2"/>
        <v/>
      </c>
      <c r="J229" s="29" t="str">
        <f>IF(A229="", "", IFERROR(VLOOKUP(A229, 'Master Roster'!A:H, 8, FALSE) - F229, ""))</f>
        <v/>
      </c>
      <c r="K229" s="29" t="s">
        <v>175</v>
      </c>
      <c r="L229" s="29" t="b">
        <v>0</v>
      </c>
      <c r="M229" s="29"/>
      <c r="N229" s="29" t="s">
        <v>175</v>
      </c>
      <c r="O229" s="29" t="str">
        <f>IF(ISBLANK(A229), "", LET(entry_day, VLOOKUP(A229, 'Master Roster'!$A:$G, 7, FALSE), start_date, DATE(E229, MONTH(D229&amp;" 1"), entry_day), end_date, EDATE(start_date, 1), period, TEXT(start_date, "mmm d, yyyy") &amp; " - " &amp; TEXT(end_date, "mmm d, yyyy"), HYPERLINK("https://wa.me/" &amp; VLOOKUP(A229, 'Master Roster'!$A:$F, 6, FALSE) &amp; "?text=" &amp; ENCODEURL("Hello " &amp; IFERROR(IF(VLOOKUP(A229, 'Master Roster'!$A:$J, 10, FALSE)="Male", "Mr. ", "Ms. "), "") &amp; B229 &amp; ", payment of K" &amp; F229 &amp; " received for " &amp; period &amp; ". Receipt No: " &amp; N229), "Send Receipt")))</f>
        <v/>
      </c>
    </row>
    <row r="230">
      <c r="A230" s="29"/>
      <c r="B230" s="29" t="s">
        <v>175</v>
      </c>
      <c r="C230" s="76"/>
      <c r="D230" s="29"/>
      <c r="E230" s="29"/>
      <c r="F230" s="29"/>
      <c r="G230" s="29"/>
      <c r="H230" s="29" t="str">
        <f t="shared" si="1"/>
        <v/>
      </c>
      <c r="I230" s="29" t="str">
        <f t="shared" si="2"/>
        <v/>
      </c>
      <c r="J230" s="29" t="str">
        <f>IF(A230="", "", IFERROR(VLOOKUP(A230, 'Master Roster'!A:H, 8, FALSE) - F230, ""))</f>
        <v/>
      </c>
      <c r="K230" s="29" t="s">
        <v>175</v>
      </c>
      <c r="L230" s="29" t="b">
        <v>0</v>
      </c>
      <c r="M230" s="29"/>
      <c r="N230" s="29" t="s">
        <v>175</v>
      </c>
      <c r="O230" s="29" t="str">
        <f>IF(ISBLANK(A230), "", LET(entry_day, VLOOKUP(A230, 'Master Roster'!$A:$G, 7, FALSE), start_date, DATE(E230, MONTH(D230&amp;" 1"), entry_day), end_date, EDATE(start_date, 1), period, TEXT(start_date, "mmm d, yyyy") &amp; " - " &amp; TEXT(end_date, "mmm d, yyyy"), HYPERLINK("https://wa.me/" &amp; VLOOKUP(A230, 'Master Roster'!$A:$F, 6, FALSE) &amp; "?text=" &amp; ENCODEURL("Hello " &amp; IFERROR(IF(VLOOKUP(A230, 'Master Roster'!$A:$J, 10, FALSE)="Male", "Mr. ", "Ms. "), "") &amp; B230 &amp; ", payment of K" &amp; F230 &amp; " received for " &amp; period &amp; ". Receipt No: " &amp; N230), "Send Receipt")))</f>
        <v/>
      </c>
    </row>
    <row r="231">
      <c r="A231" s="29"/>
      <c r="B231" s="29" t="s">
        <v>175</v>
      </c>
      <c r="C231" s="76"/>
      <c r="D231" s="29"/>
      <c r="E231" s="29"/>
      <c r="F231" s="29"/>
      <c r="G231" s="29"/>
      <c r="H231" s="29" t="str">
        <f t="shared" si="1"/>
        <v/>
      </c>
      <c r="I231" s="29" t="str">
        <f t="shared" si="2"/>
        <v/>
      </c>
      <c r="J231" s="29" t="str">
        <f>IF(A231="", "", IFERROR(VLOOKUP(A231, 'Master Roster'!A:H, 8, FALSE) - F231, ""))</f>
        <v/>
      </c>
      <c r="K231" s="29" t="s">
        <v>175</v>
      </c>
      <c r="L231" s="29" t="b">
        <v>0</v>
      </c>
      <c r="M231" s="29"/>
      <c r="N231" s="29" t="s">
        <v>175</v>
      </c>
      <c r="O231" s="29" t="str">
        <f>IF(ISBLANK(A231), "", LET(entry_day, VLOOKUP(A231, 'Master Roster'!$A:$G, 7, FALSE), start_date, DATE(E231, MONTH(D231&amp;" 1"), entry_day), end_date, EDATE(start_date, 1), period, TEXT(start_date, "mmm d, yyyy") &amp; " - " &amp; TEXT(end_date, "mmm d, yyyy"), HYPERLINK("https://wa.me/" &amp; VLOOKUP(A231, 'Master Roster'!$A:$F, 6, FALSE) &amp; "?text=" &amp; ENCODEURL("Hello " &amp; IFERROR(IF(VLOOKUP(A231, 'Master Roster'!$A:$J, 10, FALSE)="Male", "Mr. ", "Ms. "), "") &amp; B231 &amp; ", payment of K" &amp; F231 &amp; " received for " &amp; period &amp; ". Receipt No: " &amp; N231), "Send Receipt")))</f>
        <v/>
      </c>
    </row>
    <row r="232">
      <c r="A232" s="29"/>
      <c r="B232" s="29" t="s">
        <v>175</v>
      </c>
      <c r="C232" s="76"/>
      <c r="D232" s="29"/>
      <c r="E232" s="29"/>
      <c r="F232" s="29"/>
      <c r="G232" s="29"/>
      <c r="H232" s="29" t="str">
        <f t="shared" si="1"/>
        <v/>
      </c>
      <c r="I232" s="29" t="str">
        <f t="shared" si="2"/>
        <v/>
      </c>
      <c r="J232" s="29" t="str">
        <f>IF(A232="", "", IFERROR(VLOOKUP(A232, 'Master Roster'!A:H, 8, FALSE) - F232, ""))</f>
        <v/>
      </c>
      <c r="K232" s="29" t="s">
        <v>175</v>
      </c>
      <c r="L232" s="29" t="b">
        <v>0</v>
      </c>
      <c r="M232" s="29"/>
      <c r="N232" s="29" t="s">
        <v>175</v>
      </c>
      <c r="O232" s="29" t="str">
        <f>IF(ISBLANK(A232), "", LET(entry_day, VLOOKUP(A232, 'Master Roster'!$A:$G, 7, FALSE), start_date, DATE(E232, MONTH(D232&amp;" 1"), entry_day), end_date, EDATE(start_date, 1), period, TEXT(start_date, "mmm d, yyyy") &amp; " - " &amp; TEXT(end_date, "mmm d, yyyy"), HYPERLINK("https://wa.me/" &amp; VLOOKUP(A232, 'Master Roster'!$A:$F, 6, FALSE) &amp; "?text=" &amp; ENCODEURL("Hello " &amp; IFERROR(IF(VLOOKUP(A232, 'Master Roster'!$A:$J, 10, FALSE)="Male", "Mr. ", "Ms. "), "") &amp; B232 &amp; ", payment of K" &amp; F232 &amp; " received for " &amp; period &amp; ". Receipt No: " &amp; N232), "Send Receipt")))</f>
        <v/>
      </c>
    </row>
    <row r="233">
      <c r="A233" s="29"/>
      <c r="B233" s="29" t="s">
        <v>175</v>
      </c>
      <c r="C233" s="76"/>
      <c r="D233" s="29"/>
      <c r="E233" s="29"/>
      <c r="F233" s="29"/>
      <c r="G233" s="29"/>
      <c r="H233" s="29" t="str">
        <f t="shared" si="1"/>
        <v/>
      </c>
      <c r="I233" s="29" t="str">
        <f t="shared" si="2"/>
        <v/>
      </c>
      <c r="J233" s="29" t="str">
        <f>IF(A233="", "", IFERROR(VLOOKUP(A233, 'Master Roster'!A:H, 8, FALSE) - F233, ""))</f>
        <v/>
      </c>
      <c r="K233" s="29" t="s">
        <v>175</v>
      </c>
      <c r="L233" s="29" t="b">
        <v>0</v>
      </c>
      <c r="M233" s="29"/>
      <c r="N233" s="29" t="s">
        <v>175</v>
      </c>
      <c r="O233" s="29" t="str">
        <f>IF(ISBLANK(A233), "", LET(entry_day, VLOOKUP(A233, 'Master Roster'!$A:$G, 7, FALSE), start_date, DATE(E233, MONTH(D233&amp;" 1"), entry_day), end_date, EDATE(start_date, 1), period, TEXT(start_date, "mmm d, yyyy") &amp; " - " &amp; TEXT(end_date, "mmm d, yyyy"), HYPERLINK("https://wa.me/" &amp; VLOOKUP(A233, 'Master Roster'!$A:$F, 6, FALSE) &amp; "?text=" &amp; ENCODEURL("Hello " &amp; IFERROR(IF(VLOOKUP(A233, 'Master Roster'!$A:$J, 10, FALSE)="Male", "Mr. ", "Ms. "), "") &amp; B233 &amp; ", payment of K" &amp; F233 &amp; " received for " &amp; period &amp; ". Receipt No: " &amp; N233), "Send Receipt")))</f>
        <v/>
      </c>
    </row>
    <row r="234">
      <c r="A234" s="29"/>
      <c r="B234" s="29" t="s">
        <v>175</v>
      </c>
      <c r="C234" s="76"/>
      <c r="D234" s="29"/>
      <c r="E234" s="29"/>
      <c r="F234" s="29"/>
      <c r="G234" s="29"/>
      <c r="H234" s="29" t="str">
        <f t="shared" si="1"/>
        <v/>
      </c>
      <c r="I234" s="29" t="str">
        <f t="shared" si="2"/>
        <v/>
      </c>
      <c r="J234" s="29" t="str">
        <f>IF(A234="", "", IFERROR(VLOOKUP(A234, 'Master Roster'!A:H, 8, FALSE) - F234, ""))</f>
        <v/>
      </c>
      <c r="K234" s="29" t="s">
        <v>175</v>
      </c>
      <c r="L234" s="29" t="b">
        <v>0</v>
      </c>
      <c r="M234" s="29"/>
      <c r="N234" s="29" t="s">
        <v>175</v>
      </c>
      <c r="O234" s="29" t="str">
        <f>IF(ISBLANK(A234), "", LET(entry_day, VLOOKUP(A234, 'Master Roster'!$A:$G, 7, FALSE), start_date, DATE(E234, MONTH(D234&amp;" 1"), entry_day), end_date, EDATE(start_date, 1), period, TEXT(start_date, "mmm d, yyyy") &amp; " - " &amp; TEXT(end_date, "mmm d, yyyy"), HYPERLINK("https://wa.me/" &amp; VLOOKUP(A234, 'Master Roster'!$A:$F, 6, FALSE) &amp; "?text=" &amp; ENCODEURL("Hello " &amp; IFERROR(IF(VLOOKUP(A234, 'Master Roster'!$A:$J, 10, FALSE)="Male", "Mr. ", "Ms. "), "") &amp; B234 &amp; ", payment of K" &amp; F234 &amp; " received for " &amp; period &amp; ". Receipt No: " &amp; N234), "Send Receipt")))</f>
        <v/>
      </c>
    </row>
    <row r="235">
      <c r="A235" s="29"/>
      <c r="B235" s="29" t="s">
        <v>175</v>
      </c>
      <c r="C235" s="76"/>
      <c r="D235" s="29"/>
      <c r="E235" s="29"/>
      <c r="F235" s="29"/>
      <c r="G235" s="29"/>
      <c r="H235" s="29" t="str">
        <f t="shared" si="1"/>
        <v/>
      </c>
      <c r="I235" s="29" t="str">
        <f t="shared" si="2"/>
        <v/>
      </c>
      <c r="J235" s="29" t="str">
        <f>IF(A235="", "", IFERROR(VLOOKUP(A235, 'Master Roster'!A:H, 8, FALSE) - F235, ""))</f>
        <v/>
      </c>
      <c r="K235" s="29" t="s">
        <v>175</v>
      </c>
      <c r="L235" s="29" t="b">
        <v>0</v>
      </c>
      <c r="M235" s="29"/>
      <c r="N235" s="29" t="s">
        <v>175</v>
      </c>
      <c r="O235" s="29" t="str">
        <f>IF(ISBLANK(A235), "", LET(entry_day, VLOOKUP(A235, 'Master Roster'!$A:$G, 7, FALSE), start_date, DATE(E235, MONTH(D235&amp;" 1"), entry_day), end_date, EDATE(start_date, 1), period, TEXT(start_date, "mmm d, yyyy") &amp; " - " &amp; TEXT(end_date, "mmm d, yyyy"), HYPERLINK("https://wa.me/" &amp; VLOOKUP(A235, 'Master Roster'!$A:$F, 6, FALSE) &amp; "?text=" &amp; ENCODEURL("Hello " &amp; IFERROR(IF(VLOOKUP(A235, 'Master Roster'!$A:$J, 10, FALSE)="Male", "Mr. ", "Ms. "), "") &amp; B235 &amp; ", payment of K" &amp; F235 &amp; " received for " &amp; period &amp; ". Receipt No: " &amp; N235), "Send Receipt")))</f>
        <v/>
      </c>
    </row>
    <row r="236">
      <c r="A236" s="29"/>
      <c r="B236" s="29" t="s">
        <v>175</v>
      </c>
      <c r="C236" s="76"/>
      <c r="D236" s="29"/>
      <c r="E236" s="29"/>
      <c r="F236" s="29"/>
      <c r="G236" s="29"/>
      <c r="H236" s="29" t="str">
        <f t="shared" si="1"/>
        <v/>
      </c>
      <c r="I236" s="29" t="str">
        <f t="shared" si="2"/>
        <v/>
      </c>
      <c r="J236" s="29" t="str">
        <f>IF(A236="", "", IFERROR(VLOOKUP(A236, 'Master Roster'!A:H, 8, FALSE) - F236, ""))</f>
        <v/>
      </c>
      <c r="K236" s="29" t="s">
        <v>175</v>
      </c>
      <c r="L236" s="29" t="b">
        <v>0</v>
      </c>
      <c r="M236" s="29"/>
      <c r="N236" s="29" t="s">
        <v>175</v>
      </c>
      <c r="O236" s="29" t="str">
        <f>IF(ISBLANK(A236), "", LET(entry_day, VLOOKUP(A236, 'Master Roster'!$A:$G, 7, FALSE), start_date, DATE(E236, MONTH(D236&amp;" 1"), entry_day), end_date, EDATE(start_date, 1), period, TEXT(start_date, "mmm d, yyyy") &amp; " - " &amp; TEXT(end_date, "mmm d, yyyy"), HYPERLINK("https://wa.me/" &amp; VLOOKUP(A236, 'Master Roster'!$A:$F, 6, FALSE) &amp; "?text=" &amp; ENCODEURL("Hello " &amp; IFERROR(IF(VLOOKUP(A236, 'Master Roster'!$A:$J, 10, FALSE)="Male", "Mr. ", "Ms. "), "") &amp; B236 &amp; ", payment of K" &amp; F236 &amp; " received for " &amp; period &amp; ". Receipt No: " &amp; N236), "Send Receipt")))</f>
        <v/>
      </c>
    </row>
    <row r="237">
      <c r="A237" s="29"/>
      <c r="B237" s="29" t="s">
        <v>175</v>
      </c>
      <c r="C237" s="76"/>
      <c r="D237" s="29"/>
      <c r="E237" s="29"/>
      <c r="F237" s="29"/>
      <c r="G237" s="29"/>
      <c r="H237" s="29" t="str">
        <f t="shared" si="1"/>
        <v/>
      </c>
      <c r="I237" s="29" t="str">
        <f t="shared" si="2"/>
        <v/>
      </c>
      <c r="J237" s="29" t="str">
        <f>IF(A237="", "", IFERROR(VLOOKUP(A237, 'Master Roster'!A:H, 8, FALSE) - F237, ""))</f>
        <v/>
      </c>
      <c r="K237" s="29" t="s">
        <v>175</v>
      </c>
      <c r="L237" s="29" t="b">
        <v>0</v>
      </c>
      <c r="M237" s="29"/>
      <c r="N237" s="29" t="s">
        <v>175</v>
      </c>
      <c r="O237" s="29" t="str">
        <f>IF(ISBLANK(A237), "", LET(entry_day, VLOOKUP(A237, 'Master Roster'!$A:$G, 7, FALSE), start_date, DATE(E237, MONTH(D237&amp;" 1"), entry_day), end_date, EDATE(start_date, 1), period, TEXT(start_date, "mmm d, yyyy") &amp; " - " &amp; TEXT(end_date, "mmm d, yyyy"), HYPERLINK("https://wa.me/" &amp; VLOOKUP(A237, 'Master Roster'!$A:$F, 6, FALSE) &amp; "?text=" &amp; ENCODEURL("Hello " &amp; IFERROR(IF(VLOOKUP(A237, 'Master Roster'!$A:$J, 10, FALSE)="Male", "Mr. ", "Ms. "), "") &amp; B237 &amp; ", payment of K" &amp; F237 &amp; " received for " &amp; period &amp; ". Receipt No: " &amp; N237), "Send Receipt")))</f>
        <v/>
      </c>
    </row>
    <row r="238">
      <c r="A238" s="29"/>
      <c r="B238" s="29" t="s">
        <v>175</v>
      </c>
      <c r="C238" s="76"/>
      <c r="D238" s="29"/>
      <c r="E238" s="29"/>
      <c r="F238" s="29"/>
      <c r="G238" s="29"/>
      <c r="H238" s="29" t="str">
        <f t="shared" si="1"/>
        <v/>
      </c>
      <c r="I238" s="29" t="str">
        <f t="shared" si="2"/>
        <v/>
      </c>
      <c r="J238" s="29" t="str">
        <f>IF(A238="", "", IFERROR(VLOOKUP(A238, 'Master Roster'!A:H, 8, FALSE) - F238, ""))</f>
        <v/>
      </c>
      <c r="K238" s="29" t="s">
        <v>175</v>
      </c>
      <c r="L238" s="29" t="b">
        <v>0</v>
      </c>
      <c r="M238" s="29"/>
      <c r="N238" s="29" t="s">
        <v>175</v>
      </c>
      <c r="O238" s="29" t="str">
        <f>IF(ISBLANK(A238), "", LET(entry_day, VLOOKUP(A238, 'Master Roster'!$A:$G, 7, FALSE), start_date, DATE(E238, MONTH(D238&amp;" 1"), entry_day), end_date, EDATE(start_date, 1), period, TEXT(start_date, "mmm d, yyyy") &amp; " - " &amp; TEXT(end_date, "mmm d, yyyy"), HYPERLINK("https://wa.me/" &amp; VLOOKUP(A238, 'Master Roster'!$A:$F, 6, FALSE) &amp; "?text=" &amp; ENCODEURL("Hello " &amp; IFERROR(IF(VLOOKUP(A238, 'Master Roster'!$A:$J, 10, FALSE)="Male", "Mr. ", "Ms. "), "") &amp; B238 &amp; ", payment of K" &amp; F238 &amp; " received for " &amp; period &amp; ". Receipt No: " &amp; N238), "Send Receipt")))</f>
        <v/>
      </c>
    </row>
    <row r="239">
      <c r="A239" s="29"/>
      <c r="B239" s="29" t="s">
        <v>175</v>
      </c>
      <c r="C239" s="76"/>
      <c r="D239" s="29"/>
      <c r="E239" s="29"/>
      <c r="F239" s="29"/>
      <c r="G239" s="29"/>
      <c r="H239" s="29" t="str">
        <f t="shared" si="1"/>
        <v/>
      </c>
      <c r="I239" s="29" t="str">
        <f t="shared" si="2"/>
        <v/>
      </c>
      <c r="J239" s="29" t="str">
        <f>IF(A239="", "", IFERROR(VLOOKUP(A239, 'Master Roster'!A:H, 8, FALSE) - F239, ""))</f>
        <v/>
      </c>
      <c r="K239" s="29" t="s">
        <v>175</v>
      </c>
      <c r="L239" s="29" t="b">
        <v>0</v>
      </c>
      <c r="M239" s="29"/>
      <c r="N239" s="29" t="s">
        <v>175</v>
      </c>
      <c r="O239" s="29" t="str">
        <f>IF(ISBLANK(A239), "", LET(entry_day, VLOOKUP(A239, 'Master Roster'!$A:$G, 7, FALSE), start_date, DATE(E239, MONTH(D239&amp;" 1"), entry_day), end_date, EDATE(start_date, 1), period, TEXT(start_date, "mmm d, yyyy") &amp; " - " &amp; TEXT(end_date, "mmm d, yyyy"), HYPERLINK("https://wa.me/" &amp; VLOOKUP(A239, 'Master Roster'!$A:$F, 6, FALSE) &amp; "?text=" &amp; ENCODEURL("Hello " &amp; IFERROR(IF(VLOOKUP(A239, 'Master Roster'!$A:$J, 10, FALSE)="Male", "Mr. ", "Ms. "), "") &amp; B239 &amp; ", payment of K" &amp; F239 &amp; " received for " &amp; period &amp; ". Receipt No: " &amp; N239), "Send Receipt")))</f>
        <v/>
      </c>
    </row>
    <row r="240">
      <c r="A240" s="29"/>
      <c r="B240" s="29" t="s">
        <v>175</v>
      </c>
      <c r="C240" s="76"/>
      <c r="D240" s="29"/>
      <c r="E240" s="29"/>
      <c r="F240" s="29"/>
      <c r="G240" s="29"/>
      <c r="H240" s="29" t="str">
        <f t="shared" si="1"/>
        <v/>
      </c>
      <c r="I240" s="29" t="str">
        <f t="shared" si="2"/>
        <v/>
      </c>
      <c r="J240" s="29" t="str">
        <f>IF(A240="", "", IFERROR(VLOOKUP(A240, 'Master Roster'!A:H, 8, FALSE) - F240, ""))</f>
        <v/>
      </c>
      <c r="K240" s="29" t="s">
        <v>175</v>
      </c>
      <c r="L240" s="29" t="b">
        <v>0</v>
      </c>
      <c r="M240" s="29"/>
      <c r="N240" s="29" t="s">
        <v>175</v>
      </c>
      <c r="O240" s="29" t="str">
        <f>IF(ISBLANK(A240), "", LET(entry_day, VLOOKUP(A240, 'Master Roster'!$A:$G, 7, FALSE), start_date, DATE(E240, MONTH(D240&amp;" 1"), entry_day), end_date, EDATE(start_date, 1), period, TEXT(start_date, "mmm d, yyyy") &amp; " - " &amp; TEXT(end_date, "mmm d, yyyy"), HYPERLINK("https://wa.me/" &amp; VLOOKUP(A240, 'Master Roster'!$A:$F, 6, FALSE) &amp; "?text=" &amp; ENCODEURL("Hello " &amp; IFERROR(IF(VLOOKUP(A240, 'Master Roster'!$A:$J, 10, FALSE)="Male", "Mr. ", "Ms. "), "") &amp; B240 &amp; ", payment of K" &amp; F240 &amp; " received for " &amp; period &amp; ". Receipt No: " &amp; N240), "Send Receipt")))</f>
        <v/>
      </c>
    </row>
    <row r="241">
      <c r="A241" s="29"/>
      <c r="B241" s="29" t="s">
        <v>175</v>
      </c>
      <c r="C241" s="76"/>
      <c r="D241" s="29"/>
      <c r="E241" s="29"/>
      <c r="F241" s="29"/>
      <c r="G241" s="29"/>
      <c r="H241" s="29" t="str">
        <f t="shared" si="1"/>
        <v/>
      </c>
      <c r="I241" s="29" t="str">
        <f t="shared" si="2"/>
        <v/>
      </c>
      <c r="J241" s="29" t="str">
        <f>IF(A241="", "", IFERROR(VLOOKUP(A241, 'Master Roster'!A:H, 8, FALSE) - F241, ""))</f>
        <v/>
      </c>
      <c r="K241" s="29" t="s">
        <v>175</v>
      </c>
      <c r="L241" s="29" t="b">
        <v>0</v>
      </c>
      <c r="M241" s="29"/>
      <c r="N241" s="29" t="s">
        <v>175</v>
      </c>
      <c r="O241" s="29" t="str">
        <f>IF(ISBLANK(A241), "", LET(entry_day, VLOOKUP(A241, 'Master Roster'!$A:$G, 7, FALSE), start_date, DATE(E241, MONTH(D241&amp;" 1"), entry_day), end_date, EDATE(start_date, 1), period, TEXT(start_date, "mmm d, yyyy") &amp; " - " &amp; TEXT(end_date, "mmm d, yyyy"), HYPERLINK("https://wa.me/" &amp; VLOOKUP(A241, 'Master Roster'!$A:$F, 6, FALSE) &amp; "?text=" &amp; ENCODEURL("Hello " &amp; IFERROR(IF(VLOOKUP(A241, 'Master Roster'!$A:$J, 10, FALSE)="Male", "Mr. ", "Ms. "), "") &amp; B241 &amp; ", payment of K" &amp; F241 &amp; " received for " &amp; period &amp; ". Receipt No: " &amp; N241), "Send Receipt")))</f>
        <v/>
      </c>
    </row>
    <row r="242">
      <c r="A242" s="29"/>
      <c r="B242" s="29" t="s">
        <v>175</v>
      </c>
      <c r="C242" s="76"/>
      <c r="D242" s="29"/>
      <c r="E242" s="29"/>
      <c r="F242" s="29"/>
      <c r="G242" s="29"/>
      <c r="H242" s="29" t="str">
        <f t="shared" si="1"/>
        <v/>
      </c>
      <c r="I242" s="29" t="str">
        <f t="shared" si="2"/>
        <v/>
      </c>
      <c r="J242" s="29" t="str">
        <f>IF(A242="", "", IFERROR(VLOOKUP(A242, 'Master Roster'!A:H, 8, FALSE) - F242, ""))</f>
        <v/>
      </c>
      <c r="K242" s="29" t="s">
        <v>175</v>
      </c>
      <c r="L242" s="29" t="b">
        <v>0</v>
      </c>
      <c r="M242" s="29"/>
      <c r="N242" s="29" t="s">
        <v>175</v>
      </c>
      <c r="O242" s="29" t="str">
        <f>IF(ISBLANK(A242), "", LET(entry_day, VLOOKUP(A242, 'Master Roster'!$A:$G, 7, FALSE), start_date, DATE(E242, MONTH(D242&amp;" 1"), entry_day), end_date, EDATE(start_date, 1), period, TEXT(start_date, "mmm d, yyyy") &amp; " - " &amp; TEXT(end_date, "mmm d, yyyy"), HYPERLINK("https://wa.me/" &amp; VLOOKUP(A242, 'Master Roster'!$A:$F, 6, FALSE) &amp; "?text=" &amp; ENCODEURL("Hello " &amp; IFERROR(IF(VLOOKUP(A242, 'Master Roster'!$A:$J, 10, FALSE)="Male", "Mr. ", "Ms. "), "") &amp; B242 &amp; ", payment of K" &amp; F242 &amp; " received for " &amp; period &amp; ". Receipt No: " &amp; N242), "Send Receipt")))</f>
        <v/>
      </c>
    </row>
    <row r="243">
      <c r="A243" s="29"/>
      <c r="B243" s="29" t="s">
        <v>175</v>
      </c>
      <c r="C243" s="76"/>
      <c r="D243" s="29"/>
      <c r="E243" s="29"/>
      <c r="F243" s="29"/>
      <c r="G243" s="29"/>
      <c r="H243" s="29" t="str">
        <f t="shared" si="1"/>
        <v/>
      </c>
      <c r="I243" s="29" t="str">
        <f t="shared" si="2"/>
        <v/>
      </c>
      <c r="J243" s="29" t="str">
        <f>IF(A243="", "", IFERROR(VLOOKUP(A243, 'Master Roster'!A:H, 8, FALSE) - F243, ""))</f>
        <v/>
      </c>
      <c r="K243" s="29" t="s">
        <v>175</v>
      </c>
      <c r="L243" s="29" t="b">
        <v>0</v>
      </c>
      <c r="M243" s="29"/>
      <c r="N243" s="29" t="s">
        <v>175</v>
      </c>
      <c r="O243" s="29" t="str">
        <f>IF(ISBLANK(A243), "", LET(entry_day, VLOOKUP(A243, 'Master Roster'!$A:$G, 7, FALSE), start_date, DATE(E243, MONTH(D243&amp;" 1"), entry_day), end_date, EDATE(start_date, 1), period, TEXT(start_date, "mmm d, yyyy") &amp; " - " &amp; TEXT(end_date, "mmm d, yyyy"), HYPERLINK("https://wa.me/" &amp; VLOOKUP(A243, 'Master Roster'!$A:$F, 6, FALSE) &amp; "?text=" &amp; ENCODEURL("Hello " &amp; IFERROR(IF(VLOOKUP(A243, 'Master Roster'!$A:$J, 10, FALSE)="Male", "Mr. ", "Ms. "), "") &amp; B243 &amp; ", payment of K" &amp; F243 &amp; " received for " &amp; period &amp; ". Receipt No: " &amp; N243), "Send Receipt")))</f>
        <v/>
      </c>
    </row>
    <row r="244">
      <c r="A244" s="29"/>
      <c r="B244" s="29" t="s">
        <v>175</v>
      </c>
      <c r="C244" s="76"/>
      <c r="D244" s="29"/>
      <c r="E244" s="29"/>
      <c r="F244" s="29"/>
      <c r="G244" s="29"/>
      <c r="H244" s="29" t="str">
        <f t="shared" si="1"/>
        <v/>
      </c>
      <c r="I244" s="29" t="str">
        <f t="shared" si="2"/>
        <v/>
      </c>
      <c r="J244" s="29" t="str">
        <f>IF(A244="", "", IFERROR(VLOOKUP(A244, 'Master Roster'!A:H, 8, FALSE) - F244, ""))</f>
        <v/>
      </c>
      <c r="K244" s="29" t="s">
        <v>175</v>
      </c>
      <c r="L244" s="29" t="b">
        <v>0</v>
      </c>
      <c r="M244" s="29"/>
      <c r="N244" s="29" t="s">
        <v>175</v>
      </c>
      <c r="O244" s="29" t="str">
        <f>IF(ISBLANK(A244), "", LET(entry_day, VLOOKUP(A244, 'Master Roster'!$A:$G, 7, FALSE), start_date, DATE(E244, MONTH(D244&amp;" 1"), entry_day), end_date, EDATE(start_date, 1), period, TEXT(start_date, "mmm d, yyyy") &amp; " - " &amp; TEXT(end_date, "mmm d, yyyy"), HYPERLINK("https://wa.me/" &amp; VLOOKUP(A244, 'Master Roster'!$A:$F, 6, FALSE) &amp; "?text=" &amp; ENCODEURL("Hello " &amp; IFERROR(IF(VLOOKUP(A244, 'Master Roster'!$A:$J, 10, FALSE)="Male", "Mr. ", "Ms. "), "") &amp; B244 &amp; ", payment of K" &amp; F244 &amp; " received for " &amp; period &amp; ". Receipt No: " &amp; N244), "Send Receipt")))</f>
        <v/>
      </c>
    </row>
    <row r="245">
      <c r="A245" s="29"/>
      <c r="B245" s="29" t="s">
        <v>175</v>
      </c>
      <c r="C245" s="76"/>
      <c r="D245" s="29"/>
      <c r="E245" s="29"/>
      <c r="F245" s="29"/>
      <c r="G245" s="29"/>
      <c r="H245" s="29" t="str">
        <f t="shared" si="1"/>
        <v/>
      </c>
      <c r="I245" s="29" t="str">
        <f t="shared" si="2"/>
        <v/>
      </c>
      <c r="J245" s="29" t="str">
        <f>IF(A245="", "", IFERROR(VLOOKUP(A245, 'Master Roster'!A:H, 8, FALSE) - F245, ""))</f>
        <v/>
      </c>
      <c r="K245" s="29" t="s">
        <v>175</v>
      </c>
      <c r="L245" s="29" t="b">
        <v>0</v>
      </c>
      <c r="M245" s="29"/>
      <c r="N245" s="29" t="s">
        <v>175</v>
      </c>
      <c r="O245" s="29" t="str">
        <f>IF(ISBLANK(A245), "", LET(entry_day, VLOOKUP(A245, 'Master Roster'!$A:$G, 7, FALSE), start_date, DATE(E245, MONTH(D245&amp;" 1"), entry_day), end_date, EDATE(start_date, 1), period, TEXT(start_date, "mmm d, yyyy") &amp; " - " &amp; TEXT(end_date, "mmm d, yyyy"), HYPERLINK("https://wa.me/" &amp; VLOOKUP(A245, 'Master Roster'!$A:$F, 6, FALSE) &amp; "?text=" &amp; ENCODEURL("Hello " &amp; IFERROR(IF(VLOOKUP(A245, 'Master Roster'!$A:$J, 10, FALSE)="Male", "Mr. ", "Ms. "), "") &amp; B245 &amp; ", payment of K" &amp; F245 &amp; " received for " &amp; period &amp; ". Receipt No: " &amp; N245), "Send Receipt")))</f>
        <v/>
      </c>
    </row>
    <row r="246">
      <c r="A246" s="29"/>
      <c r="B246" s="29" t="s">
        <v>175</v>
      </c>
      <c r="C246" s="76"/>
      <c r="D246" s="29"/>
      <c r="E246" s="29"/>
      <c r="F246" s="29"/>
      <c r="G246" s="29"/>
      <c r="H246" s="29" t="str">
        <f t="shared" si="1"/>
        <v/>
      </c>
      <c r="I246" s="29" t="str">
        <f t="shared" si="2"/>
        <v/>
      </c>
      <c r="J246" s="29" t="str">
        <f>IF(A246="", "", IFERROR(VLOOKUP(A246, 'Master Roster'!A:H, 8, FALSE) - F246, ""))</f>
        <v/>
      </c>
      <c r="K246" s="29" t="s">
        <v>175</v>
      </c>
      <c r="L246" s="29" t="b">
        <v>0</v>
      </c>
      <c r="M246" s="29"/>
      <c r="N246" s="29" t="s">
        <v>175</v>
      </c>
      <c r="O246" s="29" t="str">
        <f>IF(ISBLANK(A246), "", LET(entry_day, VLOOKUP(A246, 'Master Roster'!$A:$G, 7, FALSE), start_date, DATE(E246, MONTH(D246&amp;" 1"), entry_day), end_date, EDATE(start_date, 1), period, TEXT(start_date, "mmm d, yyyy") &amp; " - " &amp; TEXT(end_date, "mmm d, yyyy"), HYPERLINK("https://wa.me/" &amp; VLOOKUP(A246, 'Master Roster'!$A:$F, 6, FALSE) &amp; "?text=" &amp; ENCODEURL("Hello " &amp; IFERROR(IF(VLOOKUP(A246, 'Master Roster'!$A:$J, 10, FALSE)="Male", "Mr. ", "Ms. "), "") &amp; B246 &amp; ", payment of K" &amp; F246 &amp; " received for " &amp; period &amp; ". Receipt No: " &amp; N246), "Send Receipt")))</f>
        <v/>
      </c>
    </row>
    <row r="247">
      <c r="A247" s="29"/>
      <c r="B247" s="29" t="s">
        <v>175</v>
      </c>
      <c r="C247" s="76"/>
      <c r="D247" s="29"/>
      <c r="E247" s="29"/>
      <c r="F247" s="29"/>
      <c r="G247" s="29"/>
      <c r="H247" s="29" t="str">
        <f t="shared" si="1"/>
        <v/>
      </c>
      <c r="I247" s="29" t="str">
        <f t="shared" si="2"/>
        <v/>
      </c>
      <c r="J247" s="29" t="str">
        <f>IF(A247="", "", IFERROR(VLOOKUP(A247, 'Master Roster'!A:H, 8, FALSE) - F247, ""))</f>
        <v/>
      </c>
      <c r="K247" s="29" t="s">
        <v>175</v>
      </c>
      <c r="L247" s="29" t="b">
        <v>0</v>
      </c>
      <c r="M247" s="29"/>
      <c r="N247" s="29" t="s">
        <v>175</v>
      </c>
      <c r="O247" s="29" t="str">
        <f>IF(ISBLANK(A247), "", LET(entry_day, VLOOKUP(A247, 'Master Roster'!$A:$G, 7, FALSE), start_date, DATE(E247, MONTH(D247&amp;" 1"), entry_day), end_date, EDATE(start_date, 1), period, TEXT(start_date, "mmm d, yyyy") &amp; " - " &amp; TEXT(end_date, "mmm d, yyyy"), HYPERLINK("https://wa.me/" &amp; VLOOKUP(A247, 'Master Roster'!$A:$F, 6, FALSE) &amp; "?text=" &amp; ENCODEURL("Hello " &amp; IFERROR(IF(VLOOKUP(A247, 'Master Roster'!$A:$J, 10, FALSE)="Male", "Mr. ", "Ms. "), "") &amp; B247 &amp; ", payment of K" &amp; F247 &amp; " received for " &amp; period &amp; ". Receipt No: " &amp; N247), "Send Receipt")))</f>
        <v/>
      </c>
    </row>
    <row r="248">
      <c r="A248" s="29"/>
      <c r="B248" s="29" t="s">
        <v>175</v>
      </c>
      <c r="C248" s="76"/>
      <c r="D248" s="29"/>
      <c r="E248" s="29"/>
      <c r="F248" s="29"/>
      <c r="G248" s="29"/>
      <c r="H248" s="29" t="str">
        <f t="shared" si="1"/>
        <v/>
      </c>
      <c r="I248" s="29" t="str">
        <f t="shared" si="2"/>
        <v/>
      </c>
      <c r="J248" s="29" t="str">
        <f>IF(A248="", "", IFERROR(VLOOKUP(A248, 'Master Roster'!A:H, 8, FALSE) - F248, ""))</f>
        <v/>
      </c>
      <c r="K248" s="29" t="s">
        <v>175</v>
      </c>
      <c r="L248" s="29" t="b">
        <v>0</v>
      </c>
      <c r="M248" s="29"/>
      <c r="N248" s="29" t="s">
        <v>175</v>
      </c>
      <c r="O248" s="29" t="str">
        <f>IF(ISBLANK(A248), "", LET(entry_day, VLOOKUP(A248, 'Master Roster'!$A:$G, 7, FALSE), start_date, DATE(E248, MONTH(D248&amp;" 1"), entry_day), end_date, EDATE(start_date, 1), period, TEXT(start_date, "mmm d, yyyy") &amp; " - " &amp; TEXT(end_date, "mmm d, yyyy"), HYPERLINK("https://wa.me/" &amp; VLOOKUP(A248, 'Master Roster'!$A:$F, 6, FALSE) &amp; "?text=" &amp; ENCODEURL("Hello " &amp; IFERROR(IF(VLOOKUP(A248, 'Master Roster'!$A:$J, 10, FALSE)="Male", "Mr. ", "Ms. "), "") &amp; B248 &amp; ", payment of K" &amp; F248 &amp; " received for " &amp; period &amp; ". Receipt No: " &amp; N248), "Send Receipt")))</f>
        <v/>
      </c>
    </row>
    <row r="249">
      <c r="A249" s="29"/>
      <c r="B249" s="29" t="s">
        <v>175</v>
      </c>
      <c r="C249" s="76"/>
      <c r="D249" s="29"/>
      <c r="E249" s="29"/>
      <c r="F249" s="29"/>
      <c r="G249" s="29"/>
      <c r="H249" s="29" t="str">
        <f t="shared" si="1"/>
        <v/>
      </c>
      <c r="I249" s="29" t="str">
        <f t="shared" si="2"/>
        <v/>
      </c>
      <c r="J249" s="29" t="str">
        <f>IF(A249="", "", IFERROR(VLOOKUP(A249, 'Master Roster'!A:H, 8, FALSE) - F249, ""))</f>
        <v/>
      </c>
      <c r="K249" s="29" t="s">
        <v>175</v>
      </c>
      <c r="L249" s="29" t="b">
        <v>0</v>
      </c>
      <c r="M249" s="29"/>
      <c r="N249" s="29" t="s">
        <v>175</v>
      </c>
      <c r="O249" s="29" t="str">
        <f>IF(ISBLANK(A249), "", LET(entry_day, VLOOKUP(A249, 'Master Roster'!$A:$G, 7, FALSE), start_date, DATE(E249, MONTH(D249&amp;" 1"), entry_day), end_date, EDATE(start_date, 1), period, TEXT(start_date, "mmm d, yyyy") &amp; " - " &amp; TEXT(end_date, "mmm d, yyyy"), HYPERLINK("https://wa.me/" &amp; VLOOKUP(A249, 'Master Roster'!$A:$F, 6, FALSE) &amp; "?text=" &amp; ENCODEURL("Hello " &amp; IFERROR(IF(VLOOKUP(A249, 'Master Roster'!$A:$J, 10, FALSE)="Male", "Mr. ", "Ms. "), "") &amp; B249 &amp; ", payment of K" &amp; F249 &amp; " received for " &amp; period &amp; ". Receipt No: " &amp; N249), "Send Receipt")))</f>
        <v/>
      </c>
    </row>
    <row r="250">
      <c r="A250" s="29"/>
      <c r="B250" s="29" t="s">
        <v>175</v>
      </c>
      <c r="C250" s="76"/>
      <c r="D250" s="29"/>
      <c r="E250" s="29"/>
      <c r="F250" s="29"/>
      <c r="G250" s="29"/>
      <c r="H250" s="29" t="str">
        <f t="shared" si="1"/>
        <v/>
      </c>
      <c r="I250" s="29" t="str">
        <f t="shared" si="2"/>
        <v/>
      </c>
      <c r="J250" s="29" t="str">
        <f>IF(A250="", "", IFERROR(VLOOKUP(A250, 'Master Roster'!A:H, 8, FALSE) - F250, ""))</f>
        <v/>
      </c>
      <c r="K250" s="29" t="s">
        <v>175</v>
      </c>
      <c r="L250" s="29" t="b">
        <v>0</v>
      </c>
      <c r="M250" s="29"/>
      <c r="N250" s="29" t="s">
        <v>175</v>
      </c>
      <c r="O250" s="29" t="str">
        <f>IF(ISBLANK(A250), "", LET(entry_day, VLOOKUP(A250, 'Master Roster'!$A:$G, 7, FALSE), start_date, DATE(E250, MONTH(D250&amp;" 1"), entry_day), end_date, EDATE(start_date, 1), period, TEXT(start_date, "mmm d, yyyy") &amp; " - " &amp; TEXT(end_date, "mmm d, yyyy"), HYPERLINK("https://wa.me/" &amp; VLOOKUP(A250, 'Master Roster'!$A:$F, 6, FALSE) &amp; "?text=" &amp; ENCODEURL("Hello " &amp; IFERROR(IF(VLOOKUP(A250, 'Master Roster'!$A:$J, 10, FALSE)="Male", "Mr. ", "Ms. "), "") &amp; B250 &amp; ", payment of K" &amp; F250 &amp; " received for " &amp; period &amp; ". Receipt No: " &amp; N250), "Send Receipt")))</f>
        <v/>
      </c>
    </row>
    <row r="251">
      <c r="A251" s="29"/>
      <c r="B251" s="29" t="s">
        <v>175</v>
      </c>
      <c r="C251" s="76"/>
      <c r="D251" s="29"/>
      <c r="E251" s="29"/>
      <c r="F251" s="29"/>
      <c r="G251" s="29"/>
      <c r="H251" s="29" t="str">
        <f t="shared" si="1"/>
        <v/>
      </c>
      <c r="I251" s="29" t="str">
        <f t="shared" si="2"/>
        <v/>
      </c>
      <c r="J251" s="29" t="str">
        <f>IF(A251="", "", IFERROR(VLOOKUP(A251, 'Master Roster'!A:H, 8, FALSE) - F251, ""))</f>
        <v/>
      </c>
      <c r="K251" s="29" t="s">
        <v>175</v>
      </c>
      <c r="L251" s="29" t="b">
        <v>0</v>
      </c>
      <c r="M251" s="29"/>
      <c r="N251" s="29" t="s">
        <v>175</v>
      </c>
      <c r="O251" s="29" t="str">
        <f>IF(ISBLANK(A251), "", LET(entry_day, VLOOKUP(A251, 'Master Roster'!$A:$G, 7, FALSE), start_date, DATE(E251, MONTH(D251&amp;" 1"), entry_day), end_date, EDATE(start_date, 1), period, TEXT(start_date, "mmm d, yyyy") &amp; " - " &amp; TEXT(end_date, "mmm d, yyyy"), HYPERLINK("https://wa.me/" &amp; VLOOKUP(A251, 'Master Roster'!$A:$F, 6, FALSE) &amp; "?text=" &amp; ENCODEURL("Hello " &amp; IFERROR(IF(VLOOKUP(A251, 'Master Roster'!$A:$J, 10, FALSE)="Male", "Mr. ", "Ms. "), "") &amp; B251 &amp; ", payment of K" &amp; F251 &amp; " received for " &amp; period &amp; ". Receipt No: " &amp; N251), "Send Receipt")))</f>
        <v/>
      </c>
    </row>
    <row r="252">
      <c r="A252" s="29"/>
      <c r="B252" s="29" t="s">
        <v>175</v>
      </c>
      <c r="C252" s="76"/>
      <c r="D252" s="29"/>
      <c r="E252" s="29"/>
      <c r="F252" s="29"/>
      <c r="G252" s="29"/>
      <c r="H252" s="29" t="str">
        <f t="shared" si="1"/>
        <v/>
      </c>
      <c r="I252" s="29" t="str">
        <f t="shared" si="2"/>
        <v/>
      </c>
      <c r="J252" s="29" t="str">
        <f>IF(A252="", "", IFERROR(VLOOKUP(A252, 'Master Roster'!A:H, 8, FALSE) - F252, ""))</f>
        <v/>
      </c>
      <c r="K252" s="29" t="s">
        <v>175</v>
      </c>
      <c r="L252" s="29" t="b">
        <v>0</v>
      </c>
      <c r="M252" s="29"/>
      <c r="N252" s="29" t="s">
        <v>175</v>
      </c>
      <c r="O252" s="29" t="str">
        <f>IF(ISBLANK(A252), "", LET(entry_day, VLOOKUP(A252, 'Master Roster'!$A:$G, 7, FALSE), start_date, DATE(E252, MONTH(D252&amp;" 1"), entry_day), end_date, EDATE(start_date, 1), period, TEXT(start_date, "mmm d, yyyy") &amp; " - " &amp; TEXT(end_date, "mmm d, yyyy"), HYPERLINK("https://wa.me/" &amp; VLOOKUP(A252, 'Master Roster'!$A:$F, 6, FALSE) &amp; "?text=" &amp; ENCODEURL("Hello " &amp; IFERROR(IF(VLOOKUP(A252, 'Master Roster'!$A:$J, 10, FALSE)="Male", "Mr. ", "Ms. "), "") &amp; B252 &amp; ", payment of K" &amp; F252 &amp; " received for " &amp; period &amp; ". Receipt No: " &amp; N252), "Send Receipt")))</f>
        <v/>
      </c>
    </row>
    <row r="253">
      <c r="A253" s="29"/>
      <c r="B253" s="29" t="s">
        <v>175</v>
      </c>
      <c r="C253" s="76"/>
      <c r="D253" s="29"/>
      <c r="E253" s="29"/>
      <c r="F253" s="29"/>
      <c r="G253" s="29"/>
      <c r="H253" s="29" t="str">
        <f t="shared" si="1"/>
        <v/>
      </c>
      <c r="I253" s="29" t="str">
        <f t="shared" si="2"/>
        <v/>
      </c>
      <c r="J253" s="29" t="str">
        <f>IF(A253="", "", IFERROR(VLOOKUP(A253, 'Master Roster'!A:H, 8, FALSE) - F253, ""))</f>
        <v/>
      </c>
      <c r="K253" s="29" t="s">
        <v>175</v>
      </c>
      <c r="L253" s="29" t="b">
        <v>0</v>
      </c>
      <c r="M253" s="29"/>
      <c r="N253" s="29" t="s">
        <v>175</v>
      </c>
      <c r="O253" s="29" t="str">
        <f>IF(ISBLANK(A253), "", LET(entry_day, VLOOKUP(A253, 'Master Roster'!$A:$G, 7, FALSE), start_date, DATE(E253, MONTH(D253&amp;" 1"), entry_day), end_date, EDATE(start_date, 1), period, TEXT(start_date, "mmm d, yyyy") &amp; " - " &amp; TEXT(end_date, "mmm d, yyyy"), HYPERLINK("https://wa.me/" &amp; VLOOKUP(A253, 'Master Roster'!$A:$F, 6, FALSE) &amp; "?text=" &amp; ENCODEURL("Hello " &amp; IFERROR(IF(VLOOKUP(A253, 'Master Roster'!$A:$J, 10, FALSE)="Male", "Mr. ", "Ms. "), "") &amp; B253 &amp; ", payment of K" &amp; F253 &amp; " received for " &amp; period &amp; ". Receipt No: " &amp; N253), "Send Receipt")))</f>
        <v/>
      </c>
    </row>
    <row r="254">
      <c r="A254" s="29"/>
      <c r="B254" s="29" t="s">
        <v>175</v>
      </c>
      <c r="C254" s="76"/>
      <c r="D254" s="29"/>
      <c r="E254" s="29"/>
      <c r="F254" s="29"/>
      <c r="G254" s="29"/>
      <c r="H254" s="29" t="str">
        <f t="shared" si="1"/>
        <v/>
      </c>
      <c r="I254" s="29" t="str">
        <f t="shared" si="2"/>
        <v/>
      </c>
      <c r="J254" s="29" t="str">
        <f>IF(A254="", "", IFERROR(VLOOKUP(A254, 'Master Roster'!A:H, 8, FALSE) - F254, ""))</f>
        <v/>
      </c>
      <c r="K254" s="29" t="s">
        <v>175</v>
      </c>
      <c r="L254" s="29" t="b">
        <v>0</v>
      </c>
      <c r="M254" s="29"/>
      <c r="N254" s="29" t="s">
        <v>175</v>
      </c>
      <c r="O254" s="29" t="str">
        <f>IF(ISBLANK(A254), "", LET(entry_day, VLOOKUP(A254, 'Master Roster'!$A:$G, 7, FALSE), start_date, DATE(E254, MONTH(D254&amp;" 1"), entry_day), end_date, EDATE(start_date, 1), period, TEXT(start_date, "mmm d, yyyy") &amp; " - " &amp; TEXT(end_date, "mmm d, yyyy"), HYPERLINK("https://wa.me/" &amp; VLOOKUP(A254, 'Master Roster'!$A:$F, 6, FALSE) &amp; "?text=" &amp; ENCODEURL("Hello " &amp; IFERROR(IF(VLOOKUP(A254, 'Master Roster'!$A:$J, 10, FALSE)="Male", "Mr. ", "Ms. "), "") &amp; B254 &amp; ", payment of K" &amp; F254 &amp; " received for " &amp; period &amp; ". Receipt No: " &amp; N254), "Send Receipt")))</f>
        <v/>
      </c>
    </row>
    <row r="255">
      <c r="A255" s="29"/>
      <c r="B255" s="29" t="s">
        <v>175</v>
      </c>
      <c r="C255" s="76"/>
      <c r="D255" s="29"/>
      <c r="E255" s="29"/>
      <c r="F255" s="29"/>
      <c r="G255" s="29"/>
      <c r="H255" s="29" t="str">
        <f t="shared" si="1"/>
        <v/>
      </c>
      <c r="I255" s="29" t="str">
        <f t="shared" si="2"/>
        <v/>
      </c>
      <c r="J255" s="29" t="str">
        <f>IF(A255="", "", IFERROR(VLOOKUP(A255, 'Master Roster'!A:H, 8, FALSE) - F255, ""))</f>
        <v/>
      </c>
      <c r="K255" s="29" t="s">
        <v>175</v>
      </c>
      <c r="L255" s="29" t="b">
        <v>0</v>
      </c>
      <c r="M255" s="29"/>
      <c r="N255" s="29" t="s">
        <v>175</v>
      </c>
      <c r="O255" s="29" t="str">
        <f>IF(ISBLANK(A255), "", LET(entry_day, VLOOKUP(A255, 'Master Roster'!$A:$G, 7, FALSE), start_date, DATE(E255, MONTH(D255&amp;" 1"), entry_day), end_date, EDATE(start_date, 1), period, TEXT(start_date, "mmm d, yyyy") &amp; " - " &amp; TEXT(end_date, "mmm d, yyyy"), HYPERLINK("https://wa.me/" &amp; VLOOKUP(A255, 'Master Roster'!$A:$F, 6, FALSE) &amp; "?text=" &amp; ENCODEURL("Hello " &amp; IFERROR(IF(VLOOKUP(A255, 'Master Roster'!$A:$J, 10, FALSE)="Male", "Mr. ", "Ms. "), "") &amp; B255 &amp; ", payment of K" &amp; F255 &amp; " received for " &amp; period &amp; ". Receipt No: " &amp; N255), "Send Receipt")))</f>
        <v/>
      </c>
    </row>
    <row r="256">
      <c r="A256" s="29"/>
      <c r="B256" s="29" t="s">
        <v>175</v>
      </c>
      <c r="C256" s="76"/>
      <c r="D256" s="29"/>
      <c r="E256" s="29"/>
      <c r="F256" s="29"/>
      <c r="G256" s="29"/>
      <c r="H256" s="29" t="str">
        <f t="shared" si="1"/>
        <v/>
      </c>
      <c r="I256" s="29" t="str">
        <f t="shared" si="2"/>
        <v/>
      </c>
      <c r="J256" s="29" t="str">
        <f>IF(A256="", "", IFERROR(VLOOKUP(A256, 'Master Roster'!A:H, 8, FALSE) - F256, ""))</f>
        <v/>
      </c>
      <c r="K256" s="29" t="s">
        <v>175</v>
      </c>
      <c r="L256" s="29" t="b">
        <v>0</v>
      </c>
      <c r="M256" s="29"/>
      <c r="N256" s="29" t="s">
        <v>175</v>
      </c>
      <c r="O256" s="29" t="str">
        <f>IF(ISBLANK(A256), "", LET(entry_day, VLOOKUP(A256, 'Master Roster'!$A:$G, 7, FALSE), start_date, DATE(E256, MONTH(D256&amp;" 1"), entry_day), end_date, EDATE(start_date, 1), period, TEXT(start_date, "mmm d, yyyy") &amp; " - " &amp; TEXT(end_date, "mmm d, yyyy"), HYPERLINK("https://wa.me/" &amp; VLOOKUP(A256, 'Master Roster'!$A:$F, 6, FALSE) &amp; "?text=" &amp; ENCODEURL("Hello " &amp; IFERROR(IF(VLOOKUP(A256, 'Master Roster'!$A:$J, 10, FALSE)="Male", "Mr. ", "Ms. "), "") &amp; B256 &amp; ", payment of K" &amp; F256 &amp; " received for " &amp; period &amp; ". Receipt No: " &amp; N256), "Send Receipt")))</f>
        <v/>
      </c>
    </row>
    <row r="257">
      <c r="A257" s="29"/>
      <c r="B257" s="29" t="s">
        <v>175</v>
      </c>
      <c r="C257" s="76"/>
      <c r="D257" s="29"/>
      <c r="E257" s="29"/>
      <c r="F257" s="29"/>
      <c r="G257" s="29"/>
      <c r="H257" s="29" t="str">
        <f t="shared" si="1"/>
        <v/>
      </c>
      <c r="I257" s="29" t="str">
        <f t="shared" si="2"/>
        <v/>
      </c>
      <c r="J257" s="29" t="str">
        <f>IF(A257="", "", IFERROR(VLOOKUP(A257, 'Master Roster'!A:H, 8, FALSE) - F257, ""))</f>
        <v/>
      </c>
      <c r="K257" s="29" t="s">
        <v>175</v>
      </c>
      <c r="L257" s="29" t="b">
        <v>0</v>
      </c>
      <c r="M257" s="29"/>
      <c r="N257" s="29" t="s">
        <v>175</v>
      </c>
      <c r="O257" s="29" t="str">
        <f>IF(ISBLANK(A257), "", LET(entry_day, VLOOKUP(A257, 'Master Roster'!$A:$G, 7, FALSE), start_date, DATE(E257, MONTH(D257&amp;" 1"), entry_day), end_date, EDATE(start_date, 1), period, TEXT(start_date, "mmm d, yyyy") &amp; " - " &amp; TEXT(end_date, "mmm d, yyyy"), HYPERLINK("https://wa.me/" &amp; VLOOKUP(A257, 'Master Roster'!$A:$F, 6, FALSE) &amp; "?text=" &amp; ENCODEURL("Hello " &amp; IFERROR(IF(VLOOKUP(A257, 'Master Roster'!$A:$J, 10, FALSE)="Male", "Mr. ", "Ms. "), "") &amp; B257 &amp; ", payment of K" &amp; F257 &amp; " received for " &amp; period &amp; ". Receipt No: " &amp; N257), "Send Receipt")))</f>
        <v/>
      </c>
    </row>
    <row r="258">
      <c r="A258" s="29"/>
      <c r="B258" s="29" t="s">
        <v>175</v>
      </c>
      <c r="C258" s="76"/>
      <c r="D258" s="29"/>
      <c r="E258" s="29"/>
      <c r="F258" s="29"/>
      <c r="G258" s="29"/>
      <c r="H258" s="29" t="str">
        <f t="shared" si="1"/>
        <v/>
      </c>
      <c r="I258" s="29" t="str">
        <f t="shared" si="2"/>
        <v/>
      </c>
      <c r="J258" s="29" t="str">
        <f>IF(A258="", "", IFERROR(VLOOKUP(A258, 'Master Roster'!A:H, 8, FALSE) - F258, ""))</f>
        <v/>
      </c>
      <c r="K258" s="29" t="s">
        <v>175</v>
      </c>
      <c r="L258" s="29" t="b">
        <v>0</v>
      </c>
      <c r="M258" s="29"/>
      <c r="N258" s="29" t="s">
        <v>175</v>
      </c>
      <c r="O258" s="29" t="str">
        <f>IF(ISBLANK(A258), "", LET(entry_day, VLOOKUP(A258, 'Master Roster'!$A:$G, 7, FALSE), start_date, DATE(E258, MONTH(D258&amp;" 1"), entry_day), end_date, EDATE(start_date, 1), period, TEXT(start_date, "mmm d, yyyy") &amp; " - " &amp; TEXT(end_date, "mmm d, yyyy"), HYPERLINK("https://wa.me/" &amp; VLOOKUP(A258, 'Master Roster'!$A:$F, 6, FALSE) &amp; "?text=" &amp; ENCODEURL("Hello " &amp; IFERROR(IF(VLOOKUP(A258, 'Master Roster'!$A:$J, 10, FALSE)="Male", "Mr. ", "Ms. "), "") &amp; B258 &amp; ", payment of K" &amp; F258 &amp; " received for " &amp; period &amp; ". Receipt No: " &amp; N258), "Send Receipt")))</f>
        <v/>
      </c>
    </row>
    <row r="259">
      <c r="A259" s="29"/>
      <c r="B259" s="29" t="s">
        <v>175</v>
      </c>
      <c r="C259" s="76"/>
      <c r="D259" s="29"/>
      <c r="E259" s="29"/>
      <c r="F259" s="29"/>
      <c r="G259" s="29"/>
      <c r="H259" s="29" t="str">
        <f t="shared" si="1"/>
        <v/>
      </c>
      <c r="I259" s="29" t="str">
        <f t="shared" si="2"/>
        <v/>
      </c>
      <c r="J259" s="29" t="str">
        <f>IF(A259="", "", IFERROR(VLOOKUP(A259, 'Master Roster'!A:H, 8, FALSE) - F259, ""))</f>
        <v/>
      </c>
      <c r="K259" s="29" t="s">
        <v>175</v>
      </c>
      <c r="L259" s="29" t="b">
        <v>0</v>
      </c>
      <c r="M259" s="29"/>
      <c r="N259" s="29" t="s">
        <v>175</v>
      </c>
      <c r="O259" s="29" t="str">
        <f>IF(ISBLANK(A259), "", LET(entry_day, VLOOKUP(A259, 'Master Roster'!$A:$G, 7, FALSE), start_date, DATE(E259, MONTH(D259&amp;" 1"), entry_day), end_date, EDATE(start_date, 1), period, TEXT(start_date, "mmm d, yyyy") &amp; " - " &amp; TEXT(end_date, "mmm d, yyyy"), HYPERLINK("https://wa.me/" &amp; VLOOKUP(A259, 'Master Roster'!$A:$F, 6, FALSE) &amp; "?text=" &amp; ENCODEURL("Hello " &amp; IFERROR(IF(VLOOKUP(A259, 'Master Roster'!$A:$J, 10, FALSE)="Male", "Mr. ", "Ms. "), "") &amp; B259 &amp; ", payment of K" &amp; F259 &amp; " received for " &amp; period &amp; ". Receipt No: " &amp; N259), "Send Receipt")))</f>
        <v/>
      </c>
    </row>
    <row r="260">
      <c r="A260" s="29"/>
      <c r="B260" s="29" t="s">
        <v>175</v>
      </c>
      <c r="C260" s="76"/>
      <c r="D260" s="29"/>
      <c r="E260" s="29"/>
      <c r="F260" s="29"/>
      <c r="G260" s="29"/>
      <c r="H260" s="29" t="str">
        <f t="shared" si="1"/>
        <v/>
      </c>
      <c r="I260" s="29" t="str">
        <f t="shared" si="2"/>
        <v/>
      </c>
      <c r="J260" s="29" t="str">
        <f>IF(A260="", "", IFERROR(VLOOKUP(A260, 'Master Roster'!A:H, 8, FALSE) - F260, ""))</f>
        <v/>
      </c>
      <c r="K260" s="29" t="s">
        <v>175</v>
      </c>
      <c r="L260" s="29" t="b">
        <v>0</v>
      </c>
      <c r="M260" s="29"/>
      <c r="N260" s="29" t="s">
        <v>175</v>
      </c>
      <c r="O260" s="29" t="str">
        <f>IF(ISBLANK(A260), "", LET(entry_day, VLOOKUP(A260, 'Master Roster'!$A:$G, 7, FALSE), start_date, DATE(E260, MONTH(D260&amp;" 1"), entry_day), end_date, EDATE(start_date, 1), period, TEXT(start_date, "mmm d, yyyy") &amp; " - " &amp; TEXT(end_date, "mmm d, yyyy"), HYPERLINK("https://wa.me/" &amp; VLOOKUP(A260, 'Master Roster'!$A:$F, 6, FALSE) &amp; "?text=" &amp; ENCODEURL("Hello " &amp; IFERROR(IF(VLOOKUP(A260, 'Master Roster'!$A:$J, 10, FALSE)="Male", "Mr. ", "Ms. "), "") &amp; B260 &amp; ", payment of K" &amp; F260 &amp; " received for " &amp; period &amp; ". Receipt No: " &amp; N260), "Send Receipt")))</f>
        <v/>
      </c>
    </row>
    <row r="261">
      <c r="A261" s="29"/>
      <c r="B261" s="29" t="s">
        <v>175</v>
      </c>
      <c r="C261" s="76"/>
      <c r="D261" s="29"/>
      <c r="E261" s="29"/>
      <c r="F261" s="29"/>
      <c r="G261" s="29"/>
      <c r="H261" s="29" t="str">
        <f t="shared" si="1"/>
        <v/>
      </c>
      <c r="I261" s="29" t="str">
        <f t="shared" si="2"/>
        <v/>
      </c>
      <c r="J261" s="29" t="str">
        <f>IF(A261="", "", IFERROR(VLOOKUP(A261, 'Master Roster'!A:H, 8, FALSE) - F261, ""))</f>
        <v/>
      </c>
      <c r="K261" s="29" t="s">
        <v>175</v>
      </c>
      <c r="L261" s="29" t="b">
        <v>0</v>
      </c>
      <c r="M261" s="29"/>
      <c r="N261" s="29" t="s">
        <v>175</v>
      </c>
      <c r="O261" s="29" t="str">
        <f>IF(ISBLANK(A261), "", LET(entry_day, VLOOKUP(A261, 'Master Roster'!$A:$G, 7, FALSE), start_date, DATE(E261, MONTH(D261&amp;" 1"), entry_day), end_date, EDATE(start_date, 1), period, TEXT(start_date, "mmm d, yyyy") &amp; " - " &amp; TEXT(end_date, "mmm d, yyyy"), HYPERLINK("https://wa.me/" &amp; VLOOKUP(A261, 'Master Roster'!$A:$F, 6, FALSE) &amp; "?text=" &amp; ENCODEURL("Hello " &amp; IFERROR(IF(VLOOKUP(A261, 'Master Roster'!$A:$J, 10, FALSE)="Male", "Mr. ", "Ms. "), "") &amp; B261 &amp; ", payment of K" &amp; F261 &amp; " received for " &amp; period &amp; ". Receipt No: " &amp; N261), "Send Receipt")))</f>
        <v/>
      </c>
    </row>
    <row r="262">
      <c r="A262" s="29"/>
      <c r="B262" s="29" t="s">
        <v>175</v>
      </c>
      <c r="C262" s="76"/>
      <c r="D262" s="29"/>
      <c r="E262" s="29"/>
      <c r="F262" s="29"/>
      <c r="G262" s="29"/>
      <c r="H262" s="29" t="str">
        <f t="shared" si="1"/>
        <v/>
      </c>
      <c r="I262" s="29" t="str">
        <f t="shared" si="2"/>
        <v/>
      </c>
      <c r="J262" s="29" t="str">
        <f>IF(A262="", "", IFERROR(VLOOKUP(A262, 'Master Roster'!A:H, 8, FALSE) - F262, ""))</f>
        <v/>
      </c>
      <c r="K262" s="29" t="s">
        <v>175</v>
      </c>
      <c r="L262" s="29" t="b">
        <v>0</v>
      </c>
      <c r="M262" s="29"/>
      <c r="N262" s="29" t="s">
        <v>175</v>
      </c>
      <c r="O262" s="29" t="str">
        <f>IF(ISBLANK(A262), "", LET(entry_day, VLOOKUP(A262, 'Master Roster'!$A:$G, 7, FALSE), start_date, DATE(E262, MONTH(D262&amp;" 1"), entry_day), end_date, EDATE(start_date, 1), period, TEXT(start_date, "mmm d, yyyy") &amp; " - " &amp; TEXT(end_date, "mmm d, yyyy"), HYPERLINK("https://wa.me/" &amp; VLOOKUP(A262, 'Master Roster'!$A:$F, 6, FALSE) &amp; "?text=" &amp; ENCODEURL("Hello " &amp; IFERROR(IF(VLOOKUP(A262, 'Master Roster'!$A:$J, 10, FALSE)="Male", "Mr. ", "Ms. "), "") &amp; B262 &amp; ", payment of K" &amp; F262 &amp; " received for " &amp; period &amp; ". Receipt No: " &amp; N262), "Send Receipt")))</f>
        <v/>
      </c>
    </row>
    <row r="263">
      <c r="A263" s="29"/>
      <c r="B263" s="29" t="s">
        <v>175</v>
      </c>
      <c r="C263" s="76"/>
      <c r="D263" s="29"/>
      <c r="E263" s="29"/>
      <c r="F263" s="29"/>
      <c r="G263" s="29"/>
      <c r="H263" s="29" t="str">
        <f t="shared" si="1"/>
        <v/>
      </c>
      <c r="I263" s="29" t="str">
        <f t="shared" si="2"/>
        <v/>
      </c>
      <c r="J263" s="29" t="str">
        <f>IF(A263="", "", IFERROR(VLOOKUP(A263, 'Master Roster'!A:H, 8, FALSE) - F263, ""))</f>
        <v/>
      </c>
      <c r="K263" s="29" t="s">
        <v>175</v>
      </c>
      <c r="L263" s="29" t="b">
        <v>0</v>
      </c>
      <c r="M263" s="29"/>
      <c r="N263" s="29" t="s">
        <v>175</v>
      </c>
      <c r="O263" s="29" t="str">
        <f>IF(ISBLANK(A263), "", LET(entry_day, VLOOKUP(A263, 'Master Roster'!$A:$G, 7, FALSE), start_date, DATE(E263, MONTH(D263&amp;" 1"), entry_day), end_date, EDATE(start_date, 1), period, TEXT(start_date, "mmm d, yyyy") &amp; " - " &amp; TEXT(end_date, "mmm d, yyyy"), HYPERLINK("https://wa.me/" &amp; VLOOKUP(A263, 'Master Roster'!$A:$F, 6, FALSE) &amp; "?text=" &amp; ENCODEURL("Hello " &amp; IFERROR(IF(VLOOKUP(A263, 'Master Roster'!$A:$J, 10, FALSE)="Male", "Mr. ", "Ms. "), "") &amp; B263 &amp; ", payment of K" &amp; F263 &amp; " received for " &amp; period &amp; ". Receipt No: " &amp; N263), "Send Receipt")))</f>
        <v/>
      </c>
    </row>
    <row r="264">
      <c r="A264" s="29"/>
      <c r="B264" s="29" t="s">
        <v>175</v>
      </c>
      <c r="C264" s="76"/>
      <c r="D264" s="29"/>
      <c r="E264" s="29"/>
      <c r="F264" s="29"/>
      <c r="G264" s="29"/>
      <c r="H264" s="29" t="str">
        <f t="shared" si="1"/>
        <v/>
      </c>
      <c r="I264" s="29" t="str">
        <f t="shared" si="2"/>
        <v/>
      </c>
      <c r="J264" s="29" t="str">
        <f>IF(A264="", "", IFERROR(VLOOKUP(A264, 'Master Roster'!A:H, 8, FALSE) - F264, ""))</f>
        <v/>
      </c>
      <c r="K264" s="29" t="s">
        <v>175</v>
      </c>
      <c r="L264" s="29" t="b">
        <v>0</v>
      </c>
      <c r="M264" s="29"/>
      <c r="N264" s="29" t="s">
        <v>175</v>
      </c>
      <c r="O264" s="29" t="str">
        <f>IF(ISBLANK(A264), "", LET(entry_day, VLOOKUP(A264, 'Master Roster'!$A:$G, 7, FALSE), start_date, DATE(E264, MONTH(D264&amp;" 1"), entry_day), end_date, EDATE(start_date, 1), period, TEXT(start_date, "mmm d, yyyy") &amp; " - " &amp; TEXT(end_date, "mmm d, yyyy"), HYPERLINK("https://wa.me/" &amp; VLOOKUP(A264, 'Master Roster'!$A:$F, 6, FALSE) &amp; "?text=" &amp; ENCODEURL("Hello " &amp; IFERROR(IF(VLOOKUP(A264, 'Master Roster'!$A:$J, 10, FALSE)="Male", "Mr. ", "Ms. "), "") &amp; B264 &amp; ", payment of K" &amp; F264 &amp; " received for " &amp; period &amp; ". Receipt No: " &amp; N264), "Send Receipt")))</f>
        <v/>
      </c>
    </row>
    <row r="265">
      <c r="A265" s="29"/>
      <c r="B265" s="29" t="s">
        <v>175</v>
      </c>
      <c r="C265" s="76"/>
      <c r="D265" s="29"/>
      <c r="E265" s="29"/>
      <c r="F265" s="29"/>
      <c r="G265" s="29"/>
      <c r="H265" s="29" t="str">
        <f t="shared" si="1"/>
        <v/>
      </c>
      <c r="I265" s="29" t="str">
        <f t="shared" si="2"/>
        <v/>
      </c>
      <c r="J265" s="29" t="str">
        <f>IF(A265="", "", IFERROR(VLOOKUP(A265, 'Master Roster'!A:H, 8, FALSE) - F265, ""))</f>
        <v/>
      </c>
      <c r="K265" s="29" t="s">
        <v>175</v>
      </c>
      <c r="L265" s="29" t="b">
        <v>0</v>
      </c>
      <c r="M265" s="29"/>
      <c r="N265" s="29" t="s">
        <v>175</v>
      </c>
      <c r="O265" s="29" t="str">
        <f>IF(ISBLANK(A265), "", LET(entry_day, VLOOKUP(A265, 'Master Roster'!$A:$G, 7, FALSE), start_date, DATE(E265, MONTH(D265&amp;" 1"), entry_day), end_date, EDATE(start_date, 1), period, TEXT(start_date, "mmm d, yyyy") &amp; " - " &amp; TEXT(end_date, "mmm d, yyyy"), HYPERLINK("https://wa.me/" &amp; VLOOKUP(A265, 'Master Roster'!$A:$F, 6, FALSE) &amp; "?text=" &amp; ENCODEURL("Hello " &amp; IFERROR(IF(VLOOKUP(A265, 'Master Roster'!$A:$J, 10, FALSE)="Male", "Mr. ", "Ms. "), "") &amp; B265 &amp; ", payment of K" &amp; F265 &amp; " received for " &amp; period &amp; ". Receipt No: " &amp; N265), "Send Receipt")))</f>
        <v/>
      </c>
    </row>
    <row r="266">
      <c r="A266" s="29"/>
      <c r="B266" s="29" t="s">
        <v>175</v>
      </c>
      <c r="C266" s="76"/>
      <c r="D266" s="29"/>
      <c r="E266" s="29"/>
      <c r="F266" s="29"/>
      <c r="G266" s="29"/>
      <c r="H266" s="29" t="str">
        <f t="shared" si="1"/>
        <v/>
      </c>
      <c r="I266" s="29" t="str">
        <f t="shared" si="2"/>
        <v/>
      </c>
      <c r="J266" s="29" t="str">
        <f>IF(A266="", "", IFERROR(VLOOKUP(A266, 'Master Roster'!A:H, 8, FALSE) - F266, ""))</f>
        <v/>
      </c>
      <c r="K266" s="29" t="s">
        <v>175</v>
      </c>
      <c r="L266" s="29" t="b">
        <v>0</v>
      </c>
      <c r="M266" s="29"/>
      <c r="N266" s="29" t="s">
        <v>175</v>
      </c>
      <c r="O266" s="29" t="str">
        <f>IF(ISBLANK(A266), "", LET(entry_day, VLOOKUP(A266, 'Master Roster'!$A:$G, 7, FALSE), start_date, DATE(E266, MONTH(D266&amp;" 1"), entry_day), end_date, EDATE(start_date, 1), period, TEXT(start_date, "mmm d, yyyy") &amp; " - " &amp; TEXT(end_date, "mmm d, yyyy"), HYPERLINK("https://wa.me/" &amp; VLOOKUP(A266, 'Master Roster'!$A:$F, 6, FALSE) &amp; "?text=" &amp; ENCODEURL("Hello " &amp; IFERROR(IF(VLOOKUP(A266, 'Master Roster'!$A:$J, 10, FALSE)="Male", "Mr. ", "Ms. "), "") &amp; B266 &amp; ", payment of K" &amp; F266 &amp; " received for " &amp; period &amp; ". Receipt No: " &amp; N266), "Send Receipt")))</f>
        <v/>
      </c>
    </row>
    <row r="267">
      <c r="A267" s="29"/>
      <c r="B267" s="29" t="s">
        <v>175</v>
      </c>
      <c r="C267" s="76"/>
      <c r="D267" s="29"/>
      <c r="E267" s="29"/>
      <c r="F267" s="29"/>
      <c r="G267" s="29"/>
      <c r="H267" s="29" t="str">
        <f t="shared" si="1"/>
        <v/>
      </c>
      <c r="I267" s="29" t="str">
        <f t="shared" si="2"/>
        <v/>
      </c>
      <c r="J267" s="29" t="str">
        <f>IF(A267="", "", IFERROR(VLOOKUP(A267, 'Master Roster'!A:H, 8, FALSE) - F267, ""))</f>
        <v/>
      </c>
      <c r="K267" s="29" t="s">
        <v>175</v>
      </c>
      <c r="L267" s="29" t="b">
        <v>0</v>
      </c>
      <c r="M267" s="29"/>
      <c r="N267" s="29" t="s">
        <v>175</v>
      </c>
      <c r="O267" s="29" t="str">
        <f>IF(ISBLANK(A267), "", LET(entry_day, VLOOKUP(A267, 'Master Roster'!$A:$G, 7, FALSE), start_date, DATE(E267, MONTH(D267&amp;" 1"), entry_day), end_date, EDATE(start_date, 1), period, TEXT(start_date, "mmm d, yyyy") &amp; " - " &amp; TEXT(end_date, "mmm d, yyyy"), HYPERLINK("https://wa.me/" &amp; VLOOKUP(A267, 'Master Roster'!$A:$F, 6, FALSE) &amp; "?text=" &amp; ENCODEURL("Hello " &amp; IFERROR(IF(VLOOKUP(A267, 'Master Roster'!$A:$J, 10, FALSE)="Male", "Mr. ", "Ms. "), "") &amp; B267 &amp; ", payment of K" &amp; F267 &amp; " received for " &amp; period &amp; ". Receipt No: " &amp; N267), "Send Receipt")))</f>
        <v/>
      </c>
    </row>
    <row r="268">
      <c r="A268" s="29"/>
      <c r="B268" s="29" t="s">
        <v>175</v>
      </c>
      <c r="C268" s="76"/>
      <c r="D268" s="29"/>
      <c r="E268" s="29"/>
      <c r="F268" s="29"/>
      <c r="G268" s="29"/>
      <c r="H268" s="29" t="str">
        <f t="shared" si="1"/>
        <v/>
      </c>
      <c r="I268" s="29" t="str">
        <f t="shared" si="2"/>
        <v/>
      </c>
      <c r="J268" s="29" t="str">
        <f>IF(A268="", "", IFERROR(VLOOKUP(A268, 'Master Roster'!A:H, 8, FALSE) - F268, ""))</f>
        <v/>
      </c>
      <c r="K268" s="29" t="s">
        <v>175</v>
      </c>
      <c r="L268" s="29" t="b">
        <v>0</v>
      </c>
      <c r="M268" s="29"/>
      <c r="N268" s="29" t="s">
        <v>175</v>
      </c>
      <c r="O268" s="29" t="str">
        <f>IF(ISBLANK(A268), "", LET(entry_day, VLOOKUP(A268, 'Master Roster'!$A:$G, 7, FALSE), start_date, DATE(E268, MONTH(D268&amp;" 1"), entry_day), end_date, EDATE(start_date, 1), period, TEXT(start_date, "mmm d, yyyy") &amp; " - " &amp; TEXT(end_date, "mmm d, yyyy"), HYPERLINK("https://wa.me/" &amp; VLOOKUP(A268, 'Master Roster'!$A:$F, 6, FALSE) &amp; "?text=" &amp; ENCODEURL("Hello " &amp; IFERROR(IF(VLOOKUP(A268, 'Master Roster'!$A:$J, 10, FALSE)="Male", "Mr. ", "Ms. "), "") &amp; B268 &amp; ", payment of K" &amp; F268 &amp; " received for " &amp; period &amp; ". Receipt No: " &amp; N268), "Send Receipt")))</f>
        <v/>
      </c>
    </row>
    <row r="269">
      <c r="A269" s="29"/>
      <c r="B269" s="29" t="s">
        <v>175</v>
      </c>
      <c r="C269" s="76"/>
      <c r="D269" s="29"/>
      <c r="E269" s="29"/>
      <c r="F269" s="29"/>
      <c r="G269" s="29"/>
      <c r="H269" s="29" t="str">
        <f t="shared" si="1"/>
        <v/>
      </c>
      <c r="I269" s="29" t="str">
        <f t="shared" si="2"/>
        <v/>
      </c>
      <c r="J269" s="29" t="str">
        <f>IF(A269="", "", IFERROR(VLOOKUP(A269, 'Master Roster'!A:H, 8, FALSE) - F269, ""))</f>
        <v/>
      </c>
      <c r="K269" s="29" t="s">
        <v>175</v>
      </c>
      <c r="L269" s="29" t="b">
        <v>0</v>
      </c>
      <c r="M269" s="29"/>
      <c r="N269" s="29" t="s">
        <v>175</v>
      </c>
      <c r="O269" s="29" t="str">
        <f>IF(ISBLANK(A269), "", LET(entry_day, VLOOKUP(A269, 'Master Roster'!$A:$G, 7, FALSE), start_date, DATE(E269, MONTH(D269&amp;" 1"), entry_day), end_date, EDATE(start_date, 1), period, TEXT(start_date, "mmm d, yyyy") &amp; " - " &amp; TEXT(end_date, "mmm d, yyyy"), HYPERLINK("https://wa.me/" &amp; VLOOKUP(A269, 'Master Roster'!$A:$F, 6, FALSE) &amp; "?text=" &amp; ENCODEURL("Hello " &amp; IFERROR(IF(VLOOKUP(A269, 'Master Roster'!$A:$J, 10, FALSE)="Male", "Mr. ", "Ms. "), "") &amp; B269 &amp; ", payment of K" &amp; F269 &amp; " received for " &amp; period &amp; ". Receipt No: " &amp; N269), "Send Receipt")))</f>
        <v/>
      </c>
    </row>
    <row r="270">
      <c r="A270" s="29"/>
      <c r="B270" s="29" t="s">
        <v>175</v>
      </c>
      <c r="C270" s="76"/>
      <c r="D270" s="29"/>
      <c r="E270" s="29"/>
      <c r="F270" s="29"/>
      <c r="G270" s="29"/>
      <c r="H270" s="29" t="str">
        <f t="shared" si="1"/>
        <v/>
      </c>
      <c r="I270" s="29" t="str">
        <f t="shared" si="2"/>
        <v/>
      </c>
      <c r="J270" s="29" t="str">
        <f>IF(A270="", "", IFERROR(VLOOKUP(A270, 'Master Roster'!A:H, 8, FALSE) - F270, ""))</f>
        <v/>
      </c>
      <c r="K270" s="29" t="s">
        <v>175</v>
      </c>
      <c r="L270" s="29" t="b">
        <v>0</v>
      </c>
      <c r="M270" s="29"/>
      <c r="N270" s="29" t="s">
        <v>175</v>
      </c>
      <c r="O270" s="29" t="str">
        <f>IF(ISBLANK(A270), "", LET(entry_day, VLOOKUP(A270, 'Master Roster'!$A:$G, 7, FALSE), start_date, DATE(E270, MONTH(D270&amp;" 1"), entry_day), end_date, EDATE(start_date, 1), period, TEXT(start_date, "mmm d, yyyy") &amp; " - " &amp; TEXT(end_date, "mmm d, yyyy"), HYPERLINK("https://wa.me/" &amp; VLOOKUP(A270, 'Master Roster'!$A:$F, 6, FALSE) &amp; "?text=" &amp; ENCODEURL("Hello " &amp; IFERROR(IF(VLOOKUP(A270, 'Master Roster'!$A:$J, 10, FALSE)="Male", "Mr. ", "Ms. "), "") &amp; B270 &amp; ", payment of K" &amp; F270 &amp; " received for " &amp; period &amp; ". Receipt No: " &amp; N270), "Send Receipt")))</f>
        <v/>
      </c>
    </row>
    <row r="271">
      <c r="A271" s="29"/>
      <c r="B271" s="29" t="s">
        <v>175</v>
      </c>
      <c r="C271" s="76"/>
      <c r="D271" s="29"/>
      <c r="E271" s="29"/>
      <c r="F271" s="29"/>
      <c r="G271" s="29"/>
      <c r="H271" s="29" t="str">
        <f t="shared" si="1"/>
        <v/>
      </c>
      <c r="I271" s="29" t="str">
        <f t="shared" si="2"/>
        <v/>
      </c>
      <c r="J271" s="29" t="str">
        <f>IF(A271="", "", IFERROR(VLOOKUP(A271, 'Master Roster'!A:H, 8, FALSE) - F271, ""))</f>
        <v/>
      </c>
      <c r="K271" s="29" t="s">
        <v>175</v>
      </c>
      <c r="L271" s="29" t="b">
        <v>0</v>
      </c>
      <c r="M271" s="29"/>
      <c r="N271" s="29" t="s">
        <v>175</v>
      </c>
      <c r="O271" s="29" t="str">
        <f>IF(ISBLANK(A271), "", LET(entry_day, VLOOKUP(A271, 'Master Roster'!$A:$G, 7, FALSE), start_date, DATE(E271, MONTH(D271&amp;" 1"), entry_day), end_date, EDATE(start_date, 1), period, TEXT(start_date, "mmm d, yyyy") &amp; " - " &amp; TEXT(end_date, "mmm d, yyyy"), HYPERLINK("https://wa.me/" &amp; VLOOKUP(A271, 'Master Roster'!$A:$F, 6, FALSE) &amp; "?text=" &amp; ENCODEURL("Hello " &amp; IFERROR(IF(VLOOKUP(A271, 'Master Roster'!$A:$J, 10, FALSE)="Male", "Mr. ", "Ms. "), "") &amp; B271 &amp; ", payment of K" &amp; F271 &amp; " received for " &amp; period &amp; ". Receipt No: " &amp; N271), "Send Receipt")))</f>
        <v/>
      </c>
    </row>
    <row r="272">
      <c r="A272" s="29"/>
      <c r="B272" s="29" t="s">
        <v>175</v>
      </c>
      <c r="C272" s="76"/>
      <c r="D272" s="29"/>
      <c r="E272" s="29"/>
      <c r="F272" s="29"/>
      <c r="G272" s="29"/>
      <c r="H272" s="29" t="str">
        <f t="shared" si="1"/>
        <v/>
      </c>
      <c r="I272" s="29" t="str">
        <f t="shared" si="2"/>
        <v/>
      </c>
      <c r="J272" s="29" t="str">
        <f>IF(A272="", "", IFERROR(VLOOKUP(A272, 'Master Roster'!A:H, 8, FALSE) - F272, ""))</f>
        <v/>
      </c>
      <c r="K272" s="29" t="s">
        <v>175</v>
      </c>
      <c r="L272" s="29" t="b">
        <v>0</v>
      </c>
      <c r="M272" s="29"/>
      <c r="N272" s="29" t="s">
        <v>175</v>
      </c>
      <c r="O272" s="29" t="str">
        <f>IF(ISBLANK(A272), "", LET(entry_day, VLOOKUP(A272, 'Master Roster'!$A:$G, 7, FALSE), start_date, DATE(E272, MONTH(D272&amp;" 1"), entry_day), end_date, EDATE(start_date, 1), period, TEXT(start_date, "mmm d, yyyy") &amp; " - " &amp; TEXT(end_date, "mmm d, yyyy"), HYPERLINK("https://wa.me/" &amp; VLOOKUP(A272, 'Master Roster'!$A:$F, 6, FALSE) &amp; "?text=" &amp; ENCODEURL("Hello " &amp; IFERROR(IF(VLOOKUP(A272, 'Master Roster'!$A:$J, 10, FALSE)="Male", "Mr. ", "Ms. "), "") &amp; B272 &amp; ", payment of K" &amp; F272 &amp; " received for " &amp; period &amp; ". Receipt No: " &amp; N272), "Send Receipt")))</f>
        <v/>
      </c>
    </row>
    <row r="273">
      <c r="A273" s="29"/>
      <c r="B273" s="29" t="s">
        <v>175</v>
      </c>
      <c r="C273" s="76"/>
      <c r="D273" s="29"/>
      <c r="E273" s="29"/>
      <c r="F273" s="29"/>
      <c r="G273" s="29"/>
      <c r="H273" s="29" t="str">
        <f t="shared" si="1"/>
        <v/>
      </c>
      <c r="I273" s="29" t="str">
        <f t="shared" si="2"/>
        <v/>
      </c>
      <c r="J273" s="29" t="str">
        <f>IF(A273="", "", IFERROR(VLOOKUP(A273, 'Master Roster'!A:H, 8, FALSE) - F273, ""))</f>
        <v/>
      </c>
      <c r="K273" s="29" t="s">
        <v>175</v>
      </c>
      <c r="L273" s="29" t="b">
        <v>0</v>
      </c>
      <c r="M273" s="29"/>
      <c r="N273" s="29" t="s">
        <v>175</v>
      </c>
      <c r="O273" s="29" t="str">
        <f>IF(ISBLANK(A273), "", LET(entry_day, VLOOKUP(A273, 'Master Roster'!$A:$G, 7, FALSE), start_date, DATE(E273, MONTH(D273&amp;" 1"), entry_day), end_date, EDATE(start_date, 1), period, TEXT(start_date, "mmm d, yyyy") &amp; " - " &amp; TEXT(end_date, "mmm d, yyyy"), HYPERLINK("https://wa.me/" &amp; VLOOKUP(A273, 'Master Roster'!$A:$F, 6, FALSE) &amp; "?text=" &amp; ENCODEURL("Hello " &amp; IFERROR(IF(VLOOKUP(A273, 'Master Roster'!$A:$J, 10, FALSE)="Male", "Mr. ", "Ms. "), "") &amp; B273 &amp; ", payment of K" &amp; F273 &amp; " received for " &amp; period &amp; ". Receipt No: " &amp; N273), "Send Receipt")))</f>
        <v/>
      </c>
    </row>
    <row r="274">
      <c r="A274" s="29"/>
      <c r="B274" s="29" t="s">
        <v>175</v>
      </c>
      <c r="C274" s="76"/>
      <c r="D274" s="29"/>
      <c r="E274" s="29"/>
      <c r="F274" s="29"/>
      <c r="G274" s="29"/>
      <c r="H274" s="29" t="str">
        <f t="shared" si="1"/>
        <v/>
      </c>
      <c r="I274" s="29" t="str">
        <f t="shared" si="2"/>
        <v/>
      </c>
      <c r="J274" s="29" t="str">
        <f>IF(A274="", "", IFERROR(VLOOKUP(A274, 'Master Roster'!A:H, 8, FALSE) - F274, ""))</f>
        <v/>
      </c>
      <c r="K274" s="29" t="s">
        <v>175</v>
      </c>
      <c r="L274" s="29" t="b">
        <v>0</v>
      </c>
      <c r="M274" s="29"/>
      <c r="N274" s="29" t="s">
        <v>175</v>
      </c>
      <c r="O274" s="29" t="str">
        <f>IF(ISBLANK(A274), "", LET(entry_day, VLOOKUP(A274, 'Master Roster'!$A:$G, 7, FALSE), start_date, DATE(E274, MONTH(D274&amp;" 1"), entry_day), end_date, EDATE(start_date, 1), period, TEXT(start_date, "mmm d, yyyy") &amp; " - " &amp; TEXT(end_date, "mmm d, yyyy"), HYPERLINK("https://wa.me/" &amp; VLOOKUP(A274, 'Master Roster'!$A:$F, 6, FALSE) &amp; "?text=" &amp; ENCODEURL("Hello " &amp; IFERROR(IF(VLOOKUP(A274, 'Master Roster'!$A:$J, 10, FALSE)="Male", "Mr. ", "Ms. "), "") &amp; B274 &amp; ", payment of K" &amp; F274 &amp; " received for " &amp; period &amp; ". Receipt No: " &amp; N274), "Send Receipt")))</f>
        <v/>
      </c>
    </row>
    <row r="275">
      <c r="A275" s="29"/>
      <c r="B275" s="29" t="s">
        <v>175</v>
      </c>
      <c r="C275" s="76"/>
      <c r="D275" s="29"/>
      <c r="E275" s="29"/>
      <c r="F275" s="29"/>
      <c r="G275" s="29"/>
      <c r="H275" s="29" t="str">
        <f t="shared" si="1"/>
        <v/>
      </c>
      <c r="I275" s="29" t="str">
        <f t="shared" si="2"/>
        <v/>
      </c>
      <c r="J275" s="29" t="str">
        <f>IF(A275="", "", IFERROR(VLOOKUP(A275, 'Master Roster'!A:H, 8, FALSE) - F275, ""))</f>
        <v/>
      </c>
      <c r="K275" s="29" t="s">
        <v>175</v>
      </c>
      <c r="L275" s="29" t="b">
        <v>0</v>
      </c>
      <c r="M275" s="29"/>
      <c r="N275" s="29" t="s">
        <v>175</v>
      </c>
      <c r="O275" s="29" t="str">
        <f>IF(ISBLANK(A275), "", LET(entry_day, VLOOKUP(A275, 'Master Roster'!$A:$G, 7, FALSE), start_date, DATE(E275, MONTH(D275&amp;" 1"), entry_day), end_date, EDATE(start_date, 1), period, TEXT(start_date, "mmm d, yyyy") &amp; " - " &amp; TEXT(end_date, "mmm d, yyyy"), HYPERLINK("https://wa.me/" &amp; VLOOKUP(A275, 'Master Roster'!$A:$F, 6, FALSE) &amp; "?text=" &amp; ENCODEURL("Hello " &amp; IFERROR(IF(VLOOKUP(A275, 'Master Roster'!$A:$J, 10, FALSE)="Male", "Mr. ", "Ms. "), "") &amp; B275 &amp; ", payment of K" &amp; F275 &amp; " received for " &amp; period &amp; ". Receipt No: " &amp; N275), "Send Receipt")))</f>
        <v/>
      </c>
    </row>
    <row r="276">
      <c r="A276" s="29"/>
      <c r="B276" s="29" t="s">
        <v>175</v>
      </c>
      <c r="C276" s="76"/>
      <c r="D276" s="29"/>
      <c r="E276" s="29"/>
      <c r="F276" s="29"/>
      <c r="G276" s="29"/>
      <c r="H276" s="29" t="str">
        <f t="shared" si="1"/>
        <v/>
      </c>
      <c r="I276" s="29" t="str">
        <f t="shared" si="2"/>
        <v/>
      </c>
      <c r="J276" s="29" t="str">
        <f>IF(A276="", "", IFERROR(VLOOKUP(A276, 'Master Roster'!A:H, 8, FALSE) - F276, ""))</f>
        <v/>
      </c>
      <c r="K276" s="29" t="s">
        <v>175</v>
      </c>
      <c r="L276" s="29" t="b">
        <v>0</v>
      </c>
      <c r="M276" s="29"/>
      <c r="N276" s="29" t="s">
        <v>175</v>
      </c>
      <c r="O276" s="29" t="str">
        <f>IF(ISBLANK(A276), "", LET(entry_day, VLOOKUP(A276, 'Master Roster'!$A:$G, 7, FALSE), start_date, DATE(E276, MONTH(D276&amp;" 1"), entry_day), end_date, EDATE(start_date, 1), period, TEXT(start_date, "mmm d, yyyy") &amp; " - " &amp; TEXT(end_date, "mmm d, yyyy"), HYPERLINK("https://wa.me/" &amp; VLOOKUP(A276, 'Master Roster'!$A:$F, 6, FALSE) &amp; "?text=" &amp; ENCODEURL("Hello " &amp; IFERROR(IF(VLOOKUP(A276, 'Master Roster'!$A:$J, 10, FALSE)="Male", "Mr. ", "Ms. "), "") &amp; B276 &amp; ", payment of K" &amp; F276 &amp; " received for " &amp; period &amp; ". Receipt No: " &amp; N276), "Send Receipt")))</f>
        <v/>
      </c>
    </row>
    <row r="277">
      <c r="A277" s="29"/>
      <c r="B277" s="29" t="s">
        <v>175</v>
      </c>
      <c r="C277" s="76"/>
      <c r="D277" s="29"/>
      <c r="E277" s="29"/>
      <c r="F277" s="29"/>
      <c r="G277" s="29"/>
      <c r="H277" s="29" t="str">
        <f t="shared" si="1"/>
        <v/>
      </c>
      <c r="I277" s="29" t="str">
        <f t="shared" si="2"/>
        <v/>
      </c>
      <c r="J277" s="29" t="str">
        <f>IF(A277="", "", IFERROR(VLOOKUP(A277, 'Master Roster'!A:H, 8, FALSE) - F277, ""))</f>
        <v/>
      </c>
      <c r="K277" s="29" t="s">
        <v>175</v>
      </c>
      <c r="L277" s="29" t="b">
        <v>0</v>
      </c>
      <c r="M277" s="29"/>
      <c r="N277" s="29" t="s">
        <v>175</v>
      </c>
      <c r="O277" s="29" t="str">
        <f>IF(ISBLANK(A277), "", LET(entry_day, VLOOKUP(A277, 'Master Roster'!$A:$G, 7, FALSE), start_date, DATE(E277, MONTH(D277&amp;" 1"), entry_day), end_date, EDATE(start_date, 1), period, TEXT(start_date, "mmm d, yyyy") &amp; " - " &amp; TEXT(end_date, "mmm d, yyyy"), HYPERLINK("https://wa.me/" &amp; VLOOKUP(A277, 'Master Roster'!$A:$F, 6, FALSE) &amp; "?text=" &amp; ENCODEURL("Hello " &amp; IFERROR(IF(VLOOKUP(A277, 'Master Roster'!$A:$J, 10, FALSE)="Male", "Mr. ", "Ms. "), "") &amp; B277 &amp; ", payment of K" &amp; F277 &amp; " received for " &amp; period &amp; ". Receipt No: " &amp; N277), "Send Receipt")))</f>
        <v/>
      </c>
    </row>
    <row r="278">
      <c r="A278" s="29"/>
      <c r="B278" s="29" t="s">
        <v>175</v>
      </c>
      <c r="C278" s="76"/>
      <c r="D278" s="29"/>
      <c r="E278" s="29"/>
      <c r="F278" s="29"/>
      <c r="G278" s="29"/>
      <c r="H278" s="29" t="str">
        <f t="shared" si="1"/>
        <v/>
      </c>
      <c r="I278" s="29" t="str">
        <f t="shared" si="2"/>
        <v/>
      </c>
      <c r="J278" s="29" t="str">
        <f>IF(A278="", "", IFERROR(VLOOKUP(A278, 'Master Roster'!A:H, 8, FALSE) - F278, ""))</f>
        <v/>
      </c>
      <c r="K278" s="29" t="s">
        <v>175</v>
      </c>
      <c r="L278" s="29" t="b">
        <v>0</v>
      </c>
      <c r="M278" s="29"/>
      <c r="N278" s="29" t="s">
        <v>175</v>
      </c>
      <c r="O278" s="29" t="str">
        <f>IF(ISBLANK(A278), "", LET(entry_day, VLOOKUP(A278, 'Master Roster'!$A:$G, 7, FALSE), start_date, DATE(E278, MONTH(D278&amp;" 1"), entry_day), end_date, EDATE(start_date, 1), period, TEXT(start_date, "mmm d, yyyy") &amp; " - " &amp; TEXT(end_date, "mmm d, yyyy"), HYPERLINK("https://wa.me/" &amp; VLOOKUP(A278, 'Master Roster'!$A:$F, 6, FALSE) &amp; "?text=" &amp; ENCODEURL("Hello " &amp; IFERROR(IF(VLOOKUP(A278, 'Master Roster'!$A:$J, 10, FALSE)="Male", "Mr. ", "Ms. "), "") &amp; B278 &amp; ", payment of K" &amp; F278 &amp; " received for " &amp; period &amp; ". Receipt No: " &amp; N278), "Send Receipt")))</f>
        <v/>
      </c>
    </row>
    <row r="279">
      <c r="A279" s="29"/>
      <c r="B279" s="29" t="s">
        <v>175</v>
      </c>
      <c r="C279" s="76"/>
      <c r="D279" s="29"/>
      <c r="E279" s="29"/>
      <c r="F279" s="29"/>
      <c r="G279" s="29"/>
      <c r="H279" s="29" t="str">
        <f t="shared" si="1"/>
        <v/>
      </c>
      <c r="I279" s="29" t="str">
        <f t="shared" si="2"/>
        <v/>
      </c>
      <c r="J279" s="29" t="str">
        <f>IF(A279="", "", IFERROR(VLOOKUP(A279, 'Master Roster'!A:H, 8, FALSE) - F279, ""))</f>
        <v/>
      </c>
      <c r="K279" s="29" t="s">
        <v>175</v>
      </c>
      <c r="L279" s="29" t="b">
        <v>0</v>
      </c>
      <c r="M279" s="29"/>
      <c r="N279" s="29" t="s">
        <v>175</v>
      </c>
      <c r="O279" s="29" t="str">
        <f>IF(ISBLANK(A279), "", LET(entry_day, VLOOKUP(A279, 'Master Roster'!$A:$G, 7, FALSE), start_date, DATE(E279, MONTH(D279&amp;" 1"), entry_day), end_date, EDATE(start_date, 1), period, TEXT(start_date, "mmm d, yyyy") &amp; " - " &amp; TEXT(end_date, "mmm d, yyyy"), HYPERLINK("https://wa.me/" &amp; VLOOKUP(A279, 'Master Roster'!$A:$F, 6, FALSE) &amp; "?text=" &amp; ENCODEURL("Hello " &amp; IFERROR(IF(VLOOKUP(A279, 'Master Roster'!$A:$J, 10, FALSE)="Male", "Mr. ", "Ms. "), "") &amp; B279 &amp; ", payment of K" &amp; F279 &amp; " received for " &amp; period &amp; ". Receipt No: " &amp; N279), "Send Receipt")))</f>
        <v/>
      </c>
    </row>
    <row r="280">
      <c r="A280" s="29"/>
      <c r="B280" s="29" t="s">
        <v>175</v>
      </c>
      <c r="C280" s="76"/>
      <c r="D280" s="29"/>
      <c r="E280" s="29"/>
      <c r="F280" s="29"/>
      <c r="G280" s="29"/>
      <c r="H280" s="29" t="str">
        <f t="shared" si="1"/>
        <v/>
      </c>
      <c r="I280" s="29" t="str">
        <f t="shared" si="2"/>
        <v/>
      </c>
      <c r="J280" s="29" t="str">
        <f>IF(A280="", "", IFERROR(VLOOKUP(A280, 'Master Roster'!A:H, 8, FALSE) - F280, ""))</f>
        <v/>
      </c>
      <c r="K280" s="29" t="s">
        <v>175</v>
      </c>
      <c r="L280" s="29" t="b">
        <v>0</v>
      </c>
      <c r="M280" s="29"/>
      <c r="N280" s="29" t="s">
        <v>175</v>
      </c>
      <c r="O280" s="29" t="str">
        <f>IF(ISBLANK(A280), "", LET(entry_day, VLOOKUP(A280, 'Master Roster'!$A:$G, 7, FALSE), start_date, DATE(E280, MONTH(D280&amp;" 1"), entry_day), end_date, EDATE(start_date, 1), period, TEXT(start_date, "mmm d, yyyy") &amp; " - " &amp; TEXT(end_date, "mmm d, yyyy"), HYPERLINK("https://wa.me/" &amp; VLOOKUP(A280, 'Master Roster'!$A:$F, 6, FALSE) &amp; "?text=" &amp; ENCODEURL("Hello " &amp; IFERROR(IF(VLOOKUP(A280, 'Master Roster'!$A:$J, 10, FALSE)="Male", "Mr. ", "Ms. "), "") &amp; B280 &amp; ", payment of K" &amp; F280 &amp; " received for " &amp; period &amp; ". Receipt No: " &amp; N280), "Send Receipt")))</f>
        <v/>
      </c>
    </row>
    <row r="281">
      <c r="A281" s="29"/>
      <c r="B281" s="29" t="s">
        <v>175</v>
      </c>
      <c r="C281" s="76"/>
      <c r="D281" s="29"/>
      <c r="E281" s="29"/>
      <c r="F281" s="29"/>
      <c r="G281" s="29"/>
      <c r="H281" s="29" t="str">
        <f t="shared" si="1"/>
        <v/>
      </c>
      <c r="I281" s="29" t="str">
        <f t="shared" si="2"/>
        <v/>
      </c>
      <c r="J281" s="29" t="str">
        <f>IF(A281="", "", IFERROR(VLOOKUP(A281, 'Master Roster'!A:H, 8, FALSE) - F281, ""))</f>
        <v/>
      </c>
      <c r="K281" s="29" t="s">
        <v>175</v>
      </c>
      <c r="L281" s="29" t="b">
        <v>0</v>
      </c>
      <c r="M281" s="29"/>
      <c r="N281" s="29" t="s">
        <v>175</v>
      </c>
      <c r="O281" s="29" t="str">
        <f>IF(ISBLANK(A281), "", LET(entry_day, VLOOKUP(A281, 'Master Roster'!$A:$G, 7, FALSE), start_date, DATE(E281, MONTH(D281&amp;" 1"), entry_day), end_date, EDATE(start_date, 1), period, TEXT(start_date, "mmm d, yyyy") &amp; " - " &amp; TEXT(end_date, "mmm d, yyyy"), HYPERLINK("https://wa.me/" &amp; VLOOKUP(A281, 'Master Roster'!$A:$F, 6, FALSE) &amp; "?text=" &amp; ENCODEURL("Hello " &amp; IFERROR(IF(VLOOKUP(A281, 'Master Roster'!$A:$J, 10, FALSE)="Male", "Mr. ", "Ms. "), "") &amp; B281 &amp; ", payment of K" &amp; F281 &amp; " received for " &amp; period &amp; ". Receipt No: " &amp; N281), "Send Receipt")))</f>
        <v/>
      </c>
    </row>
    <row r="282">
      <c r="A282" s="29"/>
      <c r="B282" s="29" t="s">
        <v>175</v>
      </c>
      <c r="C282" s="76"/>
      <c r="D282" s="29"/>
      <c r="E282" s="29"/>
      <c r="F282" s="29"/>
      <c r="G282" s="29"/>
      <c r="H282" s="29" t="str">
        <f t="shared" si="1"/>
        <v/>
      </c>
      <c r="I282" s="29" t="str">
        <f t="shared" si="2"/>
        <v/>
      </c>
      <c r="J282" s="29" t="str">
        <f>IF(A282="", "", IFERROR(VLOOKUP(A282, 'Master Roster'!A:H, 8, FALSE) - F282, ""))</f>
        <v/>
      </c>
      <c r="K282" s="29" t="s">
        <v>175</v>
      </c>
      <c r="L282" s="29" t="b">
        <v>0</v>
      </c>
      <c r="M282" s="29"/>
      <c r="N282" s="29" t="s">
        <v>175</v>
      </c>
      <c r="O282" s="29" t="str">
        <f>IF(ISBLANK(A282), "", LET(entry_day, VLOOKUP(A282, 'Master Roster'!$A:$G, 7, FALSE), start_date, DATE(E282, MONTH(D282&amp;" 1"), entry_day), end_date, EDATE(start_date, 1), period, TEXT(start_date, "mmm d, yyyy") &amp; " - " &amp; TEXT(end_date, "mmm d, yyyy"), HYPERLINK("https://wa.me/" &amp; VLOOKUP(A282, 'Master Roster'!$A:$F, 6, FALSE) &amp; "?text=" &amp; ENCODEURL("Hello " &amp; IFERROR(IF(VLOOKUP(A282, 'Master Roster'!$A:$J, 10, FALSE)="Male", "Mr. ", "Ms. "), "") &amp; B282 &amp; ", payment of K" &amp; F282 &amp; " received for " &amp; period &amp; ". Receipt No: " &amp; N282), "Send Receipt")))</f>
        <v/>
      </c>
    </row>
    <row r="283">
      <c r="A283" s="29"/>
      <c r="B283" s="29" t="s">
        <v>175</v>
      </c>
      <c r="C283" s="76"/>
      <c r="D283" s="29"/>
      <c r="E283" s="29"/>
      <c r="F283" s="29"/>
      <c r="G283" s="29"/>
      <c r="H283" s="29" t="str">
        <f t="shared" si="1"/>
        <v/>
      </c>
      <c r="I283" s="29" t="str">
        <f t="shared" si="2"/>
        <v/>
      </c>
      <c r="J283" s="29" t="str">
        <f>IF(A283="", "", IFERROR(VLOOKUP(A283, 'Master Roster'!A:H, 8, FALSE) - F283, ""))</f>
        <v/>
      </c>
      <c r="K283" s="29" t="s">
        <v>175</v>
      </c>
      <c r="L283" s="29" t="b">
        <v>0</v>
      </c>
      <c r="M283" s="29"/>
      <c r="N283" s="29" t="s">
        <v>175</v>
      </c>
      <c r="O283" s="29" t="str">
        <f>IF(ISBLANK(A283), "", LET(entry_day, VLOOKUP(A283, 'Master Roster'!$A:$G, 7, FALSE), start_date, DATE(E283, MONTH(D283&amp;" 1"), entry_day), end_date, EDATE(start_date, 1), period, TEXT(start_date, "mmm d, yyyy") &amp; " - " &amp; TEXT(end_date, "mmm d, yyyy"), HYPERLINK("https://wa.me/" &amp; VLOOKUP(A283, 'Master Roster'!$A:$F, 6, FALSE) &amp; "?text=" &amp; ENCODEURL("Hello " &amp; IFERROR(IF(VLOOKUP(A283, 'Master Roster'!$A:$J, 10, FALSE)="Male", "Mr. ", "Ms. "), "") &amp; B283 &amp; ", payment of K" &amp; F283 &amp; " received for " &amp; period &amp; ". Receipt No: " &amp; N283), "Send Receipt")))</f>
        <v/>
      </c>
    </row>
    <row r="284">
      <c r="A284" s="29"/>
      <c r="B284" s="29" t="s">
        <v>175</v>
      </c>
      <c r="C284" s="76"/>
      <c r="D284" s="29"/>
      <c r="E284" s="29"/>
      <c r="F284" s="29"/>
      <c r="G284" s="29"/>
      <c r="H284" s="29" t="str">
        <f t="shared" si="1"/>
        <v/>
      </c>
      <c r="I284" s="29" t="str">
        <f t="shared" si="2"/>
        <v/>
      </c>
      <c r="J284" s="29" t="str">
        <f>IF(A284="", "", IFERROR(VLOOKUP(A284, 'Master Roster'!A:H, 8, FALSE) - F284, ""))</f>
        <v/>
      </c>
      <c r="K284" s="29" t="s">
        <v>175</v>
      </c>
      <c r="L284" s="29" t="b">
        <v>0</v>
      </c>
      <c r="M284" s="29"/>
      <c r="N284" s="29" t="s">
        <v>175</v>
      </c>
      <c r="O284" s="29" t="str">
        <f>IF(ISBLANK(A284), "", LET(entry_day, VLOOKUP(A284, 'Master Roster'!$A:$G, 7, FALSE), start_date, DATE(E284, MONTH(D284&amp;" 1"), entry_day), end_date, EDATE(start_date, 1), period, TEXT(start_date, "mmm d, yyyy") &amp; " - " &amp; TEXT(end_date, "mmm d, yyyy"), HYPERLINK("https://wa.me/" &amp; VLOOKUP(A284, 'Master Roster'!$A:$F, 6, FALSE) &amp; "?text=" &amp; ENCODEURL("Hello " &amp; IFERROR(IF(VLOOKUP(A284, 'Master Roster'!$A:$J, 10, FALSE)="Male", "Mr. ", "Ms. "), "") &amp; B284 &amp; ", payment of K" &amp; F284 &amp; " received for " &amp; period &amp; ". Receipt No: " &amp; N284), "Send Receipt")))</f>
        <v/>
      </c>
    </row>
    <row r="285">
      <c r="A285" s="29"/>
      <c r="B285" s="29" t="s">
        <v>175</v>
      </c>
      <c r="C285" s="76"/>
      <c r="D285" s="29"/>
      <c r="E285" s="29"/>
      <c r="F285" s="29"/>
      <c r="G285" s="29"/>
      <c r="H285" s="29" t="str">
        <f t="shared" si="1"/>
        <v/>
      </c>
      <c r="I285" s="29" t="str">
        <f t="shared" si="2"/>
        <v/>
      </c>
      <c r="J285" s="29" t="str">
        <f>IF(A285="", "", IFERROR(VLOOKUP(A285, 'Master Roster'!A:H, 8, FALSE) - F285, ""))</f>
        <v/>
      </c>
      <c r="K285" s="29" t="s">
        <v>175</v>
      </c>
      <c r="L285" s="29" t="b">
        <v>0</v>
      </c>
      <c r="M285" s="29"/>
      <c r="N285" s="29" t="s">
        <v>175</v>
      </c>
      <c r="O285" s="29" t="str">
        <f>IF(ISBLANK(A285), "", LET(entry_day, VLOOKUP(A285, 'Master Roster'!$A:$G, 7, FALSE), start_date, DATE(E285, MONTH(D285&amp;" 1"), entry_day), end_date, EDATE(start_date, 1), period, TEXT(start_date, "mmm d, yyyy") &amp; " - " &amp; TEXT(end_date, "mmm d, yyyy"), HYPERLINK("https://wa.me/" &amp; VLOOKUP(A285, 'Master Roster'!$A:$F, 6, FALSE) &amp; "?text=" &amp; ENCODEURL("Hello " &amp; IFERROR(IF(VLOOKUP(A285, 'Master Roster'!$A:$J, 10, FALSE)="Male", "Mr. ", "Ms. "), "") &amp; B285 &amp; ", payment of K" &amp; F285 &amp; " received for " &amp; period &amp; ". Receipt No: " &amp; N285), "Send Receipt")))</f>
        <v/>
      </c>
    </row>
    <row r="286">
      <c r="A286" s="29"/>
      <c r="B286" s="29" t="s">
        <v>175</v>
      </c>
      <c r="C286" s="76"/>
      <c r="D286" s="29"/>
      <c r="E286" s="29"/>
      <c r="F286" s="29"/>
      <c r="G286" s="29"/>
      <c r="H286" s="29" t="str">
        <f t="shared" si="1"/>
        <v/>
      </c>
      <c r="I286" s="29" t="str">
        <f t="shared" si="2"/>
        <v/>
      </c>
      <c r="J286" s="29" t="str">
        <f>IF(A286="", "", IFERROR(VLOOKUP(A286, 'Master Roster'!A:H, 8, FALSE) - F286, ""))</f>
        <v/>
      </c>
      <c r="K286" s="29" t="s">
        <v>175</v>
      </c>
      <c r="L286" s="29" t="b">
        <v>0</v>
      </c>
      <c r="M286" s="29"/>
      <c r="N286" s="29" t="s">
        <v>175</v>
      </c>
      <c r="O286" s="29" t="str">
        <f>IF(ISBLANK(A286), "", LET(entry_day, VLOOKUP(A286, 'Master Roster'!$A:$G, 7, FALSE), start_date, DATE(E286, MONTH(D286&amp;" 1"), entry_day), end_date, EDATE(start_date, 1), period, TEXT(start_date, "mmm d, yyyy") &amp; " - " &amp; TEXT(end_date, "mmm d, yyyy"), HYPERLINK("https://wa.me/" &amp; VLOOKUP(A286, 'Master Roster'!$A:$F, 6, FALSE) &amp; "?text=" &amp; ENCODEURL("Hello " &amp; IFERROR(IF(VLOOKUP(A286, 'Master Roster'!$A:$J, 10, FALSE)="Male", "Mr. ", "Ms. "), "") &amp; B286 &amp; ", payment of K" &amp; F286 &amp; " received for " &amp; period &amp; ". Receipt No: " &amp; N286), "Send Receipt")))</f>
        <v/>
      </c>
    </row>
    <row r="287">
      <c r="A287" s="29"/>
      <c r="B287" s="29" t="s">
        <v>175</v>
      </c>
      <c r="C287" s="76"/>
      <c r="D287" s="29"/>
      <c r="E287" s="29"/>
      <c r="F287" s="29"/>
      <c r="G287" s="29"/>
      <c r="H287" s="29" t="str">
        <f t="shared" si="1"/>
        <v/>
      </c>
      <c r="I287" s="29" t="str">
        <f t="shared" si="2"/>
        <v/>
      </c>
      <c r="J287" s="29" t="str">
        <f>IF(A287="", "", IFERROR(VLOOKUP(A287, 'Master Roster'!A:H, 8, FALSE) - F287, ""))</f>
        <v/>
      </c>
      <c r="K287" s="29" t="s">
        <v>175</v>
      </c>
      <c r="L287" s="29" t="b">
        <v>0</v>
      </c>
      <c r="M287" s="29"/>
      <c r="N287" s="29" t="s">
        <v>175</v>
      </c>
      <c r="O287" s="29" t="str">
        <f>IF(ISBLANK(A287), "", LET(entry_day, VLOOKUP(A287, 'Master Roster'!$A:$G, 7, FALSE), start_date, DATE(E287, MONTH(D287&amp;" 1"), entry_day), end_date, EDATE(start_date, 1), period, TEXT(start_date, "mmm d, yyyy") &amp; " - " &amp; TEXT(end_date, "mmm d, yyyy"), HYPERLINK("https://wa.me/" &amp; VLOOKUP(A287, 'Master Roster'!$A:$F, 6, FALSE) &amp; "?text=" &amp; ENCODEURL("Hello " &amp; IFERROR(IF(VLOOKUP(A287, 'Master Roster'!$A:$J, 10, FALSE)="Male", "Mr. ", "Ms. "), "") &amp; B287 &amp; ", payment of K" &amp; F287 &amp; " received for " &amp; period &amp; ". Receipt No: " &amp; N287), "Send Receipt")))</f>
        <v/>
      </c>
    </row>
    <row r="288">
      <c r="A288" s="29"/>
      <c r="B288" s="29" t="s">
        <v>175</v>
      </c>
      <c r="C288" s="76"/>
      <c r="D288" s="29"/>
      <c r="E288" s="29"/>
      <c r="F288" s="29"/>
      <c r="G288" s="29"/>
      <c r="H288" s="29" t="str">
        <f t="shared" si="1"/>
        <v/>
      </c>
      <c r="I288" s="29" t="str">
        <f t="shared" si="2"/>
        <v/>
      </c>
      <c r="J288" s="29" t="str">
        <f>IF(A288="", "", IFERROR(VLOOKUP(A288, 'Master Roster'!A:H, 8, FALSE) - F288, ""))</f>
        <v/>
      </c>
      <c r="K288" s="29" t="s">
        <v>175</v>
      </c>
      <c r="L288" s="29" t="b">
        <v>0</v>
      </c>
      <c r="M288" s="29"/>
      <c r="N288" s="29" t="s">
        <v>175</v>
      </c>
      <c r="O288" s="29" t="str">
        <f>IF(ISBLANK(A288), "", LET(entry_day, VLOOKUP(A288, 'Master Roster'!$A:$G, 7, FALSE), start_date, DATE(E288, MONTH(D288&amp;" 1"), entry_day), end_date, EDATE(start_date, 1), period, TEXT(start_date, "mmm d, yyyy") &amp; " - " &amp; TEXT(end_date, "mmm d, yyyy"), HYPERLINK("https://wa.me/" &amp; VLOOKUP(A288, 'Master Roster'!$A:$F, 6, FALSE) &amp; "?text=" &amp; ENCODEURL("Hello " &amp; IFERROR(IF(VLOOKUP(A288, 'Master Roster'!$A:$J, 10, FALSE)="Male", "Mr. ", "Ms. "), "") &amp; B288 &amp; ", payment of K" &amp; F288 &amp; " received for " &amp; period &amp; ". Receipt No: " &amp; N288), "Send Receipt")))</f>
        <v/>
      </c>
    </row>
    <row r="289">
      <c r="A289" s="29"/>
      <c r="B289" s="29" t="s">
        <v>175</v>
      </c>
      <c r="C289" s="76"/>
      <c r="D289" s="29"/>
      <c r="E289" s="29"/>
      <c r="F289" s="29"/>
      <c r="G289" s="29"/>
      <c r="H289" s="29" t="str">
        <f t="shared" si="1"/>
        <v/>
      </c>
      <c r="I289" s="29" t="str">
        <f t="shared" si="2"/>
        <v/>
      </c>
      <c r="J289" s="29" t="str">
        <f>IF(A289="", "", IFERROR(VLOOKUP(A289, 'Master Roster'!A:H, 8, FALSE) - F289, ""))</f>
        <v/>
      </c>
      <c r="K289" s="29" t="s">
        <v>175</v>
      </c>
      <c r="L289" s="29" t="b">
        <v>0</v>
      </c>
      <c r="M289" s="29"/>
      <c r="N289" s="29" t="s">
        <v>175</v>
      </c>
      <c r="O289" s="29" t="str">
        <f>IF(ISBLANK(A289), "", LET(entry_day, VLOOKUP(A289, 'Master Roster'!$A:$G, 7, FALSE), start_date, DATE(E289, MONTH(D289&amp;" 1"), entry_day), end_date, EDATE(start_date, 1), period, TEXT(start_date, "mmm d, yyyy") &amp; " - " &amp; TEXT(end_date, "mmm d, yyyy"), HYPERLINK("https://wa.me/" &amp; VLOOKUP(A289, 'Master Roster'!$A:$F, 6, FALSE) &amp; "?text=" &amp; ENCODEURL("Hello " &amp; IFERROR(IF(VLOOKUP(A289, 'Master Roster'!$A:$J, 10, FALSE)="Male", "Mr. ", "Ms. "), "") &amp; B289 &amp; ", payment of K" &amp; F289 &amp; " received for " &amp; period &amp; ". Receipt No: " &amp; N289), "Send Receipt")))</f>
        <v/>
      </c>
    </row>
    <row r="290">
      <c r="A290" s="29"/>
      <c r="B290" s="29" t="s">
        <v>175</v>
      </c>
      <c r="C290" s="76"/>
      <c r="D290" s="29"/>
      <c r="E290" s="29"/>
      <c r="F290" s="29"/>
      <c r="G290" s="29"/>
      <c r="H290" s="29" t="str">
        <f t="shared" si="1"/>
        <v/>
      </c>
      <c r="I290" s="29" t="str">
        <f t="shared" si="2"/>
        <v/>
      </c>
      <c r="J290" s="29" t="str">
        <f>IF(A290="", "", IFERROR(VLOOKUP(A290, 'Master Roster'!A:H, 8, FALSE) - F290, ""))</f>
        <v/>
      </c>
      <c r="K290" s="29" t="s">
        <v>175</v>
      </c>
      <c r="L290" s="29" t="b">
        <v>0</v>
      </c>
      <c r="M290" s="29"/>
      <c r="N290" s="29" t="s">
        <v>175</v>
      </c>
      <c r="O290" s="29" t="str">
        <f>IF(ISBLANK(A290), "", LET(entry_day, VLOOKUP(A290, 'Master Roster'!$A:$G, 7, FALSE), start_date, DATE(E290, MONTH(D290&amp;" 1"), entry_day), end_date, EDATE(start_date, 1), period, TEXT(start_date, "mmm d, yyyy") &amp; " - " &amp; TEXT(end_date, "mmm d, yyyy"), HYPERLINK("https://wa.me/" &amp; VLOOKUP(A290, 'Master Roster'!$A:$F, 6, FALSE) &amp; "?text=" &amp; ENCODEURL("Hello " &amp; IFERROR(IF(VLOOKUP(A290, 'Master Roster'!$A:$J, 10, FALSE)="Male", "Mr. ", "Ms. "), "") &amp; B290 &amp; ", payment of K" &amp; F290 &amp; " received for " &amp; period &amp; ". Receipt No: " &amp; N290), "Send Receipt")))</f>
        <v/>
      </c>
    </row>
    <row r="291">
      <c r="A291" s="29"/>
      <c r="B291" s="29" t="s">
        <v>175</v>
      </c>
      <c r="C291" s="76"/>
      <c r="D291" s="29"/>
      <c r="E291" s="29"/>
      <c r="F291" s="29"/>
      <c r="G291" s="29"/>
      <c r="H291" s="29" t="str">
        <f t="shared" si="1"/>
        <v/>
      </c>
      <c r="I291" s="29" t="str">
        <f t="shared" si="2"/>
        <v/>
      </c>
      <c r="J291" s="29" t="str">
        <f>IF(A291="", "", IFERROR(VLOOKUP(A291, 'Master Roster'!A:H, 8, FALSE) - F291, ""))</f>
        <v/>
      </c>
      <c r="K291" s="29" t="s">
        <v>175</v>
      </c>
      <c r="L291" s="29" t="b">
        <v>0</v>
      </c>
      <c r="M291" s="29"/>
      <c r="N291" s="29" t="s">
        <v>175</v>
      </c>
      <c r="O291" s="29" t="str">
        <f>IF(ISBLANK(A291), "", LET(entry_day, VLOOKUP(A291, 'Master Roster'!$A:$G, 7, FALSE), start_date, DATE(E291, MONTH(D291&amp;" 1"), entry_day), end_date, EDATE(start_date, 1), period, TEXT(start_date, "mmm d, yyyy") &amp; " - " &amp; TEXT(end_date, "mmm d, yyyy"), HYPERLINK("https://wa.me/" &amp; VLOOKUP(A291, 'Master Roster'!$A:$F, 6, FALSE) &amp; "?text=" &amp; ENCODEURL("Hello " &amp; IFERROR(IF(VLOOKUP(A291, 'Master Roster'!$A:$J, 10, FALSE)="Male", "Mr. ", "Ms. "), "") &amp; B291 &amp; ", payment of K" &amp; F291 &amp; " received for " &amp; period &amp; ". Receipt No: " &amp; N291), "Send Receipt")))</f>
        <v/>
      </c>
    </row>
    <row r="292">
      <c r="A292" s="29"/>
      <c r="B292" s="29" t="s">
        <v>175</v>
      </c>
      <c r="C292" s="76"/>
      <c r="D292" s="29"/>
      <c r="E292" s="29"/>
      <c r="F292" s="29"/>
      <c r="G292" s="29"/>
      <c r="H292" s="29" t="str">
        <f t="shared" si="1"/>
        <v/>
      </c>
      <c r="I292" s="29" t="str">
        <f t="shared" si="2"/>
        <v/>
      </c>
      <c r="J292" s="29" t="str">
        <f>IF(A292="", "", IFERROR(VLOOKUP(A292, 'Master Roster'!A:H, 8, FALSE) - F292, ""))</f>
        <v/>
      </c>
      <c r="K292" s="29" t="s">
        <v>175</v>
      </c>
      <c r="L292" s="29" t="b">
        <v>0</v>
      </c>
      <c r="M292" s="29"/>
      <c r="N292" s="29" t="s">
        <v>175</v>
      </c>
      <c r="O292" s="29" t="str">
        <f>IF(ISBLANK(A292), "", LET(entry_day, VLOOKUP(A292, 'Master Roster'!$A:$G, 7, FALSE), start_date, DATE(E292, MONTH(D292&amp;" 1"), entry_day), end_date, EDATE(start_date, 1), period, TEXT(start_date, "mmm d, yyyy") &amp; " - " &amp; TEXT(end_date, "mmm d, yyyy"), HYPERLINK("https://wa.me/" &amp; VLOOKUP(A292, 'Master Roster'!$A:$F, 6, FALSE) &amp; "?text=" &amp; ENCODEURL("Hello " &amp; IFERROR(IF(VLOOKUP(A292, 'Master Roster'!$A:$J, 10, FALSE)="Male", "Mr. ", "Ms. "), "") &amp; B292 &amp; ", payment of K" &amp; F292 &amp; " received for " &amp; period &amp; ". Receipt No: " &amp; N292), "Send Receipt")))</f>
        <v/>
      </c>
    </row>
    <row r="293">
      <c r="A293" s="29"/>
      <c r="B293" s="29" t="s">
        <v>175</v>
      </c>
      <c r="C293" s="76"/>
      <c r="D293" s="29"/>
      <c r="E293" s="29"/>
      <c r="F293" s="29"/>
      <c r="G293" s="29"/>
      <c r="H293" s="29" t="str">
        <f t="shared" si="1"/>
        <v/>
      </c>
      <c r="I293" s="29" t="str">
        <f t="shared" si="2"/>
        <v/>
      </c>
      <c r="J293" s="29" t="str">
        <f>IF(A293="", "", IFERROR(VLOOKUP(A293, 'Master Roster'!A:H, 8, FALSE) - F293, ""))</f>
        <v/>
      </c>
      <c r="K293" s="29" t="s">
        <v>175</v>
      </c>
      <c r="L293" s="29" t="b">
        <v>0</v>
      </c>
      <c r="M293" s="29"/>
      <c r="N293" s="29" t="s">
        <v>175</v>
      </c>
      <c r="O293" s="29" t="str">
        <f>IF(ISBLANK(A293), "", LET(entry_day, VLOOKUP(A293, 'Master Roster'!$A:$G, 7, FALSE), start_date, DATE(E293, MONTH(D293&amp;" 1"), entry_day), end_date, EDATE(start_date, 1), period, TEXT(start_date, "mmm d, yyyy") &amp; " - " &amp; TEXT(end_date, "mmm d, yyyy"), HYPERLINK("https://wa.me/" &amp; VLOOKUP(A293, 'Master Roster'!$A:$F, 6, FALSE) &amp; "?text=" &amp; ENCODEURL("Hello " &amp; IFERROR(IF(VLOOKUP(A293, 'Master Roster'!$A:$J, 10, FALSE)="Male", "Mr. ", "Ms. "), "") &amp; B293 &amp; ", payment of K" &amp; F293 &amp; " received for " &amp; period &amp; ". Receipt No: " &amp; N293), "Send Receipt")))</f>
        <v/>
      </c>
    </row>
    <row r="294">
      <c r="A294" s="29"/>
      <c r="B294" s="29" t="s">
        <v>175</v>
      </c>
      <c r="C294" s="76"/>
      <c r="D294" s="29"/>
      <c r="E294" s="29"/>
      <c r="F294" s="29"/>
      <c r="G294" s="29"/>
      <c r="H294" s="29" t="str">
        <f t="shared" si="1"/>
        <v/>
      </c>
      <c r="I294" s="29" t="str">
        <f t="shared" si="2"/>
        <v/>
      </c>
      <c r="J294" s="29" t="str">
        <f>IF(A294="", "", IFERROR(VLOOKUP(A294, 'Master Roster'!A:H, 8, FALSE) - F294, ""))</f>
        <v/>
      </c>
      <c r="K294" s="29" t="s">
        <v>175</v>
      </c>
      <c r="L294" s="29" t="b">
        <v>0</v>
      </c>
      <c r="M294" s="29"/>
      <c r="N294" s="29" t="s">
        <v>175</v>
      </c>
      <c r="O294" s="29" t="str">
        <f>IF(ISBLANK(A294), "", LET(entry_day, VLOOKUP(A294, 'Master Roster'!$A:$G, 7, FALSE), start_date, DATE(E294, MONTH(D294&amp;" 1"), entry_day), end_date, EDATE(start_date, 1), period, TEXT(start_date, "mmm d, yyyy") &amp; " - " &amp; TEXT(end_date, "mmm d, yyyy"), HYPERLINK("https://wa.me/" &amp; VLOOKUP(A294, 'Master Roster'!$A:$F, 6, FALSE) &amp; "?text=" &amp; ENCODEURL("Hello " &amp; IFERROR(IF(VLOOKUP(A294, 'Master Roster'!$A:$J, 10, FALSE)="Male", "Mr. ", "Ms. "), "") &amp; B294 &amp; ", payment of K" &amp; F294 &amp; " received for " &amp; period &amp; ". Receipt No: " &amp; N294), "Send Receipt")))</f>
        <v/>
      </c>
    </row>
    <row r="295">
      <c r="A295" s="29"/>
      <c r="B295" s="29" t="s">
        <v>175</v>
      </c>
      <c r="C295" s="76"/>
      <c r="D295" s="29"/>
      <c r="E295" s="29"/>
      <c r="F295" s="29"/>
      <c r="G295" s="29"/>
      <c r="H295" s="29" t="str">
        <f t="shared" si="1"/>
        <v/>
      </c>
      <c r="I295" s="29" t="str">
        <f t="shared" si="2"/>
        <v/>
      </c>
      <c r="J295" s="29" t="str">
        <f>IF(A295="", "", IFERROR(VLOOKUP(A295, 'Master Roster'!A:H, 8, FALSE) - F295, ""))</f>
        <v/>
      </c>
      <c r="K295" s="29" t="s">
        <v>175</v>
      </c>
      <c r="L295" s="29" t="b">
        <v>0</v>
      </c>
      <c r="M295" s="29"/>
      <c r="N295" s="29" t="s">
        <v>175</v>
      </c>
      <c r="O295" s="29" t="str">
        <f>IF(ISBLANK(A295), "", LET(entry_day, VLOOKUP(A295, 'Master Roster'!$A:$G, 7, FALSE), start_date, DATE(E295, MONTH(D295&amp;" 1"), entry_day), end_date, EDATE(start_date, 1), period, TEXT(start_date, "mmm d, yyyy") &amp; " - " &amp; TEXT(end_date, "mmm d, yyyy"), HYPERLINK("https://wa.me/" &amp; VLOOKUP(A295, 'Master Roster'!$A:$F, 6, FALSE) &amp; "?text=" &amp; ENCODEURL("Hello " &amp; IFERROR(IF(VLOOKUP(A295, 'Master Roster'!$A:$J, 10, FALSE)="Male", "Mr. ", "Ms. "), "") &amp; B295 &amp; ", payment of K" &amp; F295 &amp; " received for " &amp; period &amp; ". Receipt No: " &amp; N295), "Send Receipt")))</f>
        <v/>
      </c>
    </row>
    <row r="296">
      <c r="A296" s="29"/>
      <c r="B296" s="29" t="s">
        <v>175</v>
      </c>
      <c r="C296" s="76"/>
      <c r="D296" s="29"/>
      <c r="E296" s="29"/>
      <c r="F296" s="29"/>
      <c r="G296" s="29"/>
      <c r="H296" s="29" t="str">
        <f t="shared" si="1"/>
        <v/>
      </c>
      <c r="I296" s="29" t="str">
        <f t="shared" si="2"/>
        <v/>
      </c>
      <c r="J296" s="29" t="str">
        <f>IF(A296="", "", IFERROR(VLOOKUP(A296, 'Master Roster'!A:H, 8, FALSE) - F296, ""))</f>
        <v/>
      </c>
      <c r="K296" s="29" t="s">
        <v>175</v>
      </c>
      <c r="L296" s="29" t="b">
        <v>0</v>
      </c>
      <c r="M296" s="29"/>
      <c r="N296" s="29" t="s">
        <v>175</v>
      </c>
      <c r="O296" s="29" t="str">
        <f>IF(ISBLANK(A296), "", LET(entry_day, VLOOKUP(A296, 'Master Roster'!$A:$G, 7, FALSE), start_date, DATE(E296, MONTH(D296&amp;" 1"), entry_day), end_date, EDATE(start_date, 1), period, TEXT(start_date, "mmm d, yyyy") &amp; " - " &amp; TEXT(end_date, "mmm d, yyyy"), HYPERLINK("https://wa.me/" &amp; VLOOKUP(A296, 'Master Roster'!$A:$F, 6, FALSE) &amp; "?text=" &amp; ENCODEURL("Hello " &amp; IFERROR(IF(VLOOKUP(A296, 'Master Roster'!$A:$J, 10, FALSE)="Male", "Mr. ", "Ms. "), "") &amp; B296 &amp; ", payment of K" &amp; F296 &amp; " received for " &amp; period &amp; ". Receipt No: " &amp; N296), "Send Receipt")))</f>
        <v/>
      </c>
    </row>
    <row r="297">
      <c r="A297" s="29"/>
      <c r="B297" s="29" t="s">
        <v>175</v>
      </c>
      <c r="C297" s="76"/>
      <c r="D297" s="29"/>
      <c r="E297" s="29"/>
      <c r="F297" s="29"/>
      <c r="G297" s="29"/>
      <c r="H297" s="29" t="str">
        <f t="shared" si="1"/>
        <v/>
      </c>
      <c r="I297" s="29" t="str">
        <f t="shared" si="2"/>
        <v/>
      </c>
      <c r="J297" s="29" t="str">
        <f>IF(A297="", "", IFERROR(VLOOKUP(A297, 'Master Roster'!A:H, 8, FALSE) - F297, ""))</f>
        <v/>
      </c>
      <c r="K297" s="29" t="s">
        <v>175</v>
      </c>
      <c r="L297" s="29" t="b">
        <v>0</v>
      </c>
      <c r="M297" s="29"/>
      <c r="N297" s="29" t="s">
        <v>175</v>
      </c>
      <c r="O297" s="29" t="str">
        <f>IF(ISBLANK(A297), "", LET(entry_day, VLOOKUP(A297, 'Master Roster'!$A:$G, 7, FALSE), start_date, DATE(E297, MONTH(D297&amp;" 1"), entry_day), end_date, EDATE(start_date, 1), period, TEXT(start_date, "mmm d, yyyy") &amp; " - " &amp; TEXT(end_date, "mmm d, yyyy"), HYPERLINK("https://wa.me/" &amp; VLOOKUP(A297, 'Master Roster'!$A:$F, 6, FALSE) &amp; "?text=" &amp; ENCODEURL("Hello " &amp; IFERROR(IF(VLOOKUP(A297, 'Master Roster'!$A:$J, 10, FALSE)="Male", "Mr. ", "Ms. "), "") &amp; B297 &amp; ", payment of K" &amp; F297 &amp; " received for " &amp; period &amp; ". Receipt No: " &amp; N297), "Send Receipt")))</f>
        <v/>
      </c>
    </row>
    <row r="298">
      <c r="A298" s="29"/>
      <c r="B298" s="29" t="s">
        <v>175</v>
      </c>
      <c r="C298" s="76"/>
      <c r="D298" s="29"/>
      <c r="E298" s="29"/>
      <c r="F298" s="29"/>
      <c r="G298" s="29"/>
      <c r="H298" s="29" t="str">
        <f t="shared" si="1"/>
        <v/>
      </c>
      <c r="I298" s="29" t="str">
        <f t="shared" si="2"/>
        <v/>
      </c>
      <c r="J298" s="29" t="str">
        <f>IF(A298="", "", IFERROR(VLOOKUP(A298, 'Master Roster'!A:H, 8, FALSE) - F298, ""))</f>
        <v/>
      </c>
      <c r="K298" s="29" t="s">
        <v>175</v>
      </c>
      <c r="L298" s="29" t="b">
        <v>0</v>
      </c>
      <c r="M298" s="29"/>
      <c r="N298" s="29" t="s">
        <v>175</v>
      </c>
      <c r="O298" s="29" t="str">
        <f>IF(ISBLANK(A298), "", LET(entry_day, VLOOKUP(A298, 'Master Roster'!$A:$G, 7, FALSE), start_date, DATE(E298, MONTH(D298&amp;" 1"), entry_day), end_date, EDATE(start_date, 1), period, TEXT(start_date, "mmm d, yyyy") &amp; " - " &amp; TEXT(end_date, "mmm d, yyyy"), HYPERLINK("https://wa.me/" &amp; VLOOKUP(A298, 'Master Roster'!$A:$F, 6, FALSE) &amp; "?text=" &amp; ENCODEURL("Hello " &amp; IFERROR(IF(VLOOKUP(A298, 'Master Roster'!$A:$J, 10, FALSE)="Male", "Mr. ", "Ms. "), "") &amp; B298 &amp; ", payment of K" &amp; F298 &amp; " received for " &amp; period &amp; ". Receipt No: " &amp; N298), "Send Receipt")))</f>
        <v/>
      </c>
    </row>
    <row r="299">
      <c r="A299" s="29"/>
      <c r="B299" s="29" t="s">
        <v>175</v>
      </c>
      <c r="C299" s="76"/>
      <c r="D299" s="29"/>
      <c r="E299" s="29"/>
      <c r="F299" s="29"/>
      <c r="G299" s="29"/>
      <c r="H299" s="29" t="str">
        <f t="shared" si="1"/>
        <v/>
      </c>
      <c r="I299" s="29" t="str">
        <f t="shared" si="2"/>
        <v/>
      </c>
      <c r="J299" s="29" t="str">
        <f>IF(A299="", "", IFERROR(VLOOKUP(A299, 'Master Roster'!A:H, 8, FALSE) - F299, ""))</f>
        <v/>
      </c>
      <c r="K299" s="29" t="s">
        <v>175</v>
      </c>
      <c r="L299" s="29" t="b">
        <v>0</v>
      </c>
      <c r="M299" s="29"/>
      <c r="N299" s="29" t="s">
        <v>175</v>
      </c>
      <c r="O299" s="29" t="str">
        <f>IF(ISBLANK(A299), "", LET(entry_day, VLOOKUP(A299, 'Master Roster'!$A:$G, 7, FALSE), start_date, DATE(E299, MONTH(D299&amp;" 1"), entry_day), end_date, EDATE(start_date, 1), period, TEXT(start_date, "mmm d, yyyy") &amp; " - " &amp; TEXT(end_date, "mmm d, yyyy"), HYPERLINK("https://wa.me/" &amp; VLOOKUP(A299, 'Master Roster'!$A:$F, 6, FALSE) &amp; "?text=" &amp; ENCODEURL("Hello " &amp; IFERROR(IF(VLOOKUP(A299, 'Master Roster'!$A:$J, 10, FALSE)="Male", "Mr. ", "Ms. "), "") &amp; B299 &amp; ", payment of K" &amp; F299 &amp; " received for " &amp; period &amp; ". Receipt No: " &amp; N299), "Send Receipt")))</f>
        <v/>
      </c>
    </row>
    <row r="300">
      <c r="A300" s="29"/>
      <c r="B300" s="29" t="s">
        <v>175</v>
      </c>
      <c r="C300" s="76"/>
      <c r="D300" s="29"/>
      <c r="E300" s="29"/>
      <c r="F300" s="29"/>
      <c r="G300" s="29"/>
      <c r="H300" s="29" t="str">
        <f t="shared" si="1"/>
        <v/>
      </c>
      <c r="I300" s="29" t="str">
        <f t="shared" si="2"/>
        <v/>
      </c>
      <c r="J300" s="29" t="str">
        <f>IF(A300="", "", IFERROR(VLOOKUP(A300, 'Master Roster'!A:H, 8, FALSE) - F300, ""))</f>
        <v/>
      </c>
      <c r="K300" s="29" t="s">
        <v>175</v>
      </c>
      <c r="L300" s="29" t="b">
        <v>0</v>
      </c>
      <c r="M300" s="29"/>
      <c r="N300" s="29" t="s">
        <v>175</v>
      </c>
      <c r="O300" s="29" t="str">
        <f>IF(ISBLANK(A300), "", LET(entry_day, VLOOKUP(A300, 'Master Roster'!$A:$G, 7, FALSE), start_date, DATE(E300, MONTH(D300&amp;" 1"), entry_day), end_date, EDATE(start_date, 1), period, TEXT(start_date, "mmm d, yyyy") &amp; " - " &amp; TEXT(end_date, "mmm d, yyyy"), HYPERLINK("https://wa.me/" &amp; VLOOKUP(A300, 'Master Roster'!$A:$F, 6, FALSE) &amp; "?text=" &amp; ENCODEURL("Hello " &amp; IFERROR(IF(VLOOKUP(A300, 'Master Roster'!$A:$J, 10, FALSE)="Male", "Mr. ", "Ms. "), "") &amp; B300 &amp; ", payment of K" &amp; F300 &amp; " received for " &amp; period &amp; ". Receipt No: " &amp; N300), "Send Receipt")))</f>
        <v/>
      </c>
    </row>
    <row r="301">
      <c r="A301" s="29"/>
      <c r="B301" s="29" t="s">
        <v>175</v>
      </c>
      <c r="C301" s="76"/>
      <c r="D301" s="29"/>
      <c r="E301" s="29"/>
      <c r="F301" s="29"/>
      <c r="G301" s="29"/>
      <c r="H301" s="29" t="str">
        <f t="shared" si="1"/>
        <v/>
      </c>
      <c r="I301" s="29" t="str">
        <f t="shared" si="2"/>
        <v/>
      </c>
      <c r="J301" s="29" t="str">
        <f>IF(A301="", "", IFERROR(VLOOKUP(A301, 'Master Roster'!A:H, 8, FALSE) - F301, ""))</f>
        <v/>
      </c>
      <c r="K301" s="29" t="s">
        <v>175</v>
      </c>
      <c r="L301" s="29" t="b">
        <v>0</v>
      </c>
      <c r="M301" s="29"/>
      <c r="N301" s="29" t="s">
        <v>175</v>
      </c>
      <c r="O301" s="29" t="str">
        <f>IF(ISBLANK(A301), "", LET(entry_day, VLOOKUP(A301, 'Master Roster'!$A:$G, 7, FALSE), start_date, DATE(E301, MONTH(D301&amp;" 1"), entry_day), end_date, EDATE(start_date, 1), period, TEXT(start_date, "mmm d, yyyy") &amp; " - " &amp; TEXT(end_date, "mmm d, yyyy"), HYPERLINK("https://wa.me/" &amp; VLOOKUP(A301, 'Master Roster'!$A:$F, 6, FALSE) &amp; "?text=" &amp; ENCODEURL("Hello " &amp; IFERROR(IF(VLOOKUP(A301, 'Master Roster'!$A:$J, 10, FALSE)="Male", "Mr. ", "Ms. "), "") &amp; B301 &amp; ", payment of K" &amp; F301 &amp; " received for " &amp; period &amp; ". Receipt No: " &amp; N301), "Send Receipt")))</f>
        <v/>
      </c>
    </row>
    <row r="302">
      <c r="A302" s="29"/>
      <c r="B302" s="29" t="s">
        <v>175</v>
      </c>
      <c r="C302" s="76"/>
      <c r="D302" s="29"/>
      <c r="E302" s="29"/>
      <c r="F302" s="29"/>
      <c r="G302" s="29"/>
      <c r="H302" s="29" t="str">
        <f t="shared" si="1"/>
        <v/>
      </c>
      <c r="I302" s="29" t="str">
        <f t="shared" si="2"/>
        <v/>
      </c>
      <c r="J302" s="29" t="str">
        <f>IF(A302="", "", IFERROR(VLOOKUP(A302, 'Master Roster'!A:H, 8, FALSE) - F302, ""))</f>
        <v/>
      </c>
      <c r="K302" s="29" t="s">
        <v>175</v>
      </c>
      <c r="L302" s="29" t="b">
        <v>0</v>
      </c>
      <c r="M302" s="29"/>
      <c r="N302" s="29" t="s">
        <v>175</v>
      </c>
      <c r="O302" s="29" t="str">
        <f>IF(ISBLANK(A302), "", LET(entry_day, VLOOKUP(A302, 'Master Roster'!$A:$G, 7, FALSE), start_date, DATE(E302, MONTH(D302&amp;" 1"), entry_day), end_date, EDATE(start_date, 1), period, TEXT(start_date, "mmm d, yyyy") &amp; " - " &amp; TEXT(end_date, "mmm d, yyyy"), HYPERLINK("https://wa.me/" &amp; VLOOKUP(A302, 'Master Roster'!$A:$F, 6, FALSE) &amp; "?text=" &amp; ENCODEURL("Hello " &amp; IFERROR(IF(VLOOKUP(A302, 'Master Roster'!$A:$J, 10, FALSE)="Male", "Mr. ", "Ms. "), "") &amp; B302 &amp; ", payment of K" &amp; F302 &amp; " received for " &amp; period &amp; ". Receipt No: " &amp; N302), "Send Receipt")))</f>
        <v/>
      </c>
    </row>
    <row r="303">
      <c r="A303" s="29"/>
      <c r="B303" s="29" t="s">
        <v>175</v>
      </c>
      <c r="C303" s="76"/>
      <c r="D303" s="29"/>
      <c r="E303" s="29"/>
      <c r="F303" s="29"/>
      <c r="G303" s="29"/>
      <c r="H303" s="29" t="str">
        <f t="shared" si="1"/>
        <v/>
      </c>
      <c r="I303" s="29" t="str">
        <f t="shared" si="2"/>
        <v/>
      </c>
      <c r="J303" s="29" t="str">
        <f>IF(A303="", "", IFERROR(VLOOKUP(A303, 'Master Roster'!A:H, 8, FALSE) - F303, ""))</f>
        <v/>
      </c>
      <c r="K303" s="29" t="s">
        <v>175</v>
      </c>
      <c r="L303" s="29" t="b">
        <v>0</v>
      </c>
      <c r="M303" s="29"/>
      <c r="N303" s="29" t="s">
        <v>175</v>
      </c>
      <c r="O303" s="29" t="str">
        <f>IF(ISBLANK(A303), "", LET(entry_day, VLOOKUP(A303, 'Master Roster'!$A:$G, 7, FALSE), start_date, DATE(E303, MONTH(D303&amp;" 1"), entry_day), end_date, EDATE(start_date, 1), period, TEXT(start_date, "mmm d, yyyy") &amp; " - " &amp; TEXT(end_date, "mmm d, yyyy"), HYPERLINK("https://wa.me/" &amp; VLOOKUP(A303, 'Master Roster'!$A:$F, 6, FALSE) &amp; "?text=" &amp; ENCODEURL("Hello " &amp; IFERROR(IF(VLOOKUP(A303, 'Master Roster'!$A:$J, 10, FALSE)="Male", "Mr. ", "Ms. "), "") &amp; B303 &amp; ", payment of K" &amp; F303 &amp; " received for " &amp; period &amp; ". Receipt No: " &amp; N303), "Send Receipt")))</f>
        <v/>
      </c>
    </row>
    <row r="304">
      <c r="A304" s="29"/>
      <c r="B304" s="29" t="s">
        <v>175</v>
      </c>
      <c r="C304" s="76"/>
      <c r="D304" s="29"/>
      <c r="E304" s="29"/>
      <c r="F304" s="29"/>
      <c r="G304" s="29"/>
      <c r="H304" s="29" t="str">
        <f t="shared" si="1"/>
        <v/>
      </c>
      <c r="I304" s="29" t="str">
        <f t="shared" si="2"/>
        <v/>
      </c>
      <c r="J304" s="29" t="str">
        <f>IF(A304="", "", IFERROR(VLOOKUP(A304, 'Master Roster'!A:H, 8, FALSE) - F304, ""))</f>
        <v/>
      </c>
      <c r="K304" s="29" t="s">
        <v>175</v>
      </c>
      <c r="L304" s="29" t="b">
        <v>0</v>
      </c>
      <c r="M304" s="29"/>
      <c r="N304" s="29" t="s">
        <v>175</v>
      </c>
      <c r="O304" s="29" t="str">
        <f>IF(ISBLANK(A304), "", LET(entry_day, VLOOKUP(A304, 'Master Roster'!$A:$G, 7, FALSE), start_date, DATE(E304, MONTH(D304&amp;" 1"), entry_day), end_date, EDATE(start_date, 1), period, TEXT(start_date, "mmm d, yyyy") &amp; " - " &amp; TEXT(end_date, "mmm d, yyyy"), HYPERLINK("https://wa.me/" &amp; VLOOKUP(A304, 'Master Roster'!$A:$F, 6, FALSE) &amp; "?text=" &amp; ENCODEURL("Hello " &amp; IFERROR(IF(VLOOKUP(A304, 'Master Roster'!$A:$J, 10, FALSE)="Male", "Mr. ", "Ms. "), "") &amp; B304 &amp; ", payment of K" &amp; F304 &amp; " received for " &amp; period &amp; ". Receipt No: " &amp; N304), "Send Receipt")))</f>
        <v/>
      </c>
    </row>
    <row r="305">
      <c r="A305" s="29"/>
      <c r="B305" s="29" t="s">
        <v>175</v>
      </c>
      <c r="C305" s="76"/>
      <c r="D305" s="29"/>
      <c r="E305" s="29"/>
      <c r="F305" s="29"/>
      <c r="G305" s="29"/>
      <c r="H305" s="29" t="str">
        <f t="shared" si="1"/>
        <v/>
      </c>
      <c r="I305" s="29" t="str">
        <f t="shared" si="2"/>
        <v/>
      </c>
      <c r="J305" s="29" t="str">
        <f>IF(A305="", "", IFERROR(VLOOKUP(A305, 'Master Roster'!A:H, 8, FALSE) - F305, ""))</f>
        <v/>
      </c>
      <c r="K305" s="29" t="s">
        <v>175</v>
      </c>
      <c r="L305" s="29" t="b">
        <v>0</v>
      </c>
      <c r="M305" s="29"/>
      <c r="N305" s="29" t="s">
        <v>175</v>
      </c>
      <c r="O305" s="29" t="str">
        <f>IF(ISBLANK(A305), "", LET(entry_day, VLOOKUP(A305, 'Master Roster'!$A:$G, 7, FALSE), start_date, DATE(E305, MONTH(D305&amp;" 1"), entry_day), end_date, EDATE(start_date, 1), period, TEXT(start_date, "mmm d, yyyy") &amp; " - " &amp; TEXT(end_date, "mmm d, yyyy"), HYPERLINK("https://wa.me/" &amp; VLOOKUP(A305, 'Master Roster'!$A:$F, 6, FALSE) &amp; "?text=" &amp; ENCODEURL("Hello " &amp; IFERROR(IF(VLOOKUP(A305, 'Master Roster'!$A:$J, 10, FALSE)="Male", "Mr. ", "Ms. "), "") &amp; B305 &amp; ", payment of K" &amp; F305 &amp; " received for " &amp; period &amp; ". Receipt No: " &amp; N305), "Send Receipt")))</f>
        <v/>
      </c>
    </row>
    <row r="306">
      <c r="A306" s="29"/>
      <c r="B306" s="29" t="s">
        <v>175</v>
      </c>
      <c r="C306" s="76"/>
      <c r="D306" s="29"/>
      <c r="E306" s="29"/>
      <c r="F306" s="29"/>
      <c r="G306" s="29"/>
      <c r="H306" s="29" t="str">
        <f t="shared" si="1"/>
        <v/>
      </c>
      <c r="I306" s="29" t="str">
        <f t="shared" si="2"/>
        <v/>
      </c>
      <c r="J306" s="29" t="str">
        <f>IF(A306="", "", IFERROR(VLOOKUP(A306, 'Master Roster'!A:H, 8, FALSE) - F306, ""))</f>
        <v/>
      </c>
      <c r="K306" s="29" t="s">
        <v>175</v>
      </c>
      <c r="L306" s="29" t="b">
        <v>0</v>
      </c>
      <c r="M306" s="29"/>
      <c r="N306" s="29" t="s">
        <v>175</v>
      </c>
      <c r="O306" s="29" t="str">
        <f>IF(ISBLANK(A306), "", LET(entry_day, VLOOKUP(A306, 'Master Roster'!$A:$G, 7, FALSE), start_date, DATE(E306, MONTH(D306&amp;" 1"), entry_day), end_date, EDATE(start_date, 1), period, TEXT(start_date, "mmm d, yyyy") &amp; " - " &amp; TEXT(end_date, "mmm d, yyyy"), HYPERLINK("https://wa.me/" &amp; VLOOKUP(A306, 'Master Roster'!$A:$F, 6, FALSE) &amp; "?text=" &amp; ENCODEURL("Hello " &amp; IFERROR(IF(VLOOKUP(A306, 'Master Roster'!$A:$J, 10, FALSE)="Male", "Mr. ", "Ms. "), "") &amp; B306 &amp; ", payment of K" &amp; F306 &amp; " received for " &amp; period &amp; ". Receipt No: " &amp; N306), "Send Receipt")))</f>
        <v/>
      </c>
    </row>
    <row r="307">
      <c r="A307" s="29"/>
      <c r="B307" s="29" t="s">
        <v>175</v>
      </c>
      <c r="C307" s="76"/>
      <c r="D307" s="29"/>
      <c r="E307" s="29"/>
      <c r="F307" s="29"/>
      <c r="G307" s="29"/>
      <c r="H307" s="29" t="str">
        <f t="shared" si="1"/>
        <v/>
      </c>
      <c r="I307" s="29" t="str">
        <f t="shared" si="2"/>
        <v/>
      </c>
      <c r="J307" s="29" t="str">
        <f>IF(A307="", "", IFERROR(VLOOKUP(A307, 'Master Roster'!A:H, 8, FALSE) - F307, ""))</f>
        <v/>
      </c>
      <c r="K307" s="29" t="s">
        <v>175</v>
      </c>
      <c r="L307" s="29" t="b">
        <v>0</v>
      </c>
      <c r="M307" s="29"/>
      <c r="N307" s="29" t="s">
        <v>175</v>
      </c>
      <c r="O307" s="29" t="str">
        <f>IF(ISBLANK(A307), "", LET(entry_day, VLOOKUP(A307, 'Master Roster'!$A:$G, 7, FALSE), start_date, DATE(E307, MONTH(D307&amp;" 1"), entry_day), end_date, EDATE(start_date, 1), period, TEXT(start_date, "mmm d, yyyy") &amp; " - " &amp; TEXT(end_date, "mmm d, yyyy"), HYPERLINK("https://wa.me/" &amp; VLOOKUP(A307, 'Master Roster'!$A:$F, 6, FALSE) &amp; "?text=" &amp; ENCODEURL("Hello " &amp; IFERROR(IF(VLOOKUP(A307, 'Master Roster'!$A:$J, 10, FALSE)="Male", "Mr. ", "Ms. "), "") &amp; B307 &amp; ", payment of K" &amp; F307 &amp; " received for " &amp; period &amp; ". Receipt No: " &amp; N307), "Send Receipt")))</f>
        <v/>
      </c>
    </row>
    <row r="308">
      <c r="A308" s="29"/>
      <c r="B308" s="29" t="s">
        <v>175</v>
      </c>
      <c r="C308" s="76"/>
      <c r="D308" s="29"/>
      <c r="E308" s="29"/>
      <c r="F308" s="29"/>
      <c r="G308" s="29"/>
      <c r="H308" s="29" t="str">
        <f t="shared" si="1"/>
        <v/>
      </c>
      <c r="I308" s="29" t="str">
        <f t="shared" si="2"/>
        <v/>
      </c>
      <c r="J308" s="29" t="str">
        <f>IF(A308="", "", IFERROR(VLOOKUP(A308, 'Master Roster'!A:H, 8, FALSE) - F308, ""))</f>
        <v/>
      </c>
      <c r="K308" s="29" t="s">
        <v>175</v>
      </c>
      <c r="L308" s="29" t="b">
        <v>0</v>
      </c>
      <c r="M308" s="29"/>
      <c r="N308" s="29" t="s">
        <v>175</v>
      </c>
      <c r="O308" s="29" t="str">
        <f>IF(ISBLANK(A308), "", LET(entry_day, VLOOKUP(A308, 'Master Roster'!$A:$G, 7, FALSE), start_date, DATE(E308, MONTH(D308&amp;" 1"), entry_day), end_date, EDATE(start_date, 1), period, TEXT(start_date, "mmm d, yyyy") &amp; " - " &amp; TEXT(end_date, "mmm d, yyyy"), HYPERLINK("https://wa.me/" &amp; VLOOKUP(A308, 'Master Roster'!$A:$F, 6, FALSE) &amp; "?text=" &amp; ENCODEURL("Hello " &amp; IFERROR(IF(VLOOKUP(A308, 'Master Roster'!$A:$J, 10, FALSE)="Male", "Mr. ", "Ms. "), "") &amp; B308 &amp; ", payment of K" &amp; F308 &amp; " received for " &amp; period &amp; ". Receipt No: " &amp; N308), "Send Receipt")))</f>
        <v/>
      </c>
    </row>
    <row r="309">
      <c r="A309" s="29"/>
      <c r="B309" s="29" t="s">
        <v>175</v>
      </c>
      <c r="C309" s="76"/>
      <c r="D309" s="29"/>
      <c r="E309" s="29"/>
      <c r="F309" s="29"/>
      <c r="G309" s="29"/>
      <c r="H309" s="29" t="str">
        <f t="shared" si="1"/>
        <v/>
      </c>
      <c r="I309" s="29" t="str">
        <f t="shared" si="2"/>
        <v/>
      </c>
      <c r="J309" s="29" t="str">
        <f>IF(A309="", "", IFERROR(VLOOKUP(A309, 'Master Roster'!A:H, 8, FALSE) - F309, ""))</f>
        <v/>
      </c>
      <c r="K309" s="29" t="s">
        <v>175</v>
      </c>
      <c r="L309" s="29" t="b">
        <v>0</v>
      </c>
      <c r="M309" s="29"/>
      <c r="N309" s="29" t="s">
        <v>175</v>
      </c>
      <c r="O309" s="29" t="str">
        <f>IF(ISBLANK(A309), "", LET(entry_day, VLOOKUP(A309, 'Master Roster'!$A:$G, 7, FALSE), start_date, DATE(E309, MONTH(D309&amp;" 1"), entry_day), end_date, EDATE(start_date, 1), period, TEXT(start_date, "mmm d, yyyy") &amp; " - " &amp; TEXT(end_date, "mmm d, yyyy"), HYPERLINK("https://wa.me/" &amp; VLOOKUP(A309, 'Master Roster'!$A:$F, 6, FALSE) &amp; "?text=" &amp; ENCODEURL("Hello " &amp; IFERROR(IF(VLOOKUP(A309, 'Master Roster'!$A:$J, 10, FALSE)="Male", "Mr. ", "Ms. "), "") &amp; B309 &amp; ", payment of K" &amp; F309 &amp; " received for " &amp; period &amp; ". Receipt No: " &amp; N309), "Send Receipt")))</f>
        <v/>
      </c>
    </row>
    <row r="310">
      <c r="A310" s="29"/>
      <c r="B310" s="29" t="s">
        <v>175</v>
      </c>
      <c r="C310" s="76"/>
      <c r="D310" s="29"/>
      <c r="E310" s="29"/>
      <c r="F310" s="29"/>
      <c r="G310" s="29"/>
      <c r="H310" s="29" t="str">
        <f t="shared" si="1"/>
        <v/>
      </c>
      <c r="I310" s="29" t="str">
        <f t="shared" si="2"/>
        <v/>
      </c>
      <c r="J310" s="29" t="str">
        <f>IF(A310="", "", IFERROR(VLOOKUP(A310, 'Master Roster'!A:H, 8, FALSE) - F310, ""))</f>
        <v/>
      </c>
      <c r="K310" s="29" t="s">
        <v>175</v>
      </c>
      <c r="L310" s="29" t="b">
        <v>0</v>
      </c>
      <c r="M310" s="29"/>
      <c r="N310" s="29" t="s">
        <v>175</v>
      </c>
      <c r="O310" s="29" t="str">
        <f>IF(ISBLANK(A310), "", LET(entry_day, VLOOKUP(A310, 'Master Roster'!$A:$G, 7, FALSE), start_date, DATE(E310, MONTH(D310&amp;" 1"), entry_day), end_date, EDATE(start_date, 1), period, TEXT(start_date, "mmm d, yyyy") &amp; " - " &amp; TEXT(end_date, "mmm d, yyyy"), HYPERLINK("https://wa.me/" &amp; VLOOKUP(A310, 'Master Roster'!$A:$F, 6, FALSE) &amp; "?text=" &amp; ENCODEURL("Hello " &amp; IFERROR(IF(VLOOKUP(A310, 'Master Roster'!$A:$J, 10, FALSE)="Male", "Mr. ", "Ms. "), "") &amp; B310 &amp; ", payment of K" &amp; F310 &amp; " received for " &amp; period &amp; ". Receipt No: " &amp; N310), "Send Receipt")))</f>
        <v/>
      </c>
    </row>
    <row r="311">
      <c r="A311" s="29"/>
      <c r="B311" s="29" t="s">
        <v>175</v>
      </c>
      <c r="C311" s="76"/>
      <c r="D311" s="29"/>
      <c r="E311" s="29"/>
      <c r="F311" s="29"/>
      <c r="G311" s="29"/>
      <c r="H311" s="29" t="str">
        <f t="shared" si="1"/>
        <v/>
      </c>
      <c r="I311" s="29" t="str">
        <f t="shared" si="2"/>
        <v/>
      </c>
      <c r="J311" s="29" t="str">
        <f>IF(A311="", "", IFERROR(VLOOKUP(A311, 'Master Roster'!A:H, 8, FALSE) - F311, ""))</f>
        <v/>
      </c>
      <c r="K311" s="29" t="s">
        <v>175</v>
      </c>
      <c r="L311" s="29" t="b">
        <v>0</v>
      </c>
      <c r="M311" s="29"/>
      <c r="N311" s="29" t="s">
        <v>175</v>
      </c>
      <c r="O311" s="29" t="str">
        <f>IF(ISBLANK(A311), "", LET(entry_day, VLOOKUP(A311, 'Master Roster'!$A:$G, 7, FALSE), start_date, DATE(E311, MONTH(D311&amp;" 1"), entry_day), end_date, EDATE(start_date, 1), period, TEXT(start_date, "mmm d, yyyy") &amp; " - " &amp; TEXT(end_date, "mmm d, yyyy"), HYPERLINK("https://wa.me/" &amp; VLOOKUP(A311, 'Master Roster'!$A:$F, 6, FALSE) &amp; "?text=" &amp; ENCODEURL("Hello " &amp; IFERROR(IF(VLOOKUP(A311, 'Master Roster'!$A:$J, 10, FALSE)="Male", "Mr. ", "Ms. "), "") &amp; B311 &amp; ", payment of K" &amp; F311 &amp; " received for " &amp; period &amp; ". Receipt No: " &amp; N311), "Send Receipt")))</f>
        <v/>
      </c>
    </row>
    <row r="312">
      <c r="A312" s="29"/>
      <c r="B312" s="29" t="s">
        <v>175</v>
      </c>
      <c r="C312" s="76"/>
      <c r="D312" s="29"/>
      <c r="E312" s="29"/>
      <c r="F312" s="29"/>
      <c r="G312" s="29"/>
      <c r="H312" s="29" t="str">
        <f t="shared" si="1"/>
        <v/>
      </c>
      <c r="I312" s="29" t="str">
        <f t="shared" si="2"/>
        <v/>
      </c>
      <c r="J312" s="29" t="str">
        <f>IF(A312="", "", IFERROR(VLOOKUP(A312, 'Master Roster'!A:H, 8, FALSE) - F312, ""))</f>
        <v/>
      </c>
      <c r="K312" s="29" t="s">
        <v>175</v>
      </c>
      <c r="L312" s="29" t="b">
        <v>0</v>
      </c>
      <c r="M312" s="29"/>
      <c r="N312" s="29" t="s">
        <v>175</v>
      </c>
      <c r="O312" s="29" t="str">
        <f>IF(ISBLANK(A312), "", LET(entry_day, VLOOKUP(A312, 'Master Roster'!$A:$G, 7, FALSE), start_date, DATE(E312, MONTH(D312&amp;" 1"), entry_day), end_date, EDATE(start_date, 1), period, TEXT(start_date, "mmm d, yyyy") &amp; " - " &amp; TEXT(end_date, "mmm d, yyyy"), HYPERLINK("https://wa.me/" &amp; VLOOKUP(A312, 'Master Roster'!$A:$F, 6, FALSE) &amp; "?text=" &amp; ENCODEURL("Hello " &amp; IFERROR(IF(VLOOKUP(A312, 'Master Roster'!$A:$J, 10, FALSE)="Male", "Mr. ", "Ms. "), "") &amp; B312 &amp; ", payment of K" &amp; F312 &amp; " received for " &amp; period &amp; ". Receipt No: " &amp; N312), "Send Receipt")))</f>
        <v/>
      </c>
    </row>
    <row r="313">
      <c r="A313" s="29"/>
      <c r="B313" s="29" t="s">
        <v>175</v>
      </c>
      <c r="C313" s="76"/>
      <c r="D313" s="29"/>
      <c r="E313" s="29"/>
      <c r="F313" s="29"/>
      <c r="G313" s="29"/>
      <c r="H313" s="29" t="str">
        <f t="shared" si="1"/>
        <v/>
      </c>
      <c r="I313" s="29" t="str">
        <f t="shared" si="2"/>
        <v/>
      </c>
      <c r="J313" s="29" t="str">
        <f>IF(A313="", "", IFERROR(VLOOKUP(A313, 'Master Roster'!A:H, 8, FALSE) - F313, ""))</f>
        <v/>
      </c>
      <c r="K313" s="29" t="s">
        <v>175</v>
      </c>
      <c r="L313" s="29" t="b">
        <v>0</v>
      </c>
      <c r="M313" s="29"/>
      <c r="N313" s="29" t="s">
        <v>175</v>
      </c>
      <c r="O313" s="29" t="str">
        <f>IF(ISBLANK(A313), "", LET(entry_day, VLOOKUP(A313, 'Master Roster'!$A:$G, 7, FALSE), start_date, DATE(E313, MONTH(D313&amp;" 1"), entry_day), end_date, EDATE(start_date, 1), period, TEXT(start_date, "mmm d, yyyy") &amp; " - " &amp; TEXT(end_date, "mmm d, yyyy"), HYPERLINK("https://wa.me/" &amp; VLOOKUP(A313, 'Master Roster'!$A:$F, 6, FALSE) &amp; "?text=" &amp; ENCODEURL("Hello " &amp; IFERROR(IF(VLOOKUP(A313, 'Master Roster'!$A:$J, 10, FALSE)="Male", "Mr. ", "Ms. "), "") &amp; B313 &amp; ", payment of K" &amp; F313 &amp; " received for " &amp; period &amp; ". Receipt No: " &amp; N313), "Send Receipt")))</f>
        <v/>
      </c>
    </row>
    <row r="314">
      <c r="A314" s="29"/>
      <c r="B314" s="29" t="s">
        <v>175</v>
      </c>
      <c r="C314" s="76"/>
      <c r="D314" s="29"/>
      <c r="E314" s="29"/>
      <c r="F314" s="29"/>
      <c r="G314" s="29"/>
      <c r="H314" s="29" t="str">
        <f t="shared" si="1"/>
        <v/>
      </c>
      <c r="I314" s="29" t="str">
        <f t="shared" si="2"/>
        <v/>
      </c>
      <c r="J314" s="29" t="str">
        <f>IF(A314="", "", IFERROR(VLOOKUP(A314, 'Master Roster'!A:H, 8, FALSE) - F314, ""))</f>
        <v/>
      </c>
      <c r="K314" s="29" t="s">
        <v>175</v>
      </c>
      <c r="L314" s="29" t="b">
        <v>0</v>
      </c>
      <c r="M314" s="29"/>
      <c r="N314" s="29" t="s">
        <v>175</v>
      </c>
      <c r="O314" s="29" t="str">
        <f>IF(ISBLANK(A314), "", LET(entry_day, VLOOKUP(A314, 'Master Roster'!$A:$G, 7, FALSE), start_date, DATE(E314, MONTH(D314&amp;" 1"), entry_day), end_date, EDATE(start_date, 1), period, TEXT(start_date, "mmm d, yyyy") &amp; " - " &amp; TEXT(end_date, "mmm d, yyyy"), HYPERLINK("https://wa.me/" &amp; VLOOKUP(A314, 'Master Roster'!$A:$F, 6, FALSE) &amp; "?text=" &amp; ENCODEURL("Hello " &amp; IFERROR(IF(VLOOKUP(A314, 'Master Roster'!$A:$J, 10, FALSE)="Male", "Mr. ", "Ms. "), "") &amp; B314 &amp; ", payment of K" &amp; F314 &amp; " received for " &amp; period &amp; ". Receipt No: " &amp; N314), "Send Receipt")))</f>
        <v/>
      </c>
    </row>
    <row r="315">
      <c r="A315" s="29"/>
      <c r="B315" s="29" t="s">
        <v>175</v>
      </c>
      <c r="C315" s="76"/>
      <c r="D315" s="29"/>
      <c r="E315" s="29"/>
      <c r="F315" s="29"/>
      <c r="G315" s="29"/>
      <c r="H315" s="29" t="str">
        <f t="shared" si="1"/>
        <v/>
      </c>
      <c r="I315" s="29" t="str">
        <f t="shared" si="2"/>
        <v/>
      </c>
      <c r="J315" s="29" t="str">
        <f>IF(A315="", "", IFERROR(VLOOKUP(A315, 'Master Roster'!A:H, 8, FALSE) - F315, ""))</f>
        <v/>
      </c>
      <c r="K315" s="29" t="s">
        <v>175</v>
      </c>
      <c r="L315" s="29" t="b">
        <v>0</v>
      </c>
      <c r="M315" s="29"/>
      <c r="N315" s="29" t="s">
        <v>175</v>
      </c>
      <c r="O315" s="29" t="str">
        <f>IF(ISBLANK(A315), "", LET(entry_day, VLOOKUP(A315, 'Master Roster'!$A:$G, 7, FALSE), start_date, DATE(E315, MONTH(D315&amp;" 1"), entry_day), end_date, EDATE(start_date, 1), period, TEXT(start_date, "mmm d, yyyy") &amp; " - " &amp; TEXT(end_date, "mmm d, yyyy"), HYPERLINK("https://wa.me/" &amp; VLOOKUP(A315, 'Master Roster'!$A:$F, 6, FALSE) &amp; "?text=" &amp; ENCODEURL("Hello " &amp; IFERROR(IF(VLOOKUP(A315, 'Master Roster'!$A:$J, 10, FALSE)="Male", "Mr. ", "Ms. "), "") &amp; B315 &amp; ", payment of K" &amp; F315 &amp; " received for " &amp; period &amp; ". Receipt No: " &amp; N315), "Send Receipt")))</f>
        <v/>
      </c>
    </row>
    <row r="316">
      <c r="A316" s="29"/>
      <c r="B316" s="29" t="s">
        <v>175</v>
      </c>
      <c r="C316" s="76"/>
      <c r="D316" s="29"/>
      <c r="E316" s="29"/>
      <c r="F316" s="29"/>
      <c r="G316" s="29"/>
      <c r="H316" s="29" t="str">
        <f t="shared" si="1"/>
        <v/>
      </c>
      <c r="I316" s="29" t="str">
        <f t="shared" si="2"/>
        <v/>
      </c>
      <c r="J316" s="29" t="str">
        <f>IF(A316="", "", IFERROR(VLOOKUP(A316, 'Master Roster'!A:H, 8, FALSE) - F316, ""))</f>
        <v/>
      </c>
      <c r="K316" s="29" t="s">
        <v>175</v>
      </c>
      <c r="L316" s="29" t="b">
        <v>0</v>
      </c>
      <c r="M316" s="29"/>
      <c r="N316" s="29" t="s">
        <v>175</v>
      </c>
      <c r="O316" s="29" t="str">
        <f>IF(ISBLANK(A316), "", LET(entry_day, VLOOKUP(A316, 'Master Roster'!$A:$G, 7, FALSE), start_date, DATE(E316, MONTH(D316&amp;" 1"), entry_day), end_date, EDATE(start_date, 1), period, TEXT(start_date, "mmm d, yyyy") &amp; " - " &amp; TEXT(end_date, "mmm d, yyyy"), HYPERLINK("https://wa.me/" &amp; VLOOKUP(A316, 'Master Roster'!$A:$F, 6, FALSE) &amp; "?text=" &amp; ENCODEURL("Hello " &amp; IFERROR(IF(VLOOKUP(A316, 'Master Roster'!$A:$J, 10, FALSE)="Male", "Mr. ", "Ms. "), "") &amp; B316 &amp; ", payment of K" &amp; F316 &amp; " received for " &amp; period &amp; ". Receipt No: " &amp; N316), "Send Receipt")))</f>
        <v/>
      </c>
    </row>
    <row r="317">
      <c r="A317" s="29"/>
      <c r="B317" s="29" t="s">
        <v>175</v>
      </c>
      <c r="C317" s="76"/>
      <c r="D317" s="29"/>
      <c r="E317" s="29"/>
      <c r="F317" s="29"/>
      <c r="G317" s="29"/>
      <c r="H317" s="29" t="str">
        <f t="shared" si="1"/>
        <v/>
      </c>
      <c r="I317" s="29" t="str">
        <f t="shared" si="2"/>
        <v/>
      </c>
      <c r="J317" s="29" t="str">
        <f>IF(A317="", "", IFERROR(VLOOKUP(A317, 'Master Roster'!A:H, 8, FALSE) - F317, ""))</f>
        <v/>
      </c>
      <c r="K317" s="29" t="s">
        <v>175</v>
      </c>
      <c r="L317" s="29" t="b">
        <v>0</v>
      </c>
      <c r="M317" s="29"/>
      <c r="N317" s="29" t="s">
        <v>175</v>
      </c>
      <c r="O317" s="29" t="str">
        <f>IF(ISBLANK(A317), "", LET(entry_day, VLOOKUP(A317, 'Master Roster'!$A:$G, 7, FALSE), start_date, DATE(E317, MONTH(D317&amp;" 1"), entry_day), end_date, EDATE(start_date, 1), period, TEXT(start_date, "mmm d, yyyy") &amp; " - " &amp; TEXT(end_date, "mmm d, yyyy"), HYPERLINK("https://wa.me/" &amp; VLOOKUP(A317, 'Master Roster'!$A:$F, 6, FALSE) &amp; "?text=" &amp; ENCODEURL("Hello " &amp; IFERROR(IF(VLOOKUP(A317, 'Master Roster'!$A:$J, 10, FALSE)="Male", "Mr. ", "Ms. "), "") &amp; B317 &amp; ", payment of K" &amp; F317 &amp; " received for " &amp; period &amp; ". Receipt No: " &amp; N317), "Send Receipt")))</f>
        <v/>
      </c>
    </row>
    <row r="318">
      <c r="A318" s="29"/>
      <c r="B318" s="29" t="s">
        <v>175</v>
      </c>
      <c r="C318" s="76"/>
      <c r="D318" s="29"/>
      <c r="E318" s="29"/>
      <c r="F318" s="29"/>
      <c r="G318" s="29"/>
      <c r="H318" s="29" t="str">
        <f t="shared" si="1"/>
        <v/>
      </c>
      <c r="I318" s="29" t="str">
        <f t="shared" si="2"/>
        <v/>
      </c>
      <c r="J318" s="29" t="str">
        <f>IF(A318="", "", IFERROR(VLOOKUP(A318, 'Master Roster'!A:H, 8, FALSE) - F318, ""))</f>
        <v/>
      </c>
      <c r="K318" s="29" t="s">
        <v>175</v>
      </c>
      <c r="L318" s="29" t="b">
        <v>0</v>
      </c>
      <c r="M318" s="29"/>
      <c r="N318" s="29" t="s">
        <v>175</v>
      </c>
      <c r="O318" s="29" t="str">
        <f>IF(ISBLANK(A318), "", LET(entry_day, VLOOKUP(A318, 'Master Roster'!$A:$G, 7, FALSE), start_date, DATE(E318, MONTH(D318&amp;" 1"), entry_day), end_date, EDATE(start_date, 1), period, TEXT(start_date, "mmm d, yyyy") &amp; " - " &amp; TEXT(end_date, "mmm d, yyyy"), HYPERLINK("https://wa.me/" &amp; VLOOKUP(A318, 'Master Roster'!$A:$F, 6, FALSE) &amp; "?text=" &amp; ENCODEURL("Hello " &amp; IFERROR(IF(VLOOKUP(A318, 'Master Roster'!$A:$J, 10, FALSE)="Male", "Mr. ", "Ms. "), "") &amp; B318 &amp; ", payment of K" &amp; F318 &amp; " received for " &amp; period &amp; ". Receipt No: " &amp; N318), "Send Receipt")))</f>
        <v/>
      </c>
    </row>
    <row r="319">
      <c r="A319" s="29"/>
      <c r="B319" s="29" t="s">
        <v>175</v>
      </c>
      <c r="C319" s="76"/>
      <c r="D319" s="29"/>
      <c r="E319" s="29"/>
      <c r="F319" s="29"/>
      <c r="G319" s="29"/>
      <c r="H319" s="29" t="str">
        <f t="shared" si="1"/>
        <v/>
      </c>
      <c r="I319" s="29" t="str">
        <f t="shared" si="2"/>
        <v/>
      </c>
      <c r="J319" s="29" t="str">
        <f>IF(A319="", "", IFERROR(VLOOKUP(A319, 'Master Roster'!A:H, 8, FALSE) - F319, ""))</f>
        <v/>
      </c>
      <c r="K319" s="29" t="s">
        <v>175</v>
      </c>
      <c r="L319" s="29" t="b">
        <v>0</v>
      </c>
      <c r="M319" s="29"/>
      <c r="N319" s="29" t="s">
        <v>175</v>
      </c>
      <c r="O319" s="29" t="str">
        <f>IF(ISBLANK(A319), "", LET(entry_day, VLOOKUP(A319, 'Master Roster'!$A:$G, 7, FALSE), start_date, DATE(E319, MONTH(D319&amp;" 1"), entry_day), end_date, EDATE(start_date, 1), period, TEXT(start_date, "mmm d, yyyy") &amp; " - " &amp; TEXT(end_date, "mmm d, yyyy"), HYPERLINK("https://wa.me/" &amp; VLOOKUP(A319, 'Master Roster'!$A:$F, 6, FALSE) &amp; "?text=" &amp; ENCODEURL("Hello " &amp; IFERROR(IF(VLOOKUP(A319, 'Master Roster'!$A:$J, 10, FALSE)="Male", "Mr. ", "Ms. "), "") &amp; B319 &amp; ", payment of K" &amp; F319 &amp; " received for " &amp; period &amp; ". Receipt No: " &amp; N319), "Send Receipt")))</f>
        <v/>
      </c>
    </row>
    <row r="320">
      <c r="A320" s="29"/>
      <c r="B320" s="29" t="s">
        <v>175</v>
      </c>
      <c r="C320" s="76"/>
      <c r="D320" s="29"/>
      <c r="E320" s="29"/>
      <c r="F320" s="29"/>
      <c r="G320" s="29"/>
      <c r="H320" s="29" t="str">
        <f t="shared" si="1"/>
        <v/>
      </c>
      <c r="I320" s="29" t="str">
        <f t="shared" si="2"/>
        <v/>
      </c>
      <c r="J320" s="29" t="str">
        <f>IF(A320="", "", IFERROR(VLOOKUP(A320, 'Master Roster'!A:H, 8, FALSE) - F320, ""))</f>
        <v/>
      </c>
      <c r="K320" s="29" t="s">
        <v>175</v>
      </c>
      <c r="L320" s="29" t="b">
        <v>0</v>
      </c>
      <c r="M320" s="29"/>
      <c r="N320" s="29" t="s">
        <v>175</v>
      </c>
      <c r="O320" s="29" t="str">
        <f>IF(ISBLANK(A320), "", LET(entry_day, VLOOKUP(A320, 'Master Roster'!$A:$G, 7, FALSE), start_date, DATE(E320, MONTH(D320&amp;" 1"), entry_day), end_date, EDATE(start_date, 1), period, TEXT(start_date, "mmm d, yyyy") &amp; " - " &amp; TEXT(end_date, "mmm d, yyyy"), HYPERLINK("https://wa.me/" &amp; VLOOKUP(A320, 'Master Roster'!$A:$F, 6, FALSE) &amp; "?text=" &amp; ENCODEURL("Hello " &amp; IFERROR(IF(VLOOKUP(A320, 'Master Roster'!$A:$J, 10, FALSE)="Male", "Mr. ", "Ms. "), "") &amp; B320 &amp; ", payment of K" &amp; F320 &amp; " received for " &amp; period &amp; ". Receipt No: " &amp; N320), "Send Receipt")))</f>
        <v/>
      </c>
    </row>
    <row r="321">
      <c r="A321" s="29"/>
      <c r="B321" s="29" t="s">
        <v>175</v>
      </c>
      <c r="C321" s="76"/>
      <c r="D321" s="29"/>
      <c r="E321" s="29"/>
      <c r="F321" s="29"/>
      <c r="G321" s="29"/>
      <c r="H321" s="29" t="str">
        <f t="shared" si="1"/>
        <v/>
      </c>
      <c r="I321" s="29" t="str">
        <f t="shared" si="2"/>
        <v/>
      </c>
      <c r="J321" s="29" t="str">
        <f>IF(A321="", "", IFERROR(VLOOKUP(A321, 'Master Roster'!A:H, 8, FALSE) - F321, ""))</f>
        <v/>
      </c>
      <c r="K321" s="29" t="s">
        <v>175</v>
      </c>
      <c r="L321" s="29" t="b">
        <v>0</v>
      </c>
      <c r="M321" s="29"/>
      <c r="N321" s="29" t="s">
        <v>175</v>
      </c>
      <c r="O321" s="29" t="str">
        <f>IF(ISBLANK(A321), "", LET(entry_day, VLOOKUP(A321, 'Master Roster'!$A:$G, 7, FALSE), start_date, DATE(E321, MONTH(D321&amp;" 1"), entry_day), end_date, EDATE(start_date, 1), period, TEXT(start_date, "mmm d, yyyy") &amp; " - " &amp; TEXT(end_date, "mmm d, yyyy"), HYPERLINK("https://wa.me/" &amp; VLOOKUP(A321, 'Master Roster'!$A:$F, 6, FALSE) &amp; "?text=" &amp; ENCODEURL("Hello " &amp; IFERROR(IF(VLOOKUP(A321, 'Master Roster'!$A:$J, 10, FALSE)="Male", "Mr. ", "Ms. "), "") &amp; B321 &amp; ", payment of K" &amp; F321 &amp; " received for " &amp; period &amp; ". Receipt No: " &amp; N321), "Send Receipt")))</f>
        <v/>
      </c>
    </row>
    <row r="322">
      <c r="A322" s="29"/>
      <c r="B322" s="29" t="s">
        <v>175</v>
      </c>
      <c r="C322" s="76"/>
      <c r="D322" s="29"/>
      <c r="E322" s="29"/>
      <c r="F322" s="29"/>
      <c r="G322" s="29"/>
      <c r="H322" s="29" t="str">
        <f t="shared" si="1"/>
        <v/>
      </c>
      <c r="I322" s="29" t="str">
        <f t="shared" si="2"/>
        <v/>
      </c>
      <c r="J322" s="29" t="str">
        <f>IF(A322="", "", IFERROR(VLOOKUP(A322, 'Master Roster'!A:H, 8, FALSE) - F322, ""))</f>
        <v/>
      </c>
      <c r="K322" s="29" t="s">
        <v>175</v>
      </c>
      <c r="L322" s="29" t="b">
        <v>0</v>
      </c>
      <c r="M322" s="29"/>
      <c r="N322" s="29" t="s">
        <v>175</v>
      </c>
      <c r="O322" s="29" t="str">
        <f>IF(ISBLANK(A322), "", LET(entry_day, VLOOKUP(A322, 'Master Roster'!$A:$G, 7, FALSE), start_date, DATE(E322, MONTH(D322&amp;" 1"), entry_day), end_date, EDATE(start_date, 1), period, TEXT(start_date, "mmm d, yyyy") &amp; " - " &amp; TEXT(end_date, "mmm d, yyyy"), HYPERLINK("https://wa.me/" &amp; VLOOKUP(A322, 'Master Roster'!$A:$F, 6, FALSE) &amp; "?text=" &amp; ENCODEURL("Hello " &amp; IFERROR(IF(VLOOKUP(A322, 'Master Roster'!$A:$J, 10, FALSE)="Male", "Mr. ", "Ms. "), "") &amp; B322 &amp; ", payment of K" &amp; F322 &amp; " received for " &amp; period &amp; ". Receipt No: " &amp; N322), "Send Receipt")))</f>
        <v/>
      </c>
    </row>
    <row r="323">
      <c r="A323" s="29"/>
      <c r="B323" s="29" t="s">
        <v>175</v>
      </c>
      <c r="C323" s="76"/>
      <c r="D323" s="29"/>
      <c r="E323" s="29"/>
      <c r="F323" s="29"/>
      <c r="G323" s="29"/>
      <c r="H323" s="29" t="str">
        <f t="shared" si="1"/>
        <v/>
      </c>
      <c r="I323" s="29" t="str">
        <f t="shared" si="2"/>
        <v/>
      </c>
      <c r="J323" s="29" t="str">
        <f>IF(A323="", "", IFERROR(VLOOKUP(A323, 'Master Roster'!A:H, 8, FALSE) - F323, ""))</f>
        <v/>
      </c>
      <c r="K323" s="29" t="s">
        <v>175</v>
      </c>
      <c r="L323" s="29" t="b">
        <v>0</v>
      </c>
      <c r="M323" s="29"/>
      <c r="N323" s="29" t="s">
        <v>175</v>
      </c>
      <c r="O323" s="29" t="str">
        <f>IF(ISBLANK(A323), "", LET(entry_day, VLOOKUP(A323, 'Master Roster'!$A:$G, 7, FALSE), start_date, DATE(E323, MONTH(D323&amp;" 1"), entry_day), end_date, EDATE(start_date, 1), period, TEXT(start_date, "mmm d, yyyy") &amp; " - " &amp; TEXT(end_date, "mmm d, yyyy"), HYPERLINK("https://wa.me/" &amp; VLOOKUP(A323, 'Master Roster'!$A:$F, 6, FALSE) &amp; "?text=" &amp; ENCODEURL("Hello " &amp; IFERROR(IF(VLOOKUP(A323, 'Master Roster'!$A:$J, 10, FALSE)="Male", "Mr. ", "Ms. "), "") &amp; B323 &amp; ", payment of K" &amp; F323 &amp; " received for " &amp; period &amp; ". Receipt No: " &amp; N323), "Send Receipt")))</f>
        <v/>
      </c>
    </row>
    <row r="324">
      <c r="A324" s="29"/>
      <c r="B324" s="29" t="s">
        <v>175</v>
      </c>
      <c r="C324" s="76"/>
      <c r="D324" s="29"/>
      <c r="E324" s="29"/>
      <c r="F324" s="29"/>
      <c r="G324" s="29"/>
      <c r="H324" s="29" t="str">
        <f t="shared" si="1"/>
        <v/>
      </c>
      <c r="I324" s="29" t="str">
        <f t="shared" si="2"/>
        <v/>
      </c>
      <c r="J324" s="29" t="str">
        <f>IF(A324="", "", IFERROR(VLOOKUP(A324, 'Master Roster'!A:H, 8, FALSE) - F324, ""))</f>
        <v/>
      </c>
      <c r="K324" s="29" t="s">
        <v>175</v>
      </c>
      <c r="L324" s="29" t="b">
        <v>0</v>
      </c>
      <c r="M324" s="29"/>
      <c r="N324" s="29" t="s">
        <v>175</v>
      </c>
      <c r="O324" s="29" t="str">
        <f>IF(ISBLANK(A324), "", LET(entry_day, VLOOKUP(A324, 'Master Roster'!$A:$G, 7, FALSE), start_date, DATE(E324, MONTH(D324&amp;" 1"), entry_day), end_date, EDATE(start_date, 1), period, TEXT(start_date, "mmm d, yyyy") &amp; " - " &amp; TEXT(end_date, "mmm d, yyyy"), HYPERLINK("https://wa.me/" &amp; VLOOKUP(A324, 'Master Roster'!$A:$F, 6, FALSE) &amp; "?text=" &amp; ENCODEURL("Hello " &amp; IFERROR(IF(VLOOKUP(A324, 'Master Roster'!$A:$J, 10, FALSE)="Male", "Mr. ", "Ms. "), "") &amp; B324 &amp; ", payment of K" &amp; F324 &amp; " received for " &amp; period &amp; ". Receipt No: " &amp; N324), "Send Receipt")))</f>
        <v/>
      </c>
    </row>
    <row r="325">
      <c r="A325" s="29"/>
      <c r="B325" s="29" t="s">
        <v>175</v>
      </c>
      <c r="C325" s="76"/>
      <c r="D325" s="29"/>
      <c r="E325" s="29"/>
      <c r="F325" s="29"/>
      <c r="G325" s="29"/>
      <c r="H325" s="29" t="str">
        <f t="shared" si="1"/>
        <v/>
      </c>
      <c r="I325" s="29" t="str">
        <f t="shared" si="2"/>
        <v/>
      </c>
      <c r="J325" s="29" t="str">
        <f>IF(A325="", "", IFERROR(VLOOKUP(A325, 'Master Roster'!A:H, 8, FALSE) - F325, ""))</f>
        <v/>
      </c>
      <c r="K325" s="29" t="s">
        <v>175</v>
      </c>
      <c r="L325" s="29" t="b">
        <v>0</v>
      </c>
      <c r="M325" s="29"/>
      <c r="N325" s="29" t="s">
        <v>175</v>
      </c>
      <c r="O325" s="29" t="str">
        <f>IF(ISBLANK(A325), "", LET(entry_day, VLOOKUP(A325, 'Master Roster'!$A:$G, 7, FALSE), start_date, DATE(E325, MONTH(D325&amp;" 1"), entry_day), end_date, EDATE(start_date, 1), period, TEXT(start_date, "mmm d, yyyy") &amp; " - " &amp; TEXT(end_date, "mmm d, yyyy"), HYPERLINK("https://wa.me/" &amp; VLOOKUP(A325, 'Master Roster'!$A:$F, 6, FALSE) &amp; "?text=" &amp; ENCODEURL("Hello " &amp; IFERROR(IF(VLOOKUP(A325, 'Master Roster'!$A:$J, 10, FALSE)="Male", "Mr. ", "Ms. "), "") &amp; B325 &amp; ", payment of K" &amp; F325 &amp; " received for " &amp; period &amp; ". Receipt No: " &amp; N325), "Send Receipt")))</f>
        <v/>
      </c>
    </row>
    <row r="326">
      <c r="A326" s="29"/>
      <c r="B326" s="29" t="s">
        <v>175</v>
      </c>
      <c r="C326" s="76"/>
      <c r="D326" s="29"/>
      <c r="E326" s="29"/>
      <c r="F326" s="29"/>
      <c r="G326" s="29"/>
      <c r="H326" s="29" t="str">
        <f t="shared" si="1"/>
        <v/>
      </c>
      <c r="I326" s="29" t="str">
        <f t="shared" si="2"/>
        <v/>
      </c>
      <c r="J326" s="29" t="str">
        <f>IF(A326="", "", IFERROR(VLOOKUP(A326, 'Master Roster'!A:H, 8, FALSE) - F326, ""))</f>
        <v/>
      </c>
      <c r="K326" s="29" t="s">
        <v>175</v>
      </c>
      <c r="L326" s="29" t="b">
        <v>0</v>
      </c>
      <c r="M326" s="29"/>
      <c r="N326" s="29" t="s">
        <v>175</v>
      </c>
      <c r="O326" s="29" t="str">
        <f>IF(ISBLANK(A326), "", LET(entry_day, VLOOKUP(A326, 'Master Roster'!$A:$G, 7, FALSE), start_date, DATE(E326, MONTH(D326&amp;" 1"), entry_day), end_date, EDATE(start_date, 1), period, TEXT(start_date, "mmm d, yyyy") &amp; " - " &amp; TEXT(end_date, "mmm d, yyyy"), HYPERLINK("https://wa.me/" &amp; VLOOKUP(A326, 'Master Roster'!$A:$F, 6, FALSE) &amp; "?text=" &amp; ENCODEURL("Hello " &amp; IFERROR(IF(VLOOKUP(A326, 'Master Roster'!$A:$J, 10, FALSE)="Male", "Mr. ", "Ms. "), "") &amp; B326 &amp; ", payment of K" &amp; F326 &amp; " received for " &amp; period &amp; ". Receipt No: " &amp; N326), "Send Receipt")))</f>
        <v/>
      </c>
    </row>
    <row r="327">
      <c r="A327" s="29"/>
      <c r="B327" s="29" t="s">
        <v>175</v>
      </c>
      <c r="C327" s="76"/>
      <c r="D327" s="29"/>
      <c r="E327" s="29"/>
      <c r="F327" s="29"/>
      <c r="G327" s="29"/>
      <c r="H327" s="29" t="str">
        <f t="shared" si="1"/>
        <v/>
      </c>
      <c r="I327" s="29" t="str">
        <f t="shared" si="2"/>
        <v/>
      </c>
      <c r="J327" s="29" t="str">
        <f>IF(A327="", "", IFERROR(VLOOKUP(A327, 'Master Roster'!A:H, 8, FALSE) - F327, ""))</f>
        <v/>
      </c>
      <c r="K327" s="29" t="s">
        <v>175</v>
      </c>
      <c r="L327" s="29" t="b">
        <v>0</v>
      </c>
      <c r="M327" s="29"/>
      <c r="N327" s="29" t="s">
        <v>175</v>
      </c>
      <c r="O327" s="29" t="str">
        <f>IF(ISBLANK(A327), "", LET(entry_day, VLOOKUP(A327, 'Master Roster'!$A:$G, 7, FALSE), start_date, DATE(E327, MONTH(D327&amp;" 1"), entry_day), end_date, EDATE(start_date, 1), period, TEXT(start_date, "mmm d, yyyy") &amp; " - " &amp; TEXT(end_date, "mmm d, yyyy"), HYPERLINK("https://wa.me/" &amp; VLOOKUP(A327, 'Master Roster'!$A:$F, 6, FALSE) &amp; "?text=" &amp; ENCODEURL("Hello " &amp; IFERROR(IF(VLOOKUP(A327, 'Master Roster'!$A:$J, 10, FALSE)="Male", "Mr. ", "Ms. "), "") &amp; B327 &amp; ", payment of K" &amp; F327 &amp; " received for " &amp; period &amp; ". Receipt No: " &amp; N327), "Send Receipt")))</f>
        <v/>
      </c>
    </row>
    <row r="328">
      <c r="A328" s="29"/>
      <c r="B328" s="29" t="s">
        <v>175</v>
      </c>
      <c r="C328" s="76"/>
      <c r="D328" s="29"/>
      <c r="E328" s="29"/>
      <c r="F328" s="29"/>
      <c r="G328" s="29"/>
      <c r="H328" s="29" t="str">
        <f t="shared" si="1"/>
        <v/>
      </c>
      <c r="I328" s="29" t="str">
        <f t="shared" si="2"/>
        <v/>
      </c>
      <c r="J328" s="29" t="str">
        <f>IF(A328="", "", IFERROR(VLOOKUP(A328, 'Master Roster'!A:H, 8, FALSE) - F328, ""))</f>
        <v/>
      </c>
      <c r="K328" s="29" t="s">
        <v>175</v>
      </c>
      <c r="L328" s="29" t="b">
        <v>0</v>
      </c>
      <c r="M328" s="29"/>
      <c r="N328" s="29" t="s">
        <v>175</v>
      </c>
      <c r="O328" s="29" t="str">
        <f>IF(ISBLANK(A328), "", LET(entry_day, VLOOKUP(A328, 'Master Roster'!$A:$G, 7, FALSE), start_date, DATE(E328, MONTH(D328&amp;" 1"), entry_day), end_date, EDATE(start_date, 1), period, TEXT(start_date, "mmm d, yyyy") &amp; " - " &amp; TEXT(end_date, "mmm d, yyyy"), HYPERLINK("https://wa.me/" &amp; VLOOKUP(A328, 'Master Roster'!$A:$F, 6, FALSE) &amp; "?text=" &amp; ENCODEURL("Hello " &amp; IFERROR(IF(VLOOKUP(A328, 'Master Roster'!$A:$J, 10, FALSE)="Male", "Mr. ", "Ms. "), "") &amp; B328 &amp; ", payment of K" &amp; F328 &amp; " received for " &amp; period &amp; ". Receipt No: " &amp; N328), "Send Receipt")))</f>
        <v/>
      </c>
    </row>
    <row r="329">
      <c r="A329" s="29"/>
      <c r="B329" s="29" t="s">
        <v>175</v>
      </c>
      <c r="C329" s="76"/>
      <c r="D329" s="29"/>
      <c r="E329" s="29"/>
      <c r="F329" s="29"/>
      <c r="G329" s="29"/>
      <c r="H329" s="29" t="str">
        <f t="shared" si="1"/>
        <v/>
      </c>
      <c r="I329" s="29" t="str">
        <f t="shared" si="2"/>
        <v/>
      </c>
      <c r="J329" s="29" t="str">
        <f>IF(A329="", "", IFERROR(VLOOKUP(A329, 'Master Roster'!A:H, 8, FALSE) - F329, ""))</f>
        <v/>
      </c>
      <c r="K329" s="29" t="s">
        <v>175</v>
      </c>
      <c r="L329" s="29" t="b">
        <v>0</v>
      </c>
      <c r="M329" s="29"/>
      <c r="N329" s="29" t="s">
        <v>175</v>
      </c>
      <c r="O329" s="29" t="str">
        <f>IF(ISBLANK(A329), "", LET(entry_day, VLOOKUP(A329, 'Master Roster'!$A:$G, 7, FALSE), start_date, DATE(E329, MONTH(D329&amp;" 1"), entry_day), end_date, EDATE(start_date, 1), period, TEXT(start_date, "mmm d, yyyy") &amp; " - " &amp; TEXT(end_date, "mmm d, yyyy"), HYPERLINK("https://wa.me/" &amp; VLOOKUP(A329, 'Master Roster'!$A:$F, 6, FALSE) &amp; "?text=" &amp; ENCODEURL("Hello " &amp; IFERROR(IF(VLOOKUP(A329, 'Master Roster'!$A:$J, 10, FALSE)="Male", "Mr. ", "Ms. "), "") &amp; B329 &amp; ", payment of K" &amp; F329 &amp; " received for " &amp; period &amp; ". Receipt No: " &amp; N329), "Send Receipt")))</f>
        <v/>
      </c>
    </row>
    <row r="330">
      <c r="A330" s="29"/>
      <c r="B330" s="29" t="s">
        <v>175</v>
      </c>
      <c r="C330" s="76"/>
      <c r="D330" s="29"/>
      <c r="E330" s="29"/>
      <c r="F330" s="29"/>
      <c r="G330" s="29"/>
      <c r="H330" s="29" t="str">
        <f t="shared" si="1"/>
        <v/>
      </c>
      <c r="I330" s="29" t="str">
        <f t="shared" si="2"/>
        <v/>
      </c>
      <c r="J330" s="29" t="str">
        <f>IF(A330="", "", IFERROR(VLOOKUP(A330, 'Master Roster'!A:H, 8, FALSE) - F330, ""))</f>
        <v/>
      </c>
      <c r="K330" s="29" t="s">
        <v>175</v>
      </c>
      <c r="L330" s="29" t="b">
        <v>0</v>
      </c>
      <c r="M330" s="29"/>
      <c r="N330" s="29" t="s">
        <v>175</v>
      </c>
      <c r="O330" s="29" t="str">
        <f>IF(ISBLANK(A330), "", LET(entry_day, VLOOKUP(A330, 'Master Roster'!$A:$G, 7, FALSE), start_date, DATE(E330, MONTH(D330&amp;" 1"), entry_day), end_date, EDATE(start_date, 1), period, TEXT(start_date, "mmm d, yyyy") &amp; " - " &amp; TEXT(end_date, "mmm d, yyyy"), HYPERLINK("https://wa.me/" &amp; VLOOKUP(A330, 'Master Roster'!$A:$F, 6, FALSE) &amp; "?text=" &amp; ENCODEURL("Hello " &amp; IFERROR(IF(VLOOKUP(A330, 'Master Roster'!$A:$J, 10, FALSE)="Male", "Mr. ", "Ms. "), "") &amp; B330 &amp; ", payment of K" &amp; F330 &amp; " received for " &amp; period &amp; ". Receipt No: " &amp; N330), "Send Receipt")))</f>
        <v/>
      </c>
    </row>
    <row r="331">
      <c r="A331" s="29"/>
      <c r="B331" s="29" t="s">
        <v>175</v>
      </c>
      <c r="C331" s="76"/>
      <c r="D331" s="29"/>
      <c r="E331" s="29"/>
      <c r="F331" s="29"/>
      <c r="G331" s="29"/>
      <c r="H331" s="29" t="str">
        <f t="shared" si="1"/>
        <v/>
      </c>
      <c r="I331" s="29" t="str">
        <f t="shared" si="2"/>
        <v/>
      </c>
      <c r="J331" s="29" t="str">
        <f>IF(A331="", "", IFERROR(VLOOKUP(A331, 'Master Roster'!A:H, 8, FALSE) - F331, ""))</f>
        <v/>
      </c>
      <c r="K331" s="29" t="s">
        <v>175</v>
      </c>
      <c r="L331" s="29" t="b">
        <v>0</v>
      </c>
      <c r="M331" s="29"/>
      <c r="N331" s="29" t="s">
        <v>175</v>
      </c>
      <c r="O331" s="29" t="str">
        <f>IF(ISBLANK(A331), "", LET(entry_day, VLOOKUP(A331, 'Master Roster'!$A:$G, 7, FALSE), start_date, DATE(E331, MONTH(D331&amp;" 1"), entry_day), end_date, EDATE(start_date, 1), period, TEXT(start_date, "mmm d, yyyy") &amp; " - " &amp; TEXT(end_date, "mmm d, yyyy"), HYPERLINK("https://wa.me/" &amp; VLOOKUP(A331, 'Master Roster'!$A:$F, 6, FALSE) &amp; "?text=" &amp; ENCODEURL("Hello " &amp; IFERROR(IF(VLOOKUP(A331, 'Master Roster'!$A:$J, 10, FALSE)="Male", "Mr. ", "Ms. "), "") &amp; B331 &amp; ", payment of K" &amp; F331 &amp; " received for " &amp; period &amp; ". Receipt No: " &amp; N331), "Send Receipt")))</f>
        <v/>
      </c>
    </row>
    <row r="332">
      <c r="A332" s="29"/>
      <c r="B332" s="29" t="s">
        <v>175</v>
      </c>
      <c r="C332" s="76"/>
      <c r="D332" s="29"/>
      <c r="E332" s="29"/>
      <c r="F332" s="29"/>
      <c r="G332" s="29"/>
      <c r="H332" s="29" t="str">
        <f t="shared" si="1"/>
        <v/>
      </c>
      <c r="I332" s="29" t="str">
        <f t="shared" si="2"/>
        <v/>
      </c>
      <c r="J332" s="29" t="str">
        <f>IF(A332="", "", IFERROR(VLOOKUP(A332, 'Master Roster'!A:H, 8, FALSE) - F332, ""))</f>
        <v/>
      </c>
      <c r="K332" s="29" t="s">
        <v>175</v>
      </c>
      <c r="L332" s="29" t="b">
        <v>0</v>
      </c>
      <c r="M332" s="29"/>
      <c r="N332" s="29" t="s">
        <v>175</v>
      </c>
      <c r="O332" s="29" t="str">
        <f>IF(ISBLANK(A332), "", LET(entry_day, VLOOKUP(A332, 'Master Roster'!$A:$G, 7, FALSE), start_date, DATE(E332, MONTH(D332&amp;" 1"), entry_day), end_date, EDATE(start_date, 1), period, TEXT(start_date, "mmm d, yyyy") &amp; " - " &amp; TEXT(end_date, "mmm d, yyyy"), HYPERLINK("https://wa.me/" &amp; VLOOKUP(A332, 'Master Roster'!$A:$F, 6, FALSE) &amp; "?text=" &amp; ENCODEURL("Hello " &amp; IFERROR(IF(VLOOKUP(A332, 'Master Roster'!$A:$J, 10, FALSE)="Male", "Mr. ", "Ms. "), "") &amp; B332 &amp; ", payment of K" &amp; F332 &amp; " received for " &amp; period &amp; ". Receipt No: " &amp; N332), "Send Receipt")))</f>
        <v/>
      </c>
    </row>
    <row r="333">
      <c r="A333" s="29"/>
      <c r="B333" s="29" t="s">
        <v>175</v>
      </c>
      <c r="C333" s="76"/>
      <c r="D333" s="29"/>
      <c r="E333" s="29"/>
      <c r="F333" s="29"/>
      <c r="G333" s="29"/>
      <c r="H333" s="29" t="str">
        <f t="shared" si="1"/>
        <v/>
      </c>
      <c r="I333" s="29" t="str">
        <f t="shared" si="2"/>
        <v/>
      </c>
      <c r="J333" s="29" t="str">
        <f>IF(A333="", "", IFERROR(VLOOKUP(A333, 'Master Roster'!A:H, 8, FALSE) - F333, ""))</f>
        <v/>
      </c>
      <c r="K333" s="29" t="s">
        <v>175</v>
      </c>
      <c r="L333" s="29" t="b">
        <v>0</v>
      </c>
      <c r="M333" s="29"/>
      <c r="N333" s="29" t="s">
        <v>175</v>
      </c>
      <c r="O333" s="29" t="str">
        <f>IF(ISBLANK(A333), "", LET(entry_day, VLOOKUP(A333, 'Master Roster'!$A:$G, 7, FALSE), start_date, DATE(E333, MONTH(D333&amp;" 1"), entry_day), end_date, EDATE(start_date, 1), period, TEXT(start_date, "mmm d, yyyy") &amp; " - " &amp; TEXT(end_date, "mmm d, yyyy"), HYPERLINK("https://wa.me/" &amp; VLOOKUP(A333, 'Master Roster'!$A:$F, 6, FALSE) &amp; "?text=" &amp; ENCODEURL("Hello " &amp; IFERROR(IF(VLOOKUP(A333, 'Master Roster'!$A:$J, 10, FALSE)="Male", "Mr. ", "Ms. "), "") &amp; B333 &amp; ", payment of K" &amp; F333 &amp; " received for " &amp; period &amp; ". Receipt No: " &amp; N333), "Send Receipt")))</f>
        <v/>
      </c>
    </row>
    <row r="334">
      <c r="A334" s="29"/>
      <c r="B334" s="29" t="s">
        <v>175</v>
      </c>
      <c r="C334" s="76"/>
      <c r="D334" s="29"/>
      <c r="E334" s="29"/>
      <c r="F334" s="29"/>
      <c r="G334" s="29"/>
      <c r="H334" s="29" t="str">
        <f t="shared" si="1"/>
        <v/>
      </c>
      <c r="I334" s="29" t="str">
        <f t="shared" si="2"/>
        <v/>
      </c>
      <c r="J334" s="29" t="str">
        <f>IF(A334="", "", IFERROR(VLOOKUP(A334, 'Master Roster'!A:H, 8, FALSE) - F334, ""))</f>
        <v/>
      </c>
      <c r="K334" s="29" t="s">
        <v>175</v>
      </c>
      <c r="L334" s="29" t="b">
        <v>0</v>
      </c>
      <c r="M334" s="29"/>
      <c r="N334" s="29" t="s">
        <v>175</v>
      </c>
      <c r="O334" s="29" t="str">
        <f>IF(ISBLANK(A334), "", LET(entry_day, VLOOKUP(A334, 'Master Roster'!$A:$G, 7, FALSE), start_date, DATE(E334, MONTH(D334&amp;" 1"), entry_day), end_date, EDATE(start_date, 1), period, TEXT(start_date, "mmm d, yyyy") &amp; " - " &amp; TEXT(end_date, "mmm d, yyyy"), HYPERLINK("https://wa.me/" &amp; VLOOKUP(A334, 'Master Roster'!$A:$F, 6, FALSE) &amp; "?text=" &amp; ENCODEURL("Hello " &amp; IFERROR(IF(VLOOKUP(A334, 'Master Roster'!$A:$J, 10, FALSE)="Male", "Mr. ", "Ms. "), "") &amp; B334 &amp; ", payment of K" &amp; F334 &amp; " received for " &amp; period &amp; ". Receipt No: " &amp; N334), "Send Receipt")))</f>
        <v/>
      </c>
    </row>
    <row r="335">
      <c r="A335" s="29"/>
      <c r="B335" s="29" t="s">
        <v>175</v>
      </c>
      <c r="C335" s="76"/>
      <c r="D335" s="29"/>
      <c r="E335" s="29"/>
      <c r="F335" s="29"/>
      <c r="G335" s="29"/>
      <c r="H335" s="29" t="str">
        <f t="shared" si="1"/>
        <v/>
      </c>
      <c r="I335" s="29" t="str">
        <f t="shared" si="2"/>
        <v/>
      </c>
      <c r="J335" s="29" t="str">
        <f>IF(A335="", "", IFERROR(VLOOKUP(A335, 'Master Roster'!A:H, 8, FALSE) - F335, ""))</f>
        <v/>
      </c>
      <c r="K335" s="29" t="s">
        <v>175</v>
      </c>
      <c r="L335" s="29" t="b">
        <v>0</v>
      </c>
      <c r="M335" s="29"/>
      <c r="N335" s="29" t="s">
        <v>175</v>
      </c>
      <c r="O335" s="29" t="str">
        <f>IF(ISBLANK(A335), "", LET(entry_day, VLOOKUP(A335, 'Master Roster'!$A:$G, 7, FALSE), start_date, DATE(E335, MONTH(D335&amp;" 1"), entry_day), end_date, EDATE(start_date, 1), period, TEXT(start_date, "mmm d, yyyy") &amp; " - " &amp; TEXT(end_date, "mmm d, yyyy"), HYPERLINK("https://wa.me/" &amp; VLOOKUP(A335, 'Master Roster'!$A:$F, 6, FALSE) &amp; "?text=" &amp; ENCODEURL("Hello " &amp; IFERROR(IF(VLOOKUP(A335, 'Master Roster'!$A:$J, 10, FALSE)="Male", "Mr. ", "Ms. "), "") &amp; B335 &amp; ", payment of K" &amp; F335 &amp; " received for " &amp; period &amp; ". Receipt No: " &amp; N335), "Send Receipt")))</f>
        <v/>
      </c>
    </row>
    <row r="336">
      <c r="A336" s="29"/>
      <c r="B336" s="29" t="s">
        <v>175</v>
      </c>
      <c r="C336" s="76"/>
      <c r="D336" s="29"/>
      <c r="E336" s="29"/>
      <c r="F336" s="29"/>
      <c r="G336" s="29"/>
      <c r="H336" s="29" t="str">
        <f t="shared" si="1"/>
        <v/>
      </c>
      <c r="I336" s="29" t="str">
        <f t="shared" si="2"/>
        <v/>
      </c>
      <c r="J336" s="29" t="str">
        <f>IF(A336="", "", IFERROR(VLOOKUP(A336, 'Master Roster'!A:H, 8, FALSE) - F336, ""))</f>
        <v/>
      </c>
      <c r="K336" s="29" t="s">
        <v>175</v>
      </c>
      <c r="L336" s="29" t="b">
        <v>0</v>
      </c>
      <c r="M336" s="29"/>
      <c r="N336" s="29" t="s">
        <v>175</v>
      </c>
      <c r="O336" s="29" t="str">
        <f>IF(ISBLANK(A336), "", LET(entry_day, VLOOKUP(A336, 'Master Roster'!$A:$G, 7, FALSE), start_date, DATE(E336, MONTH(D336&amp;" 1"), entry_day), end_date, EDATE(start_date, 1), period, TEXT(start_date, "mmm d, yyyy") &amp; " - " &amp; TEXT(end_date, "mmm d, yyyy"), HYPERLINK("https://wa.me/" &amp; VLOOKUP(A336, 'Master Roster'!$A:$F, 6, FALSE) &amp; "?text=" &amp; ENCODEURL("Hello " &amp; IFERROR(IF(VLOOKUP(A336, 'Master Roster'!$A:$J, 10, FALSE)="Male", "Mr. ", "Ms. "), "") &amp; B336 &amp; ", payment of K" &amp; F336 &amp; " received for " &amp; period &amp; ". Receipt No: " &amp; N336), "Send Receipt")))</f>
        <v/>
      </c>
    </row>
    <row r="337">
      <c r="A337" s="29"/>
      <c r="B337" s="29" t="s">
        <v>175</v>
      </c>
      <c r="C337" s="76"/>
      <c r="D337" s="29"/>
      <c r="E337" s="29"/>
      <c r="F337" s="29"/>
      <c r="G337" s="29"/>
      <c r="H337" s="29" t="str">
        <f t="shared" si="1"/>
        <v/>
      </c>
      <c r="I337" s="29" t="str">
        <f t="shared" si="2"/>
        <v/>
      </c>
      <c r="J337" s="29" t="str">
        <f>IF(A337="", "", IFERROR(VLOOKUP(A337, 'Master Roster'!A:H, 8, FALSE) - F337, ""))</f>
        <v/>
      </c>
      <c r="K337" s="29" t="s">
        <v>175</v>
      </c>
      <c r="L337" s="29" t="b">
        <v>0</v>
      </c>
      <c r="M337" s="29"/>
      <c r="N337" s="29" t="s">
        <v>175</v>
      </c>
      <c r="O337" s="29" t="str">
        <f>IF(ISBLANK(A337), "", LET(entry_day, VLOOKUP(A337, 'Master Roster'!$A:$G, 7, FALSE), start_date, DATE(E337, MONTH(D337&amp;" 1"), entry_day), end_date, EDATE(start_date, 1), period, TEXT(start_date, "mmm d, yyyy") &amp; " - " &amp; TEXT(end_date, "mmm d, yyyy"), HYPERLINK("https://wa.me/" &amp; VLOOKUP(A337, 'Master Roster'!$A:$F, 6, FALSE) &amp; "?text=" &amp; ENCODEURL("Hello " &amp; IFERROR(IF(VLOOKUP(A337, 'Master Roster'!$A:$J, 10, FALSE)="Male", "Mr. ", "Ms. "), "") &amp; B337 &amp; ", payment of K" &amp; F337 &amp; " received for " &amp; period &amp; ". Receipt No: " &amp; N337), "Send Receipt")))</f>
        <v/>
      </c>
    </row>
    <row r="338">
      <c r="A338" s="29"/>
      <c r="B338" s="29" t="s">
        <v>175</v>
      </c>
      <c r="C338" s="76"/>
      <c r="D338" s="29"/>
      <c r="E338" s="29"/>
      <c r="F338" s="29"/>
      <c r="G338" s="29"/>
      <c r="H338" s="29" t="str">
        <f t="shared" si="1"/>
        <v/>
      </c>
      <c r="I338" s="29" t="str">
        <f t="shared" si="2"/>
        <v/>
      </c>
      <c r="J338" s="29" t="str">
        <f>IF(A338="", "", IFERROR(VLOOKUP(A338, 'Master Roster'!A:H, 8, FALSE) - F338, ""))</f>
        <v/>
      </c>
      <c r="K338" s="29" t="s">
        <v>175</v>
      </c>
      <c r="L338" s="29" t="b">
        <v>0</v>
      </c>
      <c r="M338" s="29"/>
      <c r="N338" s="29" t="s">
        <v>175</v>
      </c>
      <c r="O338" s="29" t="str">
        <f>IF(ISBLANK(A338), "", LET(entry_day, VLOOKUP(A338, 'Master Roster'!$A:$G, 7, FALSE), start_date, DATE(E338, MONTH(D338&amp;" 1"), entry_day), end_date, EDATE(start_date, 1), period, TEXT(start_date, "mmm d, yyyy") &amp; " - " &amp; TEXT(end_date, "mmm d, yyyy"), HYPERLINK("https://wa.me/" &amp; VLOOKUP(A338, 'Master Roster'!$A:$F, 6, FALSE) &amp; "?text=" &amp; ENCODEURL("Hello " &amp; IFERROR(IF(VLOOKUP(A338, 'Master Roster'!$A:$J, 10, FALSE)="Male", "Mr. ", "Ms. "), "") &amp; B338 &amp; ", payment of K" &amp; F338 &amp; " received for " &amp; period &amp; ". Receipt No: " &amp; N338), "Send Receipt")))</f>
        <v/>
      </c>
    </row>
    <row r="339">
      <c r="A339" s="29"/>
      <c r="B339" s="29" t="s">
        <v>175</v>
      </c>
      <c r="C339" s="76"/>
      <c r="D339" s="29"/>
      <c r="E339" s="29"/>
      <c r="F339" s="29"/>
      <c r="G339" s="29"/>
      <c r="H339" s="29" t="str">
        <f t="shared" si="1"/>
        <v/>
      </c>
      <c r="I339" s="29" t="str">
        <f t="shared" si="2"/>
        <v/>
      </c>
      <c r="J339" s="29" t="str">
        <f>IF(A339="", "", IFERROR(VLOOKUP(A339, 'Master Roster'!A:H, 8, FALSE) - F339, ""))</f>
        <v/>
      </c>
      <c r="K339" s="29" t="s">
        <v>175</v>
      </c>
      <c r="L339" s="29" t="b">
        <v>0</v>
      </c>
      <c r="M339" s="29"/>
      <c r="N339" s="29" t="s">
        <v>175</v>
      </c>
      <c r="O339" s="29" t="str">
        <f>IF(ISBLANK(A339), "", LET(entry_day, VLOOKUP(A339, 'Master Roster'!$A:$G, 7, FALSE), start_date, DATE(E339, MONTH(D339&amp;" 1"), entry_day), end_date, EDATE(start_date, 1), period, TEXT(start_date, "mmm d, yyyy") &amp; " - " &amp; TEXT(end_date, "mmm d, yyyy"), HYPERLINK("https://wa.me/" &amp; VLOOKUP(A339, 'Master Roster'!$A:$F, 6, FALSE) &amp; "?text=" &amp; ENCODEURL("Hello " &amp; IFERROR(IF(VLOOKUP(A339, 'Master Roster'!$A:$J, 10, FALSE)="Male", "Mr. ", "Ms. "), "") &amp; B339 &amp; ", payment of K" &amp; F339 &amp; " received for " &amp; period &amp; ". Receipt No: " &amp; N339), "Send Receipt")))</f>
        <v/>
      </c>
    </row>
    <row r="340">
      <c r="A340" s="29"/>
      <c r="B340" s="29" t="s">
        <v>175</v>
      </c>
      <c r="C340" s="76"/>
      <c r="D340" s="29"/>
      <c r="E340" s="29"/>
      <c r="F340" s="29"/>
      <c r="G340" s="29"/>
      <c r="H340" s="29" t="str">
        <f t="shared" si="1"/>
        <v/>
      </c>
      <c r="I340" s="29" t="str">
        <f t="shared" si="2"/>
        <v/>
      </c>
      <c r="J340" s="29" t="str">
        <f>IF(A340="", "", IFERROR(VLOOKUP(A340, 'Master Roster'!A:H, 8, FALSE) - F340, ""))</f>
        <v/>
      </c>
      <c r="K340" s="29" t="s">
        <v>175</v>
      </c>
      <c r="L340" s="29" t="b">
        <v>0</v>
      </c>
      <c r="M340" s="29"/>
      <c r="N340" s="29" t="s">
        <v>175</v>
      </c>
      <c r="O340" s="29" t="str">
        <f>IF(ISBLANK(A340), "", LET(entry_day, VLOOKUP(A340, 'Master Roster'!$A:$G, 7, FALSE), start_date, DATE(E340, MONTH(D340&amp;" 1"), entry_day), end_date, EDATE(start_date, 1), period, TEXT(start_date, "mmm d, yyyy") &amp; " - " &amp; TEXT(end_date, "mmm d, yyyy"), HYPERLINK("https://wa.me/" &amp; VLOOKUP(A340, 'Master Roster'!$A:$F, 6, FALSE) &amp; "?text=" &amp; ENCODEURL("Hello " &amp; IFERROR(IF(VLOOKUP(A340, 'Master Roster'!$A:$J, 10, FALSE)="Male", "Mr. ", "Ms. "), "") &amp; B340 &amp; ", payment of K" &amp; F340 &amp; " received for " &amp; period &amp; ". Receipt No: " &amp; N340), "Send Receipt")))</f>
        <v/>
      </c>
    </row>
    <row r="341">
      <c r="A341" s="29"/>
      <c r="B341" s="29" t="s">
        <v>175</v>
      </c>
      <c r="C341" s="76"/>
      <c r="D341" s="29"/>
      <c r="E341" s="29"/>
      <c r="F341" s="29"/>
      <c r="G341" s="29"/>
      <c r="H341" s="29" t="str">
        <f t="shared" si="1"/>
        <v/>
      </c>
      <c r="I341" s="29" t="str">
        <f t="shared" si="2"/>
        <v/>
      </c>
      <c r="J341" s="29" t="str">
        <f>IF(A341="", "", IFERROR(VLOOKUP(A341, 'Master Roster'!A:H, 8, FALSE) - F341, ""))</f>
        <v/>
      </c>
      <c r="K341" s="29" t="s">
        <v>175</v>
      </c>
      <c r="L341" s="29" t="b">
        <v>0</v>
      </c>
      <c r="M341" s="29"/>
      <c r="N341" s="29" t="s">
        <v>175</v>
      </c>
      <c r="O341" s="29" t="str">
        <f>IF(ISBLANK(A341), "", LET(entry_day, VLOOKUP(A341, 'Master Roster'!$A:$G, 7, FALSE), start_date, DATE(E341, MONTH(D341&amp;" 1"), entry_day), end_date, EDATE(start_date, 1), period, TEXT(start_date, "mmm d, yyyy") &amp; " - " &amp; TEXT(end_date, "mmm d, yyyy"), HYPERLINK("https://wa.me/" &amp; VLOOKUP(A341, 'Master Roster'!$A:$F, 6, FALSE) &amp; "?text=" &amp; ENCODEURL("Hello " &amp; IFERROR(IF(VLOOKUP(A341, 'Master Roster'!$A:$J, 10, FALSE)="Male", "Mr. ", "Ms. "), "") &amp; B341 &amp; ", payment of K" &amp; F341 &amp; " received for " &amp; period &amp; ". Receipt No: " &amp; N341), "Send Receipt")))</f>
        <v/>
      </c>
    </row>
    <row r="342">
      <c r="A342" s="29"/>
      <c r="B342" s="29" t="s">
        <v>175</v>
      </c>
      <c r="C342" s="76"/>
      <c r="D342" s="29"/>
      <c r="E342" s="29"/>
      <c r="F342" s="29"/>
      <c r="G342" s="29"/>
      <c r="H342" s="29" t="str">
        <f t="shared" si="1"/>
        <v/>
      </c>
      <c r="I342" s="29" t="str">
        <f t="shared" si="2"/>
        <v/>
      </c>
      <c r="J342" s="29" t="str">
        <f>IF(A342="", "", IFERROR(VLOOKUP(A342, 'Master Roster'!A:H, 8, FALSE) - F342, ""))</f>
        <v/>
      </c>
      <c r="K342" s="29" t="s">
        <v>175</v>
      </c>
      <c r="L342" s="29" t="b">
        <v>0</v>
      </c>
      <c r="M342" s="29"/>
      <c r="N342" s="29" t="s">
        <v>175</v>
      </c>
      <c r="O342" s="29" t="str">
        <f>IF(ISBLANK(A342), "", LET(entry_day, VLOOKUP(A342, 'Master Roster'!$A:$G, 7, FALSE), start_date, DATE(E342, MONTH(D342&amp;" 1"), entry_day), end_date, EDATE(start_date, 1), period, TEXT(start_date, "mmm d, yyyy") &amp; " - " &amp; TEXT(end_date, "mmm d, yyyy"), HYPERLINK("https://wa.me/" &amp; VLOOKUP(A342, 'Master Roster'!$A:$F, 6, FALSE) &amp; "?text=" &amp; ENCODEURL("Hello " &amp; IFERROR(IF(VLOOKUP(A342, 'Master Roster'!$A:$J, 10, FALSE)="Male", "Mr. ", "Ms. "), "") &amp; B342 &amp; ", payment of K" &amp; F342 &amp; " received for " &amp; period &amp; ". Receipt No: " &amp; N342), "Send Receipt")))</f>
        <v/>
      </c>
    </row>
    <row r="343">
      <c r="A343" s="29"/>
      <c r="B343" s="29" t="s">
        <v>175</v>
      </c>
      <c r="C343" s="76"/>
      <c r="D343" s="29"/>
      <c r="E343" s="29"/>
      <c r="F343" s="29"/>
      <c r="G343" s="29"/>
      <c r="H343" s="29" t="str">
        <f t="shared" si="1"/>
        <v/>
      </c>
      <c r="I343" s="29" t="str">
        <f t="shared" si="2"/>
        <v/>
      </c>
      <c r="J343" s="29" t="str">
        <f>IF(A343="", "", IFERROR(VLOOKUP(A343, 'Master Roster'!A:H, 8, FALSE) - F343, ""))</f>
        <v/>
      </c>
      <c r="K343" s="29" t="s">
        <v>175</v>
      </c>
      <c r="L343" s="29" t="b">
        <v>0</v>
      </c>
      <c r="M343" s="29"/>
      <c r="N343" s="29" t="s">
        <v>175</v>
      </c>
      <c r="O343" s="29" t="str">
        <f>IF(ISBLANK(A343), "", LET(entry_day, VLOOKUP(A343, 'Master Roster'!$A:$G, 7, FALSE), start_date, DATE(E343, MONTH(D343&amp;" 1"), entry_day), end_date, EDATE(start_date, 1), period, TEXT(start_date, "mmm d, yyyy") &amp; " - " &amp; TEXT(end_date, "mmm d, yyyy"), HYPERLINK("https://wa.me/" &amp; VLOOKUP(A343, 'Master Roster'!$A:$F, 6, FALSE) &amp; "?text=" &amp; ENCODEURL("Hello " &amp; IFERROR(IF(VLOOKUP(A343, 'Master Roster'!$A:$J, 10, FALSE)="Male", "Mr. ", "Ms. "), "") &amp; B343 &amp; ", payment of K" &amp; F343 &amp; " received for " &amp; period &amp; ". Receipt No: " &amp; N343), "Send Receipt")))</f>
        <v/>
      </c>
    </row>
    <row r="344">
      <c r="A344" s="29"/>
      <c r="B344" s="29" t="s">
        <v>175</v>
      </c>
      <c r="C344" s="76"/>
      <c r="D344" s="29"/>
      <c r="E344" s="29"/>
      <c r="F344" s="29"/>
      <c r="G344" s="29"/>
      <c r="H344" s="29" t="str">
        <f t="shared" si="1"/>
        <v/>
      </c>
      <c r="I344" s="29" t="str">
        <f t="shared" si="2"/>
        <v/>
      </c>
      <c r="J344" s="29" t="str">
        <f>IF(A344="", "", IFERROR(VLOOKUP(A344, 'Master Roster'!A:H, 8, FALSE) - F344, ""))</f>
        <v/>
      </c>
      <c r="K344" s="29" t="s">
        <v>175</v>
      </c>
      <c r="L344" s="29" t="b">
        <v>0</v>
      </c>
      <c r="M344" s="29"/>
      <c r="N344" s="29" t="s">
        <v>175</v>
      </c>
      <c r="O344" s="29" t="str">
        <f>IF(ISBLANK(A344), "", LET(entry_day, VLOOKUP(A344, 'Master Roster'!$A:$G, 7, FALSE), start_date, DATE(E344, MONTH(D344&amp;" 1"), entry_day), end_date, EDATE(start_date, 1), period, TEXT(start_date, "mmm d, yyyy") &amp; " - " &amp; TEXT(end_date, "mmm d, yyyy"), HYPERLINK("https://wa.me/" &amp; VLOOKUP(A344, 'Master Roster'!$A:$F, 6, FALSE) &amp; "?text=" &amp; ENCODEURL("Hello " &amp; IFERROR(IF(VLOOKUP(A344, 'Master Roster'!$A:$J, 10, FALSE)="Male", "Mr. ", "Ms. "), "") &amp; B344 &amp; ", payment of K" &amp; F344 &amp; " received for " &amp; period &amp; ". Receipt No: " &amp; N344), "Send Receipt")))</f>
        <v/>
      </c>
    </row>
    <row r="345">
      <c r="A345" s="29"/>
      <c r="B345" s="29" t="s">
        <v>175</v>
      </c>
      <c r="C345" s="76"/>
      <c r="D345" s="29"/>
      <c r="E345" s="29"/>
      <c r="F345" s="29"/>
      <c r="G345" s="29"/>
      <c r="H345" s="29" t="str">
        <f t="shared" si="1"/>
        <v/>
      </c>
      <c r="I345" s="29" t="str">
        <f t="shared" si="2"/>
        <v/>
      </c>
      <c r="J345" s="29" t="str">
        <f>IF(A345="", "", IFERROR(VLOOKUP(A345, 'Master Roster'!A:H, 8, FALSE) - F345, ""))</f>
        <v/>
      </c>
      <c r="K345" s="29" t="s">
        <v>175</v>
      </c>
      <c r="L345" s="29" t="b">
        <v>0</v>
      </c>
      <c r="M345" s="29"/>
      <c r="N345" s="29" t="s">
        <v>175</v>
      </c>
      <c r="O345" s="29" t="str">
        <f>IF(ISBLANK(A345), "", LET(entry_day, VLOOKUP(A345, 'Master Roster'!$A:$G, 7, FALSE), start_date, DATE(E345, MONTH(D345&amp;" 1"), entry_day), end_date, EDATE(start_date, 1), period, TEXT(start_date, "mmm d, yyyy") &amp; " - " &amp; TEXT(end_date, "mmm d, yyyy"), HYPERLINK("https://wa.me/" &amp; VLOOKUP(A345, 'Master Roster'!$A:$F, 6, FALSE) &amp; "?text=" &amp; ENCODEURL("Hello " &amp; IFERROR(IF(VLOOKUP(A345, 'Master Roster'!$A:$J, 10, FALSE)="Male", "Mr. ", "Ms. "), "") &amp; B345 &amp; ", payment of K" &amp; F345 &amp; " received for " &amp; period &amp; ". Receipt No: " &amp; N345), "Send Receipt")))</f>
        <v/>
      </c>
    </row>
    <row r="346">
      <c r="A346" s="29"/>
      <c r="B346" s="29" t="s">
        <v>175</v>
      </c>
      <c r="C346" s="76"/>
      <c r="D346" s="29"/>
      <c r="E346" s="29"/>
      <c r="F346" s="29"/>
      <c r="G346" s="29"/>
      <c r="H346" s="29" t="str">
        <f t="shared" si="1"/>
        <v/>
      </c>
      <c r="I346" s="29" t="str">
        <f t="shared" si="2"/>
        <v/>
      </c>
      <c r="J346" s="29" t="str">
        <f>IF(A346="", "", IFERROR(VLOOKUP(A346, 'Master Roster'!A:H, 8, FALSE) - F346, ""))</f>
        <v/>
      </c>
      <c r="K346" s="29" t="s">
        <v>175</v>
      </c>
      <c r="L346" s="29" t="b">
        <v>0</v>
      </c>
      <c r="M346" s="29"/>
      <c r="N346" s="29" t="s">
        <v>175</v>
      </c>
      <c r="O346" s="29" t="str">
        <f>IF(ISBLANK(A346), "", LET(entry_day, VLOOKUP(A346, 'Master Roster'!$A:$G, 7, FALSE), start_date, DATE(E346, MONTH(D346&amp;" 1"), entry_day), end_date, EDATE(start_date, 1), period, TEXT(start_date, "mmm d, yyyy") &amp; " - " &amp; TEXT(end_date, "mmm d, yyyy"), HYPERLINK("https://wa.me/" &amp; VLOOKUP(A346, 'Master Roster'!$A:$F, 6, FALSE) &amp; "?text=" &amp; ENCODEURL("Hello " &amp; IFERROR(IF(VLOOKUP(A346, 'Master Roster'!$A:$J, 10, FALSE)="Male", "Mr. ", "Ms. "), "") &amp; B346 &amp; ", payment of K" &amp; F346 &amp; " received for " &amp; period &amp; ". Receipt No: " &amp; N346), "Send Receipt")))</f>
        <v/>
      </c>
    </row>
    <row r="347">
      <c r="A347" s="29"/>
      <c r="B347" s="29" t="s">
        <v>175</v>
      </c>
      <c r="C347" s="76"/>
      <c r="D347" s="29"/>
      <c r="E347" s="29"/>
      <c r="F347" s="29"/>
      <c r="G347" s="29"/>
      <c r="H347" s="29" t="str">
        <f t="shared" si="1"/>
        <v/>
      </c>
      <c r="I347" s="29" t="str">
        <f t="shared" si="2"/>
        <v/>
      </c>
      <c r="J347" s="29" t="str">
        <f>IF(A347="", "", IFERROR(VLOOKUP(A347, 'Master Roster'!A:H, 8, FALSE) - F347, ""))</f>
        <v/>
      </c>
      <c r="K347" s="29" t="s">
        <v>175</v>
      </c>
      <c r="L347" s="29" t="b">
        <v>0</v>
      </c>
      <c r="M347" s="29"/>
      <c r="N347" s="29" t="s">
        <v>175</v>
      </c>
      <c r="O347" s="29" t="str">
        <f>IF(ISBLANK(A347), "", LET(entry_day, VLOOKUP(A347, 'Master Roster'!$A:$G, 7, FALSE), start_date, DATE(E347, MONTH(D347&amp;" 1"), entry_day), end_date, EDATE(start_date, 1), period, TEXT(start_date, "mmm d, yyyy") &amp; " - " &amp; TEXT(end_date, "mmm d, yyyy"), HYPERLINK("https://wa.me/" &amp; VLOOKUP(A347, 'Master Roster'!$A:$F, 6, FALSE) &amp; "?text=" &amp; ENCODEURL("Hello " &amp; IFERROR(IF(VLOOKUP(A347, 'Master Roster'!$A:$J, 10, FALSE)="Male", "Mr. ", "Ms. "), "") &amp; B347 &amp; ", payment of K" &amp; F347 &amp; " received for " &amp; period &amp; ". Receipt No: " &amp; N347), "Send Receipt")))</f>
        <v/>
      </c>
    </row>
    <row r="348">
      <c r="A348" s="29"/>
      <c r="B348" s="29" t="s">
        <v>175</v>
      </c>
      <c r="C348" s="76"/>
      <c r="D348" s="29"/>
      <c r="E348" s="29"/>
      <c r="F348" s="29"/>
      <c r="G348" s="29"/>
      <c r="H348" s="29" t="str">
        <f t="shared" si="1"/>
        <v/>
      </c>
      <c r="I348" s="29" t="str">
        <f t="shared" si="2"/>
        <v/>
      </c>
      <c r="J348" s="29" t="str">
        <f>IF(A348="", "", IFERROR(VLOOKUP(A348, 'Master Roster'!A:H, 8, FALSE) - F348, ""))</f>
        <v/>
      </c>
      <c r="K348" s="29" t="s">
        <v>175</v>
      </c>
      <c r="L348" s="29" t="b">
        <v>0</v>
      </c>
      <c r="M348" s="29"/>
      <c r="N348" s="29" t="s">
        <v>175</v>
      </c>
      <c r="O348" s="29" t="str">
        <f>IF(ISBLANK(A348), "", LET(entry_day, VLOOKUP(A348, 'Master Roster'!$A:$G, 7, FALSE), start_date, DATE(E348, MONTH(D348&amp;" 1"), entry_day), end_date, EDATE(start_date, 1), period, TEXT(start_date, "mmm d, yyyy") &amp; " - " &amp; TEXT(end_date, "mmm d, yyyy"), HYPERLINK("https://wa.me/" &amp; VLOOKUP(A348, 'Master Roster'!$A:$F, 6, FALSE) &amp; "?text=" &amp; ENCODEURL("Hello " &amp; IFERROR(IF(VLOOKUP(A348, 'Master Roster'!$A:$J, 10, FALSE)="Male", "Mr. ", "Ms. "), "") &amp; B348 &amp; ", payment of K" &amp; F348 &amp; " received for " &amp; period &amp; ". Receipt No: " &amp; N348), "Send Receipt")))</f>
        <v/>
      </c>
    </row>
    <row r="349">
      <c r="A349" s="29"/>
      <c r="B349" s="29" t="s">
        <v>175</v>
      </c>
      <c r="C349" s="76"/>
      <c r="D349" s="29"/>
      <c r="E349" s="29"/>
      <c r="F349" s="29"/>
      <c r="G349" s="29"/>
      <c r="H349" s="29" t="str">
        <f t="shared" si="1"/>
        <v/>
      </c>
      <c r="I349" s="29" t="str">
        <f t="shared" si="2"/>
        <v/>
      </c>
      <c r="J349" s="29" t="str">
        <f>IF(A349="", "", IFERROR(VLOOKUP(A349, 'Master Roster'!A:H, 8, FALSE) - F349, ""))</f>
        <v/>
      </c>
      <c r="K349" s="29" t="s">
        <v>175</v>
      </c>
      <c r="L349" s="29" t="b">
        <v>0</v>
      </c>
      <c r="M349" s="29"/>
      <c r="N349" s="29" t="s">
        <v>175</v>
      </c>
      <c r="O349" s="29" t="str">
        <f>IF(ISBLANK(A349), "", LET(entry_day, VLOOKUP(A349, 'Master Roster'!$A:$G, 7, FALSE), start_date, DATE(E349, MONTH(D349&amp;" 1"), entry_day), end_date, EDATE(start_date, 1), period, TEXT(start_date, "mmm d, yyyy") &amp; " - " &amp; TEXT(end_date, "mmm d, yyyy"), HYPERLINK("https://wa.me/" &amp; VLOOKUP(A349, 'Master Roster'!$A:$F, 6, FALSE) &amp; "?text=" &amp; ENCODEURL("Hello " &amp; IFERROR(IF(VLOOKUP(A349, 'Master Roster'!$A:$J, 10, FALSE)="Male", "Mr. ", "Ms. "), "") &amp; B349 &amp; ", payment of K" &amp; F349 &amp; " received for " &amp; period &amp; ". Receipt No: " &amp; N349), "Send Receipt")))</f>
        <v/>
      </c>
    </row>
    <row r="350">
      <c r="A350" s="29"/>
      <c r="B350" s="29" t="s">
        <v>175</v>
      </c>
      <c r="C350" s="76"/>
      <c r="D350" s="29"/>
      <c r="E350" s="29"/>
      <c r="F350" s="29"/>
      <c r="G350" s="29"/>
      <c r="H350" s="29" t="str">
        <f t="shared" si="1"/>
        <v/>
      </c>
      <c r="I350" s="29" t="str">
        <f t="shared" si="2"/>
        <v/>
      </c>
      <c r="J350" s="29" t="str">
        <f>IF(A350="", "", IFERROR(VLOOKUP(A350, 'Master Roster'!A:H, 8, FALSE) - F350, ""))</f>
        <v/>
      </c>
      <c r="K350" s="29" t="s">
        <v>175</v>
      </c>
      <c r="L350" s="29" t="b">
        <v>0</v>
      </c>
      <c r="M350" s="29"/>
      <c r="N350" s="29" t="s">
        <v>175</v>
      </c>
      <c r="O350" s="29" t="str">
        <f>IF(ISBLANK(A350), "", LET(entry_day, VLOOKUP(A350, 'Master Roster'!$A:$G, 7, FALSE), start_date, DATE(E350, MONTH(D350&amp;" 1"), entry_day), end_date, EDATE(start_date, 1), period, TEXT(start_date, "mmm d, yyyy") &amp; " - " &amp; TEXT(end_date, "mmm d, yyyy"), HYPERLINK("https://wa.me/" &amp; VLOOKUP(A350, 'Master Roster'!$A:$F, 6, FALSE) &amp; "?text=" &amp; ENCODEURL("Hello " &amp; IFERROR(IF(VLOOKUP(A350, 'Master Roster'!$A:$J, 10, FALSE)="Male", "Mr. ", "Ms. "), "") &amp; B350 &amp; ", payment of K" &amp; F350 &amp; " received for " &amp; period &amp; ". Receipt No: " &amp; N350), "Send Receipt")))</f>
        <v/>
      </c>
    </row>
    <row r="351">
      <c r="A351" s="29"/>
      <c r="B351" s="29" t="s">
        <v>175</v>
      </c>
      <c r="C351" s="76"/>
      <c r="D351" s="29"/>
      <c r="E351" s="29"/>
      <c r="F351" s="29"/>
      <c r="G351" s="29"/>
      <c r="H351" s="29" t="str">
        <f t="shared" si="1"/>
        <v/>
      </c>
      <c r="I351" s="29" t="str">
        <f t="shared" si="2"/>
        <v/>
      </c>
      <c r="J351" s="29" t="str">
        <f>IF(A351="", "", IFERROR(VLOOKUP(A351, 'Master Roster'!A:H, 8, FALSE) - F351, ""))</f>
        <v/>
      </c>
      <c r="K351" s="29" t="s">
        <v>175</v>
      </c>
      <c r="L351" s="29" t="b">
        <v>0</v>
      </c>
      <c r="M351" s="29"/>
      <c r="N351" s="29" t="s">
        <v>175</v>
      </c>
      <c r="O351" s="29" t="str">
        <f>IF(ISBLANK(A351), "", LET(entry_day, VLOOKUP(A351, 'Master Roster'!$A:$G, 7, FALSE), start_date, DATE(E351, MONTH(D351&amp;" 1"), entry_day), end_date, EDATE(start_date, 1), period, TEXT(start_date, "mmm d, yyyy") &amp; " - " &amp; TEXT(end_date, "mmm d, yyyy"), HYPERLINK("https://wa.me/" &amp; VLOOKUP(A351, 'Master Roster'!$A:$F, 6, FALSE) &amp; "?text=" &amp; ENCODEURL("Hello " &amp; IFERROR(IF(VLOOKUP(A351, 'Master Roster'!$A:$J, 10, FALSE)="Male", "Mr. ", "Ms. "), "") &amp; B351 &amp; ", payment of K" &amp; F351 &amp; " received for " &amp; period &amp; ". Receipt No: " &amp; N351), "Send Receipt")))</f>
        <v/>
      </c>
    </row>
    <row r="352">
      <c r="A352" s="29"/>
      <c r="B352" s="29" t="s">
        <v>175</v>
      </c>
      <c r="C352" s="76"/>
      <c r="D352" s="29"/>
      <c r="E352" s="29"/>
      <c r="F352" s="29"/>
      <c r="G352" s="29"/>
      <c r="H352" s="29" t="str">
        <f t="shared" si="1"/>
        <v/>
      </c>
      <c r="I352" s="29" t="str">
        <f t="shared" si="2"/>
        <v/>
      </c>
      <c r="J352" s="29" t="str">
        <f>IF(A352="", "", IFERROR(VLOOKUP(A352, 'Master Roster'!A:H, 8, FALSE) - F352, ""))</f>
        <v/>
      </c>
      <c r="K352" s="29" t="s">
        <v>175</v>
      </c>
      <c r="L352" s="29" t="b">
        <v>0</v>
      </c>
      <c r="M352" s="29"/>
      <c r="N352" s="29" t="s">
        <v>175</v>
      </c>
      <c r="O352" s="29" t="str">
        <f>IF(ISBLANK(A352), "", LET(entry_day, VLOOKUP(A352, 'Master Roster'!$A:$G, 7, FALSE), start_date, DATE(E352, MONTH(D352&amp;" 1"), entry_day), end_date, EDATE(start_date, 1), period, TEXT(start_date, "mmm d, yyyy") &amp; " - " &amp; TEXT(end_date, "mmm d, yyyy"), HYPERLINK("https://wa.me/" &amp; VLOOKUP(A352, 'Master Roster'!$A:$F, 6, FALSE) &amp; "?text=" &amp; ENCODEURL("Hello " &amp; IFERROR(IF(VLOOKUP(A352, 'Master Roster'!$A:$J, 10, FALSE)="Male", "Mr. ", "Ms. "), "") &amp; B352 &amp; ", payment of K" &amp; F352 &amp; " received for " &amp; period &amp; ". Receipt No: " &amp; N352), "Send Receipt")))</f>
        <v/>
      </c>
    </row>
    <row r="353">
      <c r="A353" s="29"/>
      <c r="B353" s="29" t="s">
        <v>175</v>
      </c>
      <c r="C353" s="76"/>
      <c r="D353" s="29"/>
      <c r="E353" s="29"/>
      <c r="F353" s="29"/>
      <c r="G353" s="29"/>
      <c r="H353" s="29" t="str">
        <f t="shared" si="1"/>
        <v/>
      </c>
      <c r="I353" s="29" t="str">
        <f t="shared" si="2"/>
        <v/>
      </c>
      <c r="J353" s="29" t="str">
        <f>IF(A353="", "", IFERROR(VLOOKUP(A353, 'Master Roster'!A:H, 8, FALSE) - F353, ""))</f>
        <v/>
      </c>
      <c r="K353" s="29" t="s">
        <v>175</v>
      </c>
      <c r="L353" s="29" t="b">
        <v>0</v>
      </c>
      <c r="M353" s="29"/>
      <c r="N353" s="29" t="s">
        <v>175</v>
      </c>
      <c r="O353" s="29" t="str">
        <f>IF(ISBLANK(A353), "", LET(entry_day, VLOOKUP(A353, 'Master Roster'!$A:$G, 7, FALSE), start_date, DATE(E353, MONTH(D353&amp;" 1"), entry_day), end_date, EDATE(start_date, 1), period, TEXT(start_date, "mmm d, yyyy") &amp; " - " &amp; TEXT(end_date, "mmm d, yyyy"), HYPERLINK("https://wa.me/" &amp; VLOOKUP(A353, 'Master Roster'!$A:$F, 6, FALSE) &amp; "?text=" &amp; ENCODEURL("Hello " &amp; IFERROR(IF(VLOOKUP(A353, 'Master Roster'!$A:$J, 10, FALSE)="Male", "Mr. ", "Ms. "), "") &amp; B353 &amp; ", payment of K" &amp; F353 &amp; " received for " &amp; period &amp; ". Receipt No: " &amp; N353), "Send Receipt")))</f>
        <v/>
      </c>
    </row>
    <row r="354">
      <c r="A354" s="29"/>
      <c r="B354" s="29" t="s">
        <v>175</v>
      </c>
      <c r="C354" s="76"/>
      <c r="D354" s="29"/>
      <c r="E354" s="29"/>
      <c r="F354" s="29"/>
      <c r="G354" s="29"/>
      <c r="H354" s="29" t="str">
        <f t="shared" si="1"/>
        <v/>
      </c>
      <c r="I354" s="29" t="str">
        <f t="shared" si="2"/>
        <v/>
      </c>
      <c r="J354" s="29" t="str">
        <f>IF(A354="", "", IFERROR(VLOOKUP(A354, 'Master Roster'!A:H, 8, FALSE) - F354, ""))</f>
        <v/>
      </c>
      <c r="K354" s="29" t="s">
        <v>175</v>
      </c>
      <c r="L354" s="29" t="b">
        <v>0</v>
      </c>
      <c r="M354" s="29"/>
      <c r="N354" s="29" t="s">
        <v>175</v>
      </c>
      <c r="O354" s="29" t="str">
        <f>IF(ISBLANK(A354), "", LET(entry_day, VLOOKUP(A354, 'Master Roster'!$A:$G, 7, FALSE), start_date, DATE(E354, MONTH(D354&amp;" 1"), entry_day), end_date, EDATE(start_date, 1), period, TEXT(start_date, "mmm d, yyyy") &amp; " - " &amp; TEXT(end_date, "mmm d, yyyy"), HYPERLINK("https://wa.me/" &amp; VLOOKUP(A354, 'Master Roster'!$A:$F, 6, FALSE) &amp; "?text=" &amp; ENCODEURL("Hello " &amp; IFERROR(IF(VLOOKUP(A354, 'Master Roster'!$A:$J, 10, FALSE)="Male", "Mr. ", "Ms. "), "") &amp; B354 &amp; ", payment of K" &amp; F354 &amp; " received for " &amp; period &amp; ". Receipt No: " &amp; N354), "Send Receipt")))</f>
        <v/>
      </c>
    </row>
    <row r="355">
      <c r="A355" s="29"/>
      <c r="B355" s="29" t="s">
        <v>175</v>
      </c>
      <c r="C355" s="76"/>
      <c r="D355" s="29"/>
      <c r="E355" s="29"/>
      <c r="F355" s="29"/>
      <c r="G355" s="29"/>
      <c r="H355" s="29" t="str">
        <f t="shared" si="1"/>
        <v/>
      </c>
      <c r="I355" s="29" t="str">
        <f t="shared" si="2"/>
        <v/>
      </c>
      <c r="J355" s="29" t="str">
        <f>IF(A355="", "", IFERROR(VLOOKUP(A355, 'Master Roster'!A:H, 8, FALSE) - F355, ""))</f>
        <v/>
      </c>
      <c r="K355" s="29" t="s">
        <v>175</v>
      </c>
      <c r="L355" s="29" t="b">
        <v>0</v>
      </c>
      <c r="M355" s="29"/>
      <c r="N355" s="29" t="s">
        <v>175</v>
      </c>
      <c r="O355" s="29" t="str">
        <f>IF(ISBLANK(A355), "", LET(entry_day, VLOOKUP(A355, 'Master Roster'!$A:$G, 7, FALSE), start_date, DATE(E355, MONTH(D355&amp;" 1"), entry_day), end_date, EDATE(start_date, 1), period, TEXT(start_date, "mmm d, yyyy") &amp; " - " &amp; TEXT(end_date, "mmm d, yyyy"), HYPERLINK("https://wa.me/" &amp; VLOOKUP(A355, 'Master Roster'!$A:$F, 6, FALSE) &amp; "?text=" &amp; ENCODEURL("Hello " &amp; IFERROR(IF(VLOOKUP(A355, 'Master Roster'!$A:$J, 10, FALSE)="Male", "Mr. ", "Ms. "), "") &amp; B355 &amp; ", payment of K" &amp; F355 &amp; " received for " &amp; period &amp; ". Receipt No: " &amp; N355), "Send Receipt")))</f>
        <v/>
      </c>
    </row>
    <row r="356">
      <c r="A356" s="29"/>
      <c r="B356" s="29" t="s">
        <v>175</v>
      </c>
      <c r="C356" s="76"/>
      <c r="D356" s="29"/>
      <c r="E356" s="29"/>
      <c r="F356" s="29"/>
      <c r="G356" s="29"/>
      <c r="H356" s="29" t="str">
        <f t="shared" si="1"/>
        <v/>
      </c>
      <c r="I356" s="29" t="str">
        <f t="shared" si="2"/>
        <v/>
      </c>
      <c r="J356" s="29" t="str">
        <f>IF(A356="", "", IFERROR(VLOOKUP(A356, 'Master Roster'!A:H, 8, FALSE) - F356, ""))</f>
        <v/>
      </c>
      <c r="K356" s="29" t="s">
        <v>175</v>
      </c>
      <c r="L356" s="29" t="b">
        <v>0</v>
      </c>
      <c r="M356" s="29"/>
      <c r="N356" s="29" t="s">
        <v>175</v>
      </c>
      <c r="O356" s="29" t="str">
        <f>IF(ISBLANK(A356), "", LET(entry_day, VLOOKUP(A356, 'Master Roster'!$A:$G, 7, FALSE), start_date, DATE(E356, MONTH(D356&amp;" 1"), entry_day), end_date, EDATE(start_date, 1), period, TEXT(start_date, "mmm d, yyyy") &amp; " - " &amp; TEXT(end_date, "mmm d, yyyy"), HYPERLINK("https://wa.me/" &amp; VLOOKUP(A356, 'Master Roster'!$A:$F, 6, FALSE) &amp; "?text=" &amp; ENCODEURL("Hello " &amp; IFERROR(IF(VLOOKUP(A356, 'Master Roster'!$A:$J, 10, FALSE)="Male", "Mr. ", "Ms. "), "") &amp; B356 &amp; ", payment of K" &amp; F356 &amp; " received for " &amp; period &amp; ". Receipt No: " &amp; N356), "Send Receipt")))</f>
        <v/>
      </c>
    </row>
    <row r="357">
      <c r="A357" s="29"/>
      <c r="B357" s="29" t="s">
        <v>175</v>
      </c>
      <c r="C357" s="76"/>
      <c r="D357" s="29"/>
      <c r="E357" s="29"/>
      <c r="F357" s="29"/>
      <c r="G357" s="29"/>
      <c r="H357" s="29" t="str">
        <f t="shared" si="1"/>
        <v/>
      </c>
      <c r="I357" s="29" t="str">
        <f t="shared" si="2"/>
        <v/>
      </c>
      <c r="J357" s="29" t="str">
        <f>IF(A357="", "", IFERROR(VLOOKUP(A357, 'Master Roster'!A:H, 8, FALSE) - F357, ""))</f>
        <v/>
      </c>
      <c r="K357" s="29" t="s">
        <v>175</v>
      </c>
      <c r="L357" s="29" t="b">
        <v>0</v>
      </c>
      <c r="M357" s="29"/>
      <c r="N357" s="29" t="s">
        <v>175</v>
      </c>
      <c r="O357" s="29" t="str">
        <f>IF(ISBLANK(A357), "", LET(entry_day, VLOOKUP(A357, 'Master Roster'!$A:$G, 7, FALSE), start_date, DATE(E357, MONTH(D357&amp;" 1"), entry_day), end_date, EDATE(start_date, 1), period, TEXT(start_date, "mmm d, yyyy") &amp; " - " &amp; TEXT(end_date, "mmm d, yyyy"), HYPERLINK("https://wa.me/" &amp; VLOOKUP(A357, 'Master Roster'!$A:$F, 6, FALSE) &amp; "?text=" &amp; ENCODEURL("Hello " &amp; IFERROR(IF(VLOOKUP(A357, 'Master Roster'!$A:$J, 10, FALSE)="Male", "Mr. ", "Ms. "), "") &amp; B357 &amp; ", payment of K" &amp; F357 &amp; " received for " &amp; period &amp; ". Receipt No: " &amp; N357), "Send Receipt")))</f>
        <v/>
      </c>
    </row>
    <row r="358">
      <c r="A358" s="29"/>
      <c r="B358" s="29" t="s">
        <v>175</v>
      </c>
      <c r="C358" s="76"/>
      <c r="D358" s="29"/>
      <c r="E358" s="29"/>
      <c r="F358" s="29"/>
      <c r="G358" s="29"/>
      <c r="H358" s="29" t="str">
        <f t="shared" si="1"/>
        <v/>
      </c>
      <c r="I358" s="29" t="str">
        <f t="shared" si="2"/>
        <v/>
      </c>
      <c r="J358" s="29" t="str">
        <f>IF(A358="", "", IFERROR(VLOOKUP(A358, 'Master Roster'!A:H, 8, FALSE) - F358, ""))</f>
        <v/>
      </c>
      <c r="K358" s="29" t="s">
        <v>175</v>
      </c>
      <c r="L358" s="29" t="b">
        <v>0</v>
      </c>
      <c r="M358" s="29"/>
      <c r="N358" s="29" t="s">
        <v>175</v>
      </c>
      <c r="O358" s="29" t="str">
        <f>IF(ISBLANK(A358), "", LET(entry_day, VLOOKUP(A358, 'Master Roster'!$A:$G, 7, FALSE), start_date, DATE(E358, MONTH(D358&amp;" 1"), entry_day), end_date, EDATE(start_date, 1), period, TEXT(start_date, "mmm d, yyyy") &amp; " - " &amp; TEXT(end_date, "mmm d, yyyy"), HYPERLINK("https://wa.me/" &amp; VLOOKUP(A358, 'Master Roster'!$A:$F, 6, FALSE) &amp; "?text=" &amp; ENCODEURL("Hello " &amp; IFERROR(IF(VLOOKUP(A358, 'Master Roster'!$A:$J, 10, FALSE)="Male", "Mr. ", "Ms. "), "") &amp; B358 &amp; ", payment of K" &amp; F358 &amp; " received for " &amp; period &amp; ". Receipt No: " &amp; N358), "Send Receipt")))</f>
        <v/>
      </c>
    </row>
    <row r="359">
      <c r="A359" s="29"/>
      <c r="B359" s="29" t="s">
        <v>175</v>
      </c>
      <c r="C359" s="76"/>
      <c r="D359" s="29"/>
      <c r="E359" s="29"/>
      <c r="F359" s="29"/>
      <c r="G359" s="29"/>
      <c r="H359" s="29" t="str">
        <f t="shared" si="1"/>
        <v/>
      </c>
      <c r="I359" s="29" t="str">
        <f t="shared" si="2"/>
        <v/>
      </c>
      <c r="J359" s="29" t="str">
        <f>IF(A359="", "", IFERROR(VLOOKUP(A359, 'Master Roster'!A:H, 8, FALSE) - F359, ""))</f>
        <v/>
      </c>
      <c r="K359" s="29" t="s">
        <v>175</v>
      </c>
      <c r="L359" s="29" t="b">
        <v>0</v>
      </c>
      <c r="M359" s="29"/>
      <c r="N359" s="29" t="s">
        <v>175</v>
      </c>
      <c r="O359" s="29" t="str">
        <f>IF(ISBLANK(A359), "", LET(entry_day, VLOOKUP(A359, 'Master Roster'!$A:$G, 7, FALSE), start_date, DATE(E359, MONTH(D359&amp;" 1"), entry_day), end_date, EDATE(start_date, 1), period, TEXT(start_date, "mmm d, yyyy") &amp; " - " &amp; TEXT(end_date, "mmm d, yyyy"), HYPERLINK("https://wa.me/" &amp; VLOOKUP(A359, 'Master Roster'!$A:$F, 6, FALSE) &amp; "?text=" &amp; ENCODEURL("Hello " &amp; IFERROR(IF(VLOOKUP(A359, 'Master Roster'!$A:$J, 10, FALSE)="Male", "Mr. ", "Ms. "), "") &amp; B359 &amp; ", payment of K" &amp; F359 &amp; " received for " &amp; period &amp; ". Receipt No: " &amp; N359), "Send Receipt")))</f>
        <v/>
      </c>
    </row>
    <row r="360">
      <c r="A360" s="29"/>
      <c r="B360" s="29" t="s">
        <v>175</v>
      </c>
      <c r="C360" s="76"/>
      <c r="D360" s="29"/>
      <c r="E360" s="29"/>
      <c r="F360" s="29"/>
      <c r="G360" s="29"/>
      <c r="H360" s="29" t="str">
        <f t="shared" si="1"/>
        <v/>
      </c>
      <c r="I360" s="29" t="str">
        <f t="shared" si="2"/>
        <v/>
      </c>
      <c r="J360" s="29" t="str">
        <f>IF(A360="", "", IFERROR(VLOOKUP(A360, 'Master Roster'!A:H, 8, FALSE) - F360, ""))</f>
        <v/>
      </c>
      <c r="K360" s="29" t="s">
        <v>175</v>
      </c>
      <c r="L360" s="29" t="b">
        <v>0</v>
      </c>
      <c r="M360" s="29"/>
      <c r="N360" s="29" t="s">
        <v>175</v>
      </c>
      <c r="O360" s="29" t="str">
        <f>IF(ISBLANK(A360), "", LET(entry_day, VLOOKUP(A360, 'Master Roster'!$A:$G, 7, FALSE), start_date, DATE(E360, MONTH(D360&amp;" 1"), entry_day), end_date, EDATE(start_date, 1), period, TEXT(start_date, "mmm d, yyyy") &amp; " - " &amp; TEXT(end_date, "mmm d, yyyy"), HYPERLINK("https://wa.me/" &amp; VLOOKUP(A360, 'Master Roster'!$A:$F, 6, FALSE) &amp; "?text=" &amp; ENCODEURL("Hello " &amp; IFERROR(IF(VLOOKUP(A360, 'Master Roster'!$A:$J, 10, FALSE)="Male", "Mr. ", "Ms. "), "") &amp; B360 &amp; ", payment of K" &amp; F360 &amp; " received for " &amp; period &amp; ". Receipt No: " &amp; N360), "Send Receipt")))</f>
        <v/>
      </c>
    </row>
    <row r="361">
      <c r="A361" s="29"/>
      <c r="B361" s="29" t="s">
        <v>175</v>
      </c>
      <c r="C361" s="76"/>
      <c r="D361" s="29"/>
      <c r="E361" s="29"/>
      <c r="F361" s="29"/>
      <c r="G361" s="29"/>
      <c r="H361" s="29" t="str">
        <f t="shared" si="1"/>
        <v/>
      </c>
      <c r="I361" s="29" t="str">
        <f t="shared" si="2"/>
        <v/>
      </c>
      <c r="J361" s="29" t="str">
        <f>IF(A361="", "", IFERROR(VLOOKUP(A361, 'Master Roster'!A:H, 8, FALSE) - F361, ""))</f>
        <v/>
      </c>
      <c r="K361" s="29" t="s">
        <v>175</v>
      </c>
      <c r="L361" s="29" t="b">
        <v>0</v>
      </c>
      <c r="M361" s="29"/>
      <c r="N361" s="29" t="s">
        <v>175</v>
      </c>
      <c r="O361" s="29" t="str">
        <f>IF(ISBLANK(A361), "", LET(entry_day, VLOOKUP(A361, 'Master Roster'!$A:$G, 7, FALSE), start_date, DATE(E361, MONTH(D361&amp;" 1"), entry_day), end_date, EDATE(start_date, 1), period, TEXT(start_date, "mmm d, yyyy") &amp; " - " &amp; TEXT(end_date, "mmm d, yyyy"), HYPERLINK("https://wa.me/" &amp; VLOOKUP(A361, 'Master Roster'!$A:$F, 6, FALSE) &amp; "?text=" &amp; ENCODEURL("Hello " &amp; IFERROR(IF(VLOOKUP(A361, 'Master Roster'!$A:$J, 10, FALSE)="Male", "Mr. ", "Ms. "), "") &amp; B361 &amp; ", payment of K" &amp; F361 &amp; " received for " &amp; period &amp; ". Receipt No: " &amp; N361), "Send Receipt")))</f>
        <v/>
      </c>
    </row>
    <row r="362">
      <c r="A362" s="29"/>
      <c r="B362" s="29" t="s">
        <v>175</v>
      </c>
      <c r="C362" s="76"/>
      <c r="D362" s="29"/>
      <c r="E362" s="29"/>
      <c r="F362" s="29"/>
      <c r="G362" s="29"/>
      <c r="H362" s="29" t="str">
        <f t="shared" si="1"/>
        <v/>
      </c>
      <c r="I362" s="29" t="str">
        <f t="shared" si="2"/>
        <v/>
      </c>
      <c r="J362" s="29" t="str">
        <f>IF(A362="", "", IFERROR(VLOOKUP(A362, 'Master Roster'!A:H, 8, FALSE) - F362, ""))</f>
        <v/>
      </c>
      <c r="K362" s="29" t="s">
        <v>175</v>
      </c>
      <c r="L362" s="29" t="b">
        <v>0</v>
      </c>
      <c r="M362" s="29"/>
      <c r="N362" s="29" t="s">
        <v>175</v>
      </c>
      <c r="O362" s="29" t="str">
        <f>IF(ISBLANK(A362), "", LET(entry_day, VLOOKUP(A362, 'Master Roster'!$A:$G, 7, FALSE), start_date, DATE(E362, MONTH(D362&amp;" 1"), entry_day), end_date, EDATE(start_date, 1), period, TEXT(start_date, "mmm d, yyyy") &amp; " - " &amp; TEXT(end_date, "mmm d, yyyy"), HYPERLINK("https://wa.me/" &amp; VLOOKUP(A362, 'Master Roster'!$A:$F, 6, FALSE) &amp; "?text=" &amp; ENCODEURL("Hello " &amp; IFERROR(IF(VLOOKUP(A362, 'Master Roster'!$A:$J, 10, FALSE)="Male", "Mr. ", "Ms. "), "") &amp; B362 &amp; ", payment of K" &amp; F362 &amp; " received for " &amp; period &amp; ". Receipt No: " &amp; N362), "Send Receipt")))</f>
        <v/>
      </c>
    </row>
    <row r="363">
      <c r="A363" s="29"/>
      <c r="B363" s="29" t="s">
        <v>175</v>
      </c>
      <c r="C363" s="76"/>
      <c r="D363" s="29"/>
      <c r="E363" s="29"/>
      <c r="F363" s="29"/>
      <c r="G363" s="29"/>
      <c r="H363" s="29" t="str">
        <f t="shared" si="1"/>
        <v/>
      </c>
      <c r="I363" s="29" t="str">
        <f t="shared" si="2"/>
        <v/>
      </c>
      <c r="J363" s="29" t="str">
        <f>IF(A363="", "", IFERROR(VLOOKUP(A363, 'Master Roster'!A:H, 8, FALSE) - F363, ""))</f>
        <v/>
      </c>
      <c r="K363" s="29" t="s">
        <v>175</v>
      </c>
      <c r="L363" s="29" t="b">
        <v>0</v>
      </c>
      <c r="M363" s="29"/>
      <c r="N363" s="29" t="s">
        <v>175</v>
      </c>
      <c r="O363" s="29" t="str">
        <f>IF(ISBLANK(A363), "", LET(entry_day, VLOOKUP(A363, 'Master Roster'!$A:$G, 7, FALSE), start_date, DATE(E363, MONTH(D363&amp;" 1"), entry_day), end_date, EDATE(start_date, 1), period, TEXT(start_date, "mmm d, yyyy") &amp; " - " &amp; TEXT(end_date, "mmm d, yyyy"), HYPERLINK("https://wa.me/" &amp; VLOOKUP(A363, 'Master Roster'!$A:$F, 6, FALSE) &amp; "?text=" &amp; ENCODEURL("Hello " &amp; IFERROR(IF(VLOOKUP(A363, 'Master Roster'!$A:$J, 10, FALSE)="Male", "Mr. ", "Ms. "), "") &amp; B363 &amp; ", payment of K" &amp; F363 &amp; " received for " &amp; period &amp; ". Receipt No: " &amp; N363), "Send Receipt")))</f>
        <v/>
      </c>
    </row>
    <row r="364">
      <c r="A364" s="29"/>
      <c r="B364" s="29" t="s">
        <v>175</v>
      </c>
      <c r="C364" s="76"/>
      <c r="D364" s="29"/>
      <c r="E364" s="29"/>
      <c r="F364" s="29"/>
      <c r="G364" s="29"/>
      <c r="H364" s="29" t="str">
        <f t="shared" si="1"/>
        <v/>
      </c>
      <c r="I364" s="29" t="str">
        <f t="shared" si="2"/>
        <v/>
      </c>
      <c r="J364" s="29" t="str">
        <f>IF(A364="", "", IFERROR(VLOOKUP(A364, 'Master Roster'!A:H, 8, FALSE) - F364, ""))</f>
        <v/>
      </c>
      <c r="K364" s="29" t="s">
        <v>175</v>
      </c>
      <c r="L364" s="29" t="b">
        <v>0</v>
      </c>
      <c r="M364" s="29"/>
      <c r="N364" s="29" t="s">
        <v>175</v>
      </c>
      <c r="O364" s="29" t="str">
        <f>IF(ISBLANK(A364), "", LET(entry_day, VLOOKUP(A364, 'Master Roster'!$A:$G, 7, FALSE), start_date, DATE(E364, MONTH(D364&amp;" 1"), entry_day), end_date, EDATE(start_date, 1), period, TEXT(start_date, "mmm d, yyyy") &amp; " - " &amp; TEXT(end_date, "mmm d, yyyy"), HYPERLINK("https://wa.me/" &amp; VLOOKUP(A364, 'Master Roster'!$A:$F, 6, FALSE) &amp; "?text=" &amp; ENCODEURL("Hello " &amp; IFERROR(IF(VLOOKUP(A364, 'Master Roster'!$A:$J, 10, FALSE)="Male", "Mr. ", "Ms. "), "") &amp; B364 &amp; ", payment of K" &amp; F364 &amp; " received for " &amp; period &amp; ". Receipt No: " &amp; N364), "Send Receipt")))</f>
        <v/>
      </c>
    </row>
    <row r="365">
      <c r="A365" s="29"/>
      <c r="B365" s="29" t="s">
        <v>175</v>
      </c>
      <c r="C365" s="76"/>
      <c r="D365" s="29"/>
      <c r="E365" s="29"/>
      <c r="F365" s="29"/>
      <c r="G365" s="29"/>
      <c r="H365" s="29" t="str">
        <f t="shared" si="1"/>
        <v/>
      </c>
      <c r="I365" s="29" t="str">
        <f t="shared" si="2"/>
        <v/>
      </c>
      <c r="J365" s="29" t="str">
        <f>IF(A365="", "", IFERROR(VLOOKUP(A365, 'Master Roster'!A:H, 8, FALSE) - F365, ""))</f>
        <v/>
      </c>
      <c r="K365" s="29" t="s">
        <v>175</v>
      </c>
      <c r="L365" s="29" t="b">
        <v>0</v>
      </c>
      <c r="M365" s="29"/>
      <c r="N365" s="29" t="s">
        <v>175</v>
      </c>
      <c r="O365" s="29" t="str">
        <f>IF(ISBLANK(A365), "", LET(entry_day, VLOOKUP(A365, 'Master Roster'!$A:$G, 7, FALSE), start_date, DATE(E365, MONTH(D365&amp;" 1"), entry_day), end_date, EDATE(start_date, 1), period, TEXT(start_date, "mmm d, yyyy") &amp; " - " &amp; TEXT(end_date, "mmm d, yyyy"), HYPERLINK("https://wa.me/" &amp; VLOOKUP(A365, 'Master Roster'!$A:$F, 6, FALSE) &amp; "?text=" &amp; ENCODEURL("Hello " &amp; IFERROR(IF(VLOOKUP(A365, 'Master Roster'!$A:$J, 10, FALSE)="Male", "Mr. ", "Ms. "), "") &amp; B365 &amp; ", payment of K" &amp; F365 &amp; " received for " &amp; period &amp; ". Receipt No: " &amp; N365), "Send Receipt")))</f>
        <v/>
      </c>
    </row>
    <row r="366">
      <c r="A366" s="29"/>
      <c r="B366" s="29" t="s">
        <v>175</v>
      </c>
      <c r="C366" s="76"/>
      <c r="D366" s="29"/>
      <c r="E366" s="29"/>
      <c r="F366" s="29"/>
      <c r="G366" s="29"/>
      <c r="H366" s="29" t="str">
        <f t="shared" si="1"/>
        <v/>
      </c>
      <c r="I366" s="29" t="str">
        <f t="shared" si="2"/>
        <v/>
      </c>
      <c r="J366" s="29" t="str">
        <f>IF(A366="", "", IFERROR(VLOOKUP(A366, 'Master Roster'!A:H, 8, FALSE) - F366, ""))</f>
        <v/>
      </c>
      <c r="K366" s="29" t="s">
        <v>175</v>
      </c>
      <c r="L366" s="29" t="b">
        <v>0</v>
      </c>
      <c r="M366" s="29"/>
      <c r="N366" s="29" t="s">
        <v>175</v>
      </c>
      <c r="O366" s="29" t="str">
        <f>IF(ISBLANK(A366), "", LET(entry_day, VLOOKUP(A366, 'Master Roster'!$A:$G, 7, FALSE), start_date, DATE(E366, MONTH(D366&amp;" 1"), entry_day), end_date, EDATE(start_date, 1), period, TEXT(start_date, "mmm d, yyyy") &amp; " - " &amp; TEXT(end_date, "mmm d, yyyy"), HYPERLINK("https://wa.me/" &amp; VLOOKUP(A366, 'Master Roster'!$A:$F, 6, FALSE) &amp; "?text=" &amp; ENCODEURL("Hello " &amp; IFERROR(IF(VLOOKUP(A366, 'Master Roster'!$A:$J, 10, FALSE)="Male", "Mr. ", "Ms. "), "") &amp; B366 &amp; ", payment of K" &amp; F366 &amp; " received for " &amp; period &amp; ". Receipt No: " &amp; N366), "Send Receipt")))</f>
        <v/>
      </c>
    </row>
    <row r="367">
      <c r="A367" s="29"/>
      <c r="B367" s="29" t="s">
        <v>175</v>
      </c>
      <c r="C367" s="76"/>
      <c r="D367" s="29"/>
      <c r="E367" s="29"/>
      <c r="F367" s="29"/>
      <c r="G367" s="29"/>
      <c r="H367" s="29" t="str">
        <f t="shared" si="1"/>
        <v/>
      </c>
      <c r="I367" s="29" t="str">
        <f t="shared" si="2"/>
        <v/>
      </c>
      <c r="J367" s="29" t="str">
        <f>IF(A367="", "", IFERROR(VLOOKUP(A367, 'Master Roster'!A:H, 8, FALSE) - F367, ""))</f>
        <v/>
      </c>
      <c r="K367" s="29" t="s">
        <v>175</v>
      </c>
      <c r="L367" s="29" t="b">
        <v>0</v>
      </c>
      <c r="M367" s="29"/>
      <c r="N367" s="29" t="s">
        <v>175</v>
      </c>
      <c r="O367" s="29" t="str">
        <f>IF(ISBLANK(A367), "", LET(entry_day, VLOOKUP(A367, 'Master Roster'!$A:$G, 7, FALSE), start_date, DATE(E367, MONTH(D367&amp;" 1"), entry_day), end_date, EDATE(start_date, 1), period, TEXT(start_date, "mmm d, yyyy") &amp; " - " &amp; TEXT(end_date, "mmm d, yyyy"), HYPERLINK("https://wa.me/" &amp; VLOOKUP(A367, 'Master Roster'!$A:$F, 6, FALSE) &amp; "?text=" &amp; ENCODEURL("Hello " &amp; IFERROR(IF(VLOOKUP(A367, 'Master Roster'!$A:$J, 10, FALSE)="Male", "Mr. ", "Ms. "), "") &amp; B367 &amp; ", payment of K" &amp; F367 &amp; " received for " &amp; period &amp; ". Receipt No: " &amp; N367), "Send Receipt")))</f>
        <v/>
      </c>
    </row>
    <row r="368">
      <c r="A368" s="29"/>
      <c r="B368" s="29" t="s">
        <v>175</v>
      </c>
      <c r="C368" s="76"/>
      <c r="D368" s="29"/>
      <c r="E368" s="29"/>
      <c r="F368" s="29"/>
      <c r="G368" s="29"/>
      <c r="H368" s="29" t="str">
        <f t="shared" si="1"/>
        <v/>
      </c>
      <c r="I368" s="29" t="str">
        <f t="shared" si="2"/>
        <v/>
      </c>
      <c r="J368" s="29" t="str">
        <f>IF(A368="", "", IFERROR(VLOOKUP(A368, 'Master Roster'!A:H, 8, FALSE) - F368, ""))</f>
        <v/>
      </c>
      <c r="K368" s="29" t="s">
        <v>175</v>
      </c>
      <c r="L368" s="29" t="b">
        <v>0</v>
      </c>
      <c r="M368" s="29"/>
      <c r="N368" s="29" t="s">
        <v>175</v>
      </c>
      <c r="O368" s="29" t="str">
        <f>IF(ISBLANK(A368), "", LET(entry_day, VLOOKUP(A368, 'Master Roster'!$A:$G, 7, FALSE), start_date, DATE(E368, MONTH(D368&amp;" 1"), entry_day), end_date, EDATE(start_date, 1), period, TEXT(start_date, "mmm d, yyyy") &amp; " - " &amp; TEXT(end_date, "mmm d, yyyy"), HYPERLINK("https://wa.me/" &amp; VLOOKUP(A368, 'Master Roster'!$A:$F, 6, FALSE) &amp; "?text=" &amp; ENCODEURL("Hello " &amp; IFERROR(IF(VLOOKUP(A368, 'Master Roster'!$A:$J, 10, FALSE)="Male", "Mr. ", "Ms. "), "") &amp; B368 &amp; ", payment of K" &amp; F368 &amp; " received for " &amp; period &amp; ". Receipt No: " &amp; N368), "Send Receipt")))</f>
        <v/>
      </c>
    </row>
    <row r="369">
      <c r="A369" s="29"/>
      <c r="B369" s="29" t="s">
        <v>175</v>
      </c>
      <c r="C369" s="76"/>
      <c r="D369" s="29"/>
      <c r="E369" s="29"/>
      <c r="F369" s="29"/>
      <c r="G369" s="29"/>
      <c r="H369" s="29" t="str">
        <f t="shared" si="1"/>
        <v/>
      </c>
      <c r="I369" s="29" t="str">
        <f t="shared" si="2"/>
        <v/>
      </c>
      <c r="J369" s="29" t="str">
        <f>IF(A369="", "", IFERROR(VLOOKUP(A369, 'Master Roster'!A:H, 8, FALSE) - F369, ""))</f>
        <v/>
      </c>
      <c r="K369" s="29" t="s">
        <v>175</v>
      </c>
      <c r="L369" s="29" t="b">
        <v>0</v>
      </c>
      <c r="M369" s="29"/>
      <c r="N369" s="29" t="s">
        <v>175</v>
      </c>
      <c r="O369" s="29" t="str">
        <f>IF(ISBLANK(A369), "", LET(entry_day, VLOOKUP(A369, 'Master Roster'!$A:$G, 7, FALSE), start_date, DATE(E369, MONTH(D369&amp;" 1"), entry_day), end_date, EDATE(start_date, 1), period, TEXT(start_date, "mmm d, yyyy") &amp; " - " &amp; TEXT(end_date, "mmm d, yyyy"), HYPERLINK("https://wa.me/" &amp; VLOOKUP(A369, 'Master Roster'!$A:$F, 6, FALSE) &amp; "?text=" &amp; ENCODEURL("Hello " &amp; IFERROR(IF(VLOOKUP(A369, 'Master Roster'!$A:$J, 10, FALSE)="Male", "Mr. ", "Ms. "), "") &amp; B369 &amp; ", payment of K" &amp; F369 &amp; " received for " &amp; period &amp; ". Receipt No: " &amp; N369), "Send Receipt")))</f>
        <v/>
      </c>
    </row>
    <row r="370">
      <c r="A370" s="29"/>
      <c r="B370" s="29" t="s">
        <v>175</v>
      </c>
      <c r="C370" s="76"/>
      <c r="D370" s="29"/>
      <c r="E370" s="29"/>
      <c r="F370" s="29"/>
      <c r="G370" s="29"/>
      <c r="H370" s="29" t="str">
        <f t="shared" si="1"/>
        <v/>
      </c>
      <c r="I370" s="29" t="str">
        <f t="shared" si="2"/>
        <v/>
      </c>
      <c r="J370" s="29" t="str">
        <f>IF(A370="", "", IFERROR(VLOOKUP(A370, 'Master Roster'!A:H, 8, FALSE) - F370, ""))</f>
        <v/>
      </c>
      <c r="K370" s="29" t="s">
        <v>175</v>
      </c>
      <c r="L370" s="29" t="b">
        <v>0</v>
      </c>
      <c r="M370" s="29"/>
      <c r="N370" s="29" t="s">
        <v>175</v>
      </c>
      <c r="O370" s="29" t="str">
        <f>IF(ISBLANK(A370), "", LET(entry_day, VLOOKUP(A370, 'Master Roster'!$A:$G, 7, FALSE), start_date, DATE(E370, MONTH(D370&amp;" 1"), entry_day), end_date, EDATE(start_date, 1), period, TEXT(start_date, "mmm d, yyyy") &amp; " - " &amp; TEXT(end_date, "mmm d, yyyy"), HYPERLINK("https://wa.me/" &amp; VLOOKUP(A370, 'Master Roster'!$A:$F, 6, FALSE) &amp; "?text=" &amp; ENCODEURL("Hello " &amp; IFERROR(IF(VLOOKUP(A370, 'Master Roster'!$A:$J, 10, FALSE)="Male", "Mr. ", "Ms. "), "") &amp; B370 &amp; ", payment of K" &amp; F370 &amp; " received for " &amp; period &amp; ". Receipt No: " &amp; N370), "Send Receipt")))</f>
        <v/>
      </c>
    </row>
    <row r="371">
      <c r="A371" s="29"/>
      <c r="B371" s="29" t="s">
        <v>175</v>
      </c>
      <c r="C371" s="76"/>
      <c r="D371" s="29"/>
      <c r="E371" s="29"/>
      <c r="F371" s="29"/>
      <c r="G371" s="29"/>
      <c r="H371" s="29" t="str">
        <f t="shared" si="1"/>
        <v/>
      </c>
      <c r="I371" s="29" t="str">
        <f t="shared" si="2"/>
        <v/>
      </c>
      <c r="J371" s="29" t="str">
        <f>IF(A371="", "", IFERROR(VLOOKUP(A371, 'Master Roster'!A:H, 8, FALSE) - F371, ""))</f>
        <v/>
      </c>
      <c r="K371" s="29" t="s">
        <v>175</v>
      </c>
      <c r="L371" s="29" t="b">
        <v>0</v>
      </c>
      <c r="M371" s="29"/>
      <c r="N371" s="29" t="s">
        <v>175</v>
      </c>
      <c r="O371" s="29" t="str">
        <f>IF(ISBLANK(A371), "", LET(entry_day, VLOOKUP(A371, 'Master Roster'!$A:$G, 7, FALSE), start_date, DATE(E371, MONTH(D371&amp;" 1"), entry_day), end_date, EDATE(start_date, 1), period, TEXT(start_date, "mmm d, yyyy") &amp; " - " &amp; TEXT(end_date, "mmm d, yyyy"), HYPERLINK("https://wa.me/" &amp; VLOOKUP(A371, 'Master Roster'!$A:$F, 6, FALSE) &amp; "?text=" &amp; ENCODEURL("Hello " &amp; IFERROR(IF(VLOOKUP(A371, 'Master Roster'!$A:$J, 10, FALSE)="Male", "Mr. ", "Ms. "), "") &amp; B371 &amp; ", payment of K" &amp; F371 &amp; " received for " &amp; period &amp; ". Receipt No: " &amp; N371), "Send Receipt")))</f>
        <v/>
      </c>
    </row>
    <row r="372">
      <c r="A372" s="29"/>
      <c r="B372" s="29" t="s">
        <v>175</v>
      </c>
      <c r="C372" s="76"/>
      <c r="D372" s="29"/>
      <c r="E372" s="29"/>
      <c r="F372" s="29"/>
      <c r="G372" s="29"/>
      <c r="H372" s="29" t="str">
        <f t="shared" si="1"/>
        <v/>
      </c>
      <c r="I372" s="29" t="str">
        <f t="shared" si="2"/>
        <v/>
      </c>
      <c r="J372" s="29" t="str">
        <f>IF(A372="", "", IFERROR(VLOOKUP(A372, 'Master Roster'!A:H, 8, FALSE) - F372, ""))</f>
        <v/>
      </c>
      <c r="K372" s="29" t="s">
        <v>175</v>
      </c>
      <c r="L372" s="29" t="b">
        <v>0</v>
      </c>
      <c r="M372" s="29"/>
      <c r="N372" s="29" t="s">
        <v>175</v>
      </c>
      <c r="O372" s="29" t="str">
        <f>IF(ISBLANK(A372), "", LET(entry_day, VLOOKUP(A372, 'Master Roster'!$A:$G, 7, FALSE), start_date, DATE(E372, MONTH(D372&amp;" 1"), entry_day), end_date, EDATE(start_date, 1), period, TEXT(start_date, "mmm d, yyyy") &amp; " - " &amp; TEXT(end_date, "mmm d, yyyy"), HYPERLINK("https://wa.me/" &amp; VLOOKUP(A372, 'Master Roster'!$A:$F, 6, FALSE) &amp; "?text=" &amp; ENCODEURL("Hello " &amp; IFERROR(IF(VLOOKUP(A372, 'Master Roster'!$A:$J, 10, FALSE)="Male", "Mr. ", "Ms. "), "") &amp; B372 &amp; ", payment of K" &amp; F372 &amp; " received for " &amp; period &amp; ". Receipt No: " &amp; N372), "Send Receipt")))</f>
        <v/>
      </c>
    </row>
    <row r="373">
      <c r="A373" s="29"/>
      <c r="B373" s="29" t="s">
        <v>175</v>
      </c>
      <c r="C373" s="76"/>
      <c r="D373" s="29"/>
      <c r="E373" s="29"/>
      <c r="F373" s="29"/>
      <c r="G373" s="29"/>
      <c r="H373" s="29" t="str">
        <f t="shared" si="1"/>
        <v/>
      </c>
      <c r="I373" s="29" t="str">
        <f t="shared" si="2"/>
        <v/>
      </c>
      <c r="J373" s="29" t="str">
        <f>IF(A373="", "", IFERROR(VLOOKUP(A373, 'Master Roster'!A:H, 8, FALSE) - F373, ""))</f>
        <v/>
      </c>
      <c r="K373" s="29" t="s">
        <v>175</v>
      </c>
      <c r="L373" s="29" t="b">
        <v>0</v>
      </c>
      <c r="M373" s="29"/>
      <c r="N373" s="29" t="s">
        <v>175</v>
      </c>
      <c r="O373" s="29" t="str">
        <f>IF(ISBLANK(A373), "", LET(entry_day, VLOOKUP(A373, 'Master Roster'!$A:$G, 7, FALSE), start_date, DATE(E373, MONTH(D373&amp;" 1"), entry_day), end_date, EDATE(start_date, 1), period, TEXT(start_date, "mmm d, yyyy") &amp; " - " &amp; TEXT(end_date, "mmm d, yyyy"), HYPERLINK("https://wa.me/" &amp; VLOOKUP(A373, 'Master Roster'!$A:$F, 6, FALSE) &amp; "?text=" &amp; ENCODEURL("Hello " &amp; IFERROR(IF(VLOOKUP(A373, 'Master Roster'!$A:$J, 10, FALSE)="Male", "Mr. ", "Ms. "), "") &amp; B373 &amp; ", payment of K" &amp; F373 &amp; " received for " &amp; period &amp; ". Receipt No: " &amp; N373), "Send Receipt")))</f>
        <v/>
      </c>
    </row>
    <row r="374">
      <c r="A374" s="29"/>
      <c r="B374" s="29" t="s">
        <v>175</v>
      </c>
      <c r="C374" s="76"/>
      <c r="D374" s="29"/>
      <c r="E374" s="29"/>
      <c r="F374" s="29"/>
      <c r="G374" s="29"/>
      <c r="H374" s="29" t="str">
        <f t="shared" si="1"/>
        <v/>
      </c>
      <c r="I374" s="29" t="str">
        <f t="shared" si="2"/>
        <v/>
      </c>
      <c r="J374" s="29" t="str">
        <f>IF(A374="", "", IFERROR(VLOOKUP(A374, 'Master Roster'!A:H, 8, FALSE) - F374, ""))</f>
        <v/>
      </c>
      <c r="K374" s="29" t="s">
        <v>175</v>
      </c>
      <c r="L374" s="29" t="b">
        <v>0</v>
      </c>
      <c r="M374" s="29"/>
      <c r="N374" s="29" t="s">
        <v>175</v>
      </c>
      <c r="O374" s="29" t="str">
        <f>IF(ISBLANK(A374), "", LET(entry_day, VLOOKUP(A374, 'Master Roster'!$A:$G, 7, FALSE), start_date, DATE(E374, MONTH(D374&amp;" 1"), entry_day), end_date, EDATE(start_date, 1), period, TEXT(start_date, "mmm d, yyyy") &amp; " - " &amp; TEXT(end_date, "mmm d, yyyy"), HYPERLINK("https://wa.me/" &amp; VLOOKUP(A374, 'Master Roster'!$A:$F, 6, FALSE) &amp; "?text=" &amp; ENCODEURL("Hello " &amp; IFERROR(IF(VLOOKUP(A374, 'Master Roster'!$A:$J, 10, FALSE)="Male", "Mr. ", "Ms. "), "") &amp; B374 &amp; ", payment of K" &amp; F374 &amp; " received for " &amp; period &amp; ". Receipt No: " &amp; N374), "Send Receipt")))</f>
        <v/>
      </c>
    </row>
    <row r="375">
      <c r="A375" s="29"/>
      <c r="B375" s="29" t="s">
        <v>175</v>
      </c>
      <c r="C375" s="76"/>
      <c r="D375" s="29"/>
      <c r="E375" s="29"/>
      <c r="F375" s="29"/>
      <c r="G375" s="29"/>
      <c r="H375" s="29" t="str">
        <f t="shared" si="1"/>
        <v/>
      </c>
      <c r="I375" s="29" t="str">
        <f t="shared" si="2"/>
        <v/>
      </c>
      <c r="J375" s="29" t="str">
        <f>IF(A375="", "", IFERROR(VLOOKUP(A375, 'Master Roster'!A:H, 8, FALSE) - F375, ""))</f>
        <v/>
      </c>
      <c r="K375" s="29" t="s">
        <v>175</v>
      </c>
      <c r="L375" s="29" t="b">
        <v>0</v>
      </c>
      <c r="M375" s="29"/>
      <c r="N375" s="29" t="s">
        <v>175</v>
      </c>
      <c r="O375" s="29" t="str">
        <f>IF(ISBLANK(A375), "", LET(entry_day, VLOOKUP(A375, 'Master Roster'!$A:$G, 7, FALSE), start_date, DATE(E375, MONTH(D375&amp;" 1"), entry_day), end_date, EDATE(start_date, 1), period, TEXT(start_date, "mmm d, yyyy") &amp; " - " &amp; TEXT(end_date, "mmm d, yyyy"), HYPERLINK("https://wa.me/" &amp; VLOOKUP(A375, 'Master Roster'!$A:$F, 6, FALSE) &amp; "?text=" &amp; ENCODEURL("Hello " &amp; IFERROR(IF(VLOOKUP(A375, 'Master Roster'!$A:$J, 10, FALSE)="Male", "Mr. ", "Ms. "), "") &amp; B375 &amp; ", payment of K" &amp; F375 &amp; " received for " &amp; period &amp; ". Receipt No: " &amp; N375), "Send Receipt")))</f>
        <v/>
      </c>
    </row>
    <row r="376">
      <c r="A376" s="29"/>
      <c r="B376" s="29" t="s">
        <v>175</v>
      </c>
      <c r="C376" s="76"/>
      <c r="D376" s="29"/>
      <c r="E376" s="29"/>
      <c r="F376" s="29"/>
      <c r="G376" s="29"/>
      <c r="H376" s="29" t="str">
        <f t="shared" si="1"/>
        <v/>
      </c>
      <c r="I376" s="29" t="str">
        <f t="shared" si="2"/>
        <v/>
      </c>
      <c r="J376" s="29" t="str">
        <f>IF(A376="", "", IFERROR(VLOOKUP(A376, 'Master Roster'!A:H, 8, FALSE) - F376, ""))</f>
        <v/>
      </c>
      <c r="K376" s="29" t="s">
        <v>175</v>
      </c>
      <c r="L376" s="29" t="b">
        <v>0</v>
      </c>
      <c r="M376" s="29"/>
      <c r="N376" s="29" t="s">
        <v>175</v>
      </c>
      <c r="O376" s="29" t="str">
        <f>IF(ISBLANK(A376), "", LET(entry_day, VLOOKUP(A376, 'Master Roster'!$A:$G, 7, FALSE), start_date, DATE(E376, MONTH(D376&amp;" 1"), entry_day), end_date, EDATE(start_date, 1), period, TEXT(start_date, "mmm d, yyyy") &amp; " - " &amp; TEXT(end_date, "mmm d, yyyy"), HYPERLINK("https://wa.me/" &amp; VLOOKUP(A376, 'Master Roster'!$A:$F, 6, FALSE) &amp; "?text=" &amp; ENCODEURL("Hello " &amp; IFERROR(IF(VLOOKUP(A376, 'Master Roster'!$A:$J, 10, FALSE)="Male", "Mr. ", "Ms. "), "") &amp; B376 &amp; ", payment of K" &amp; F376 &amp; " received for " &amp; period &amp; ". Receipt No: " &amp; N376), "Send Receipt")))</f>
        <v/>
      </c>
    </row>
    <row r="377">
      <c r="A377" s="29"/>
      <c r="B377" s="29" t="s">
        <v>175</v>
      </c>
      <c r="C377" s="76"/>
      <c r="D377" s="29"/>
      <c r="E377" s="29"/>
      <c r="F377" s="29"/>
      <c r="G377" s="29"/>
      <c r="H377" s="29" t="str">
        <f t="shared" si="1"/>
        <v/>
      </c>
      <c r="I377" s="29" t="str">
        <f t="shared" si="2"/>
        <v/>
      </c>
      <c r="J377" s="29" t="str">
        <f>IF(A377="", "", IFERROR(VLOOKUP(A377, 'Master Roster'!A:H, 8, FALSE) - F377, ""))</f>
        <v/>
      </c>
      <c r="K377" s="29" t="s">
        <v>175</v>
      </c>
      <c r="L377" s="29" t="b">
        <v>0</v>
      </c>
      <c r="M377" s="29"/>
      <c r="N377" s="29" t="s">
        <v>175</v>
      </c>
      <c r="O377" s="29" t="str">
        <f>IF(ISBLANK(A377), "", LET(entry_day, VLOOKUP(A377, 'Master Roster'!$A:$G, 7, FALSE), start_date, DATE(E377, MONTH(D377&amp;" 1"), entry_day), end_date, EDATE(start_date, 1), period, TEXT(start_date, "mmm d, yyyy") &amp; " - " &amp; TEXT(end_date, "mmm d, yyyy"), HYPERLINK("https://wa.me/" &amp; VLOOKUP(A377, 'Master Roster'!$A:$F, 6, FALSE) &amp; "?text=" &amp; ENCODEURL("Hello " &amp; IFERROR(IF(VLOOKUP(A377, 'Master Roster'!$A:$J, 10, FALSE)="Male", "Mr. ", "Ms. "), "") &amp; B377 &amp; ", payment of K" &amp; F377 &amp; " received for " &amp; period &amp; ". Receipt No: " &amp; N377), "Send Receipt")))</f>
        <v/>
      </c>
    </row>
    <row r="378">
      <c r="A378" s="29"/>
      <c r="B378" s="29" t="s">
        <v>175</v>
      </c>
      <c r="C378" s="76"/>
      <c r="D378" s="29"/>
      <c r="E378" s="29"/>
      <c r="F378" s="29"/>
      <c r="G378" s="29"/>
      <c r="H378" s="29" t="str">
        <f t="shared" si="1"/>
        <v/>
      </c>
      <c r="I378" s="29" t="str">
        <f t="shared" si="2"/>
        <v/>
      </c>
      <c r="J378" s="29" t="str">
        <f>IF(A378="", "", IFERROR(VLOOKUP(A378, 'Master Roster'!A:H, 8, FALSE) - F378, ""))</f>
        <v/>
      </c>
      <c r="K378" s="29" t="s">
        <v>175</v>
      </c>
      <c r="L378" s="29" t="b">
        <v>0</v>
      </c>
      <c r="M378" s="29"/>
      <c r="N378" s="29" t="s">
        <v>175</v>
      </c>
      <c r="O378" s="29" t="str">
        <f>IF(ISBLANK(A378), "", LET(entry_day, VLOOKUP(A378, 'Master Roster'!$A:$G, 7, FALSE), start_date, DATE(E378, MONTH(D378&amp;" 1"), entry_day), end_date, EDATE(start_date, 1), period, TEXT(start_date, "mmm d, yyyy") &amp; " - " &amp; TEXT(end_date, "mmm d, yyyy"), HYPERLINK("https://wa.me/" &amp; VLOOKUP(A378, 'Master Roster'!$A:$F, 6, FALSE) &amp; "?text=" &amp; ENCODEURL("Hello " &amp; IFERROR(IF(VLOOKUP(A378, 'Master Roster'!$A:$J, 10, FALSE)="Male", "Mr. ", "Ms. "), "") &amp; B378 &amp; ", payment of K" &amp; F378 &amp; " received for " &amp; period &amp; ". Receipt No: " &amp; N378), "Send Receipt")))</f>
        <v/>
      </c>
    </row>
    <row r="379">
      <c r="A379" s="29"/>
      <c r="B379" s="29" t="s">
        <v>175</v>
      </c>
      <c r="C379" s="76"/>
      <c r="D379" s="29"/>
      <c r="E379" s="29"/>
      <c r="F379" s="29"/>
      <c r="G379" s="29"/>
      <c r="H379" s="29" t="str">
        <f t="shared" si="1"/>
        <v/>
      </c>
      <c r="I379" s="29" t="str">
        <f t="shared" si="2"/>
        <v/>
      </c>
      <c r="J379" s="29" t="str">
        <f>IF(A379="", "", IFERROR(VLOOKUP(A379, 'Master Roster'!A:H, 8, FALSE) - F379, ""))</f>
        <v/>
      </c>
      <c r="K379" s="29" t="s">
        <v>175</v>
      </c>
      <c r="L379" s="29" t="b">
        <v>0</v>
      </c>
      <c r="M379" s="29"/>
      <c r="N379" s="29" t="s">
        <v>175</v>
      </c>
      <c r="O379" s="29" t="str">
        <f>IF(ISBLANK(A379), "", LET(entry_day, VLOOKUP(A379, 'Master Roster'!$A:$G, 7, FALSE), start_date, DATE(E379, MONTH(D379&amp;" 1"), entry_day), end_date, EDATE(start_date, 1), period, TEXT(start_date, "mmm d, yyyy") &amp; " - " &amp; TEXT(end_date, "mmm d, yyyy"), HYPERLINK("https://wa.me/" &amp; VLOOKUP(A379, 'Master Roster'!$A:$F, 6, FALSE) &amp; "?text=" &amp; ENCODEURL("Hello " &amp; IFERROR(IF(VLOOKUP(A379, 'Master Roster'!$A:$J, 10, FALSE)="Male", "Mr. ", "Ms. "), "") &amp; B379 &amp; ", payment of K" &amp; F379 &amp; " received for " &amp; period &amp; ". Receipt No: " &amp; N379), "Send Receipt")))</f>
        <v/>
      </c>
    </row>
    <row r="380">
      <c r="A380" s="29"/>
      <c r="B380" s="29" t="s">
        <v>175</v>
      </c>
      <c r="C380" s="76"/>
      <c r="D380" s="29"/>
      <c r="E380" s="29"/>
      <c r="F380" s="29"/>
      <c r="G380" s="29"/>
      <c r="H380" s="29" t="str">
        <f t="shared" si="1"/>
        <v/>
      </c>
      <c r="I380" s="29" t="str">
        <f t="shared" si="2"/>
        <v/>
      </c>
      <c r="J380" s="29" t="str">
        <f>IF(A380="", "", IFERROR(VLOOKUP(A380, 'Master Roster'!A:H, 8, FALSE) - F380, ""))</f>
        <v/>
      </c>
      <c r="K380" s="29" t="s">
        <v>175</v>
      </c>
      <c r="L380" s="29" t="b">
        <v>0</v>
      </c>
      <c r="M380" s="29"/>
      <c r="N380" s="29" t="s">
        <v>175</v>
      </c>
      <c r="O380" s="29" t="str">
        <f>IF(ISBLANK(A380), "", LET(entry_day, VLOOKUP(A380, 'Master Roster'!$A:$G, 7, FALSE), start_date, DATE(E380, MONTH(D380&amp;" 1"), entry_day), end_date, EDATE(start_date, 1), period, TEXT(start_date, "mmm d, yyyy") &amp; " - " &amp; TEXT(end_date, "mmm d, yyyy"), HYPERLINK("https://wa.me/" &amp; VLOOKUP(A380, 'Master Roster'!$A:$F, 6, FALSE) &amp; "?text=" &amp; ENCODEURL("Hello " &amp; IFERROR(IF(VLOOKUP(A380, 'Master Roster'!$A:$J, 10, FALSE)="Male", "Mr. ", "Ms. "), "") &amp; B380 &amp; ", payment of K" &amp; F380 &amp; " received for " &amp; period &amp; ". Receipt No: " &amp; N380), "Send Receipt")))</f>
        <v/>
      </c>
    </row>
    <row r="381">
      <c r="A381" s="29"/>
      <c r="B381" s="29" t="s">
        <v>175</v>
      </c>
      <c r="C381" s="76"/>
      <c r="D381" s="29"/>
      <c r="E381" s="29"/>
      <c r="F381" s="29"/>
      <c r="G381" s="29"/>
      <c r="H381" s="29" t="str">
        <f t="shared" si="1"/>
        <v/>
      </c>
      <c r="I381" s="29" t="str">
        <f t="shared" si="2"/>
        <v/>
      </c>
      <c r="J381" s="29" t="str">
        <f>IF(A381="", "", IFERROR(VLOOKUP(A381, 'Master Roster'!A:H, 8, FALSE) - F381, ""))</f>
        <v/>
      </c>
      <c r="K381" s="29" t="s">
        <v>175</v>
      </c>
      <c r="L381" s="29" t="b">
        <v>0</v>
      </c>
      <c r="M381" s="29"/>
      <c r="N381" s="29" t="s">
        <v>175</v>
      </c>
      <c r="O381" s="29" t="str">
        <f>IF(ISBLANK(A381), "", LET(entry_day, VLOOKUP(A381, 'Master Roster'!$A:$G, 7, FALSE), start_date, DATE(E381, MONTH(D381&amp;" 1"), entry_day), end_date, EDATE(start_date, 1), period, TEXT(start_date, "mmm d, yyyy") &amp; " - " &amp; TEXT(end_date, "mmm d, yyyy"), HYPERLINK("https://wa.me/" &amp; VLOOKUP(A381, 'Master Roster'!$A:$F, 6, FALSE) &amp; "?text=" &amp; ENCODEURL("Hello " &amp; IFERROR(IF(VLOOKUP(A381, 'Master Roster'!$A:$J, 10, FALSE)="Male", "Mr. ", "Ms. "), "") &amp; B381 &amp; ", payment of K" &amp; F381 &amp; " received for " &amp; period &amp; ". Receipt No: " &amp; N381), "Send Receipt")))</f>
        <v/>
      </c>
    </row>
    <row r="382">
      <c r="A382" s="29"/>
      <c r="B382" s="29" t="s">
        <v>175</v>
      </c>
      <c r="C382" s="76"/>
      <c r="D382" s="29"/>
      <c r="E382" s="29"/>
      <c r="F382" s="29"/>
      <c r="G382" s="29"/>
      <c r="H382" s="29" t="str">
        <f t="shared" si="1"/>
        <v/>
      </c>
      <c r="I382" s="29" t="str">
        <f t="shared" si="2"/>
        <v/>
      </c>
      <c r="J382" s="29" t="str">
        <f>IF(A382="", "", IFERROR(VLOOKUP(A382, 'Master Roster'!A:H, 8, FALSE) - F382, ""))</f>
        <v/>
      </c>
      <c r="K382" s="29" t="s">
        <v>175</v>
      </c>
      <c r="L382" s="29" t="b">
        <v>0</v>
      </c>
      <c r="M382" s="29"/>
      <c r="N382" s="29" t="s">
        <v>175</v>
      </c>
      <c r="O382" s="29" t="str">
        <f>IF(ISBLANK(A382), "", LET(entry_day, VLOOKUP(A382, 'Master Roster'!$A:$G, 7, FALSE), start_date, DATE(E382, MONTH(D382&amp;" 1"), entry_day), end_date, EDATE(start_date, 1), period, TEXT(start_date, "mmm d, yyyy") &amp; " - " &amp; TEXT(end_date, "mmm d, yyyy"), HYPERLINK("https://wa.me/" &amp; VLOOKUP(A382, 'Master Roster'!$A:$F, 6, FALSE) &amp; "?text=" &amp; ENCODEURL("Hello " &amp; IFERROR(IF(VLOOKUP(A382, 'Master Roster'!$A:$J, 10, FALSE)="Male", "Mr. ", "Ms. "), "") &amp; B382 &amp; ", payment of K" &amp; F382 &amp; " received for " &amp; period &amp; ". Receipt No: " &amp; N382), "Send Receipt")))</f>
        <v/>
      </c>
    </row>
    <row r="383">
      <c r="A383" s="29"/>
      <c r="B383" s="29" t="s">
        <v>175</v>
      </c>
      <c r="C383" s="76"/>
      <c r="D383" s="29"/>
      <c r="E383" s="29"/>
      <c r="F383" s="29"/>
      <c r="G383" s="29"/>
      <c r="H383" s="29" t="str">
        <f t="shared" si="1"/>
        <v/>
      </c>
      <c r="I383" s="29" t="str">
        <f t="shared" si="2"/>
        <v/>
      </c>
      <c r="J383" s="29" t="str">
        <f>IF(A383="", "", IFERROR(VLOOKUP(A383, 'Master Roster'!A:H, 8, FALSE) - F383, ""))</f>
        <v/>
      </c>
      <c r="K383" s="29" t="s">
        <v>175</v>
      </c>
      <c r="L383" s="29" t="b">
        <v>0</v>
      </c>
      <c r="M383" s="29"/>
      <c r="N383" s="29" t="s">
        <v>175</v>
      </c>
      <c r="O383" s="29" t="str">
        <f>IF(ISBLANK(A383), "", LET(entry_day, VLOOKUP(A383, 'Master Roster'!$A:$G, 7, FALSE), start_date, DATE(E383, MONTH(D383&amp;" 1"), entry_day), end_date, EDATE(start_date, 1), period, TEXT(start_date, "mmm d, yyyy") &amp; " - " &amp; TEXT(end_date, "mmm d, yyyy"), HYPERLINK("https://wa.me/" &amp; VLOOKUP(A383, 'Master Roster'!$A:$F, 6, FALSE) &amp; "?text=" &amp; ENCODEURL("Hello " &amp; IFERROR(IF(VLOOKUP(A383, 'Master Roster'!$A:$J, 10, FALSE)="Male", "Mr. ", "Ms. "), "") &amp; B383 &amp; ", payment of K" &amp; F383 &amp; " received for " &amp; period &amp; ". Receipt No: " &amp; N383), "Send Receipt")))</f>
        <v/>
      </c>
    </row>
    <row r="384">
      <c r="A384" s="29"/>
      <c r="B384" s="29" t="s">
        <v>175</v>
      </c>
      <c r="C384" s="76"/>
      <c r="D384" s="29"/>
      <c r="E384" s="29"/>
      <c r="F384" s="29"/>
      <c r="G384" s="29"/>
      <c r="H384" s="29" t="str">
        <f t="shared" si="1"/>
        <v/>
      </c>
      <c r="I384" s="29" t="str">
        <f t="shared" si="2"/>
        <v/>
      </c>
      <c r="J384" s="29" t="str">
        <f>IF(A384="", "", IFERROR(VLOOKUP(A384, 'Master Roster'!A:H, 8, FALSE) - F384, ""))</f>
        <v/>
      </c>
      <c r="K384" s="29" t="s">
        <v>175</v>
      </c>
      <c r="L384" s="29" t="b">
        <v>0</v>
      </c>
      <c r="M384" s="29"/>
      <c r="N384" s="29" t="s">
        <v>175</v>
      </c>
      <c r="O384" s="29" t="str">
        <f>IF(ISBLANK(A384), "", LET(entry_day, VLOOKUP(A384, 'Master Roster'!$A:$G, 7, FALSE), start_date, DATE(E384, MONTH(D384&amp;" 1"), entry_day), end_date, EDATE(start_date, 1), period, TEXT(start_date, "mmm d, yyyy") &amp; " - " &amp; TEXT(end_date, "mmm d, yyyy"), HYPERLINK("https://wa.me/" &amp; VLOOKUP(A384, 'Master Roster'!$A:$F, 6, FALSE) &amp; "?text=" &amp; ENCODEURL("Hello " &amp; IFERROR(IF(VLOOKUP(A384, 'Master Roster'!$A:$J, 10, FALSE)="Male", "Mr. ", "Ms. "), "") &amp; B384 &amp; ", payment of K" &amp; F384 &amp; " received for " &amp; period &amp; ". Receipt No: " &amp; N384), "Send Receipt")))</f>
        <v/>
      </c>
    </row>
    <row r="385">
      <c r="A385" s="29"/>
      <c r="B385" s="29" t="s">
        <v>175</v>
      </c>
      <c r="C385" s="76"/>
      <c r="D385" s="29"/>
      <c r="E385" s="29"/>
      <c r="F385" s="29"/>
      <c r="G385" s="29"/>
      <c r="H385" s="29" t="str">
        <f t="shared" si="1"/>
        <v/>
      </c>
      <c r="I385" s="29" t="str">
        <f t="shared" si="2"/>
        <v/>
      </c>
      <c r="J385" s="29" t="str">
        <f>IF(A385="", "", IFERROR(VLOOKUP(A385, 'Master Roster'!A:H, 8, FALSE) - F385, ""))</f>
        <v/>
      </c>
      <c r="K385" s="29" t="s">
        <v>175</v>
      </c>
      <c r="L385" s="29" t="b">
        <v>0</v>
      </c>
      <c r="M385" s="29"/>
      <c r="N385" s="29" t="s">
        <v>175</v>
      </c>
      <c r="O385" s="29" t="str">
        <f>IF(ISBLANK(A385), "", LET(entry_day, VLOOKUP(A385, 'Master Roster'!$A:$G, 7, FALSE), start_date, DATE(E385, MONTH(D385&amp;" 1"), entry_day), end_date, EDATE(start_date, 1), period, TEXT(start_date, "mmm d, yyyy") &amp; " - " &amp; TEXT(end_date, "mmm d, yyyy"), HYPERLINK("https://wa.me/" &amp; VLOOKUP(A385, 'Master Roster'!$A:$F, 6, FALSE) &amp; "?text=" &amp; ENCODEURL("Hello " &amp; IFERROR(IF(VLOOKUP(A385, 'Master Roster'!$A:$J, 10, FALSE)="Male", "Mr. ", "Ms. "), "") &amp; B385 &amp; ", payment of K" &amp; F385 &amp; " received for " &amp; period &amp; ". Receipt No: " &amp; N385), "Send Receipt")))</f>
        <v/>
      </c>
    </row>
    <row r="386">
      <c r="A386" s="29"/>
      <c r="B386" s="29" t="s">
        <v>175</v>
      </c>
      <c r="C386" s="76"/>
      <c r="D386" s="29"/>
      <c r="E386" s="29"/>
      <c r="F386" s="29"/>
      <c r="G386" s="29"/>
      <c r="H386" s="29" t="str">
        <f t="shared" si="1"/>
        <v/>
      </c>
      <c r="I386" s="29" t="str">
        <f t="shared" si="2"/>
        <v/>
      </c>
      <c r="J386" s="29" t="str">
        <f>IF(A386="", "", IFERROR(VLOOKUP(A386, 'Master Roster'!A:H, 8, FALSE) - F386, ""))</f>
        <v/>
      </c>
      <c r="K386" s="29" t="s">
        <v>175</v>
      </c>
      <c r="L386" s="29" t="b">
        <v>0</v>
      </c>
      <c r="M386" s="29"/>
      <c r="N386" s="29" t="s">
        <v>175</v>
      </c>
      <c r="O386" s="29" t="str">
        <f>IF(ISBLANK(A386), "", LET(entry_day, VLOOKUP(A386, 'Master Roster'!$A:$G, 7, FALSE), start_date, DATE(E386, MONTH(D386&amp;" 1"), entry_day), end_date, EDATE(start_date, 1), period, TEXT(start_date, "mmm d, yyyy") &amp; " - " &amp; TEXT(end_date, "mmm d, yyyy"), HYPERLINK("https://wa.me/" &amp; VLOOKUP(A386, 'Master Roster'!$A:$F, 6, FALSE) &amp; "?text=" &amp; ENCODEURL("Hello " &amp; IFERROR(IF(VLOOKUP(A386, 'Master Roster'!$A:$J, 10, FALSE)="Male", "Mr. ", "Ms. "), "") &amp; B386 &amp; ", payment of K" &amp; F386 &amp; " received for " &amp; period &amp; ". Receipt No: " &amp; N386), "Send Receipt")))</f>
        <v/>
      </c>
    </row>
    <row r="387">
      <c r="A387" s="29"/>
      <c r="B387" s="29" t="s">
        <v>175</v>
      </c>
      <c r="C387" s="76"/>
      <c r="D387" s="29"/>
      <c r="E387" s="29"/>
      <c r="F387" s="29"/>
      <c r="G387" s="29"/>
      <c r="H387" s="29" t="str">
        <f t="shared" si="1"/>
        <v/>
      </c>
      <c r="I387" s="29" t="str">
        <f t="shared" si="2"/>
        <v/>
      </c>
      <c r="J387" s="29" t="str">
        <f>IF(A387="", "", IFERROR(VLOOKUP(A387, 'Master Roster'!A:H, 8, FALSE) - F387, ""))</f>
        <v/>
      </c>
      <c r="K387" s="29" t="s">
        <v>175</v>
      </c>
      <c r="L387" s="29" t="b">
        <v>0</v>
      </c>
      <c r="M387" s="29"/>
      <c r="N387" s="29" t="s">
        <v>175</v>
      </c>
      <c r="O387" s="29" t="str">
        <f>IF(ISBLANK(A387), "", LET(entry_day, VLOOKUP(A387, 'Master Roster'!$A:$G, 7, FALSE), start_date, DATE(E387, MONTH(D387&amp;" 1"), entry_day), end_date, EDATE(start_date, 1), period, TEXT(start_date, "mmm d, yyyy") &amp; " - " &amp; TEXT(end_date, "mmm d, yyyy"), HYPERLINK("https://wa.me/" &amp; VLOOKUP(A387, 'Master Roster'!$A:$F, 6, FALSE) &amp; "?text=" &amp; ENCODEURL("Hello " &amp; IFERROR(IF(VLOOKUP(A387, 'Master Roster'!$A:$J, 10, FALSE)="Male", "Mr. ", "Ms. "), "") &amp; B387 &amp; ", payment of K" &amp; F387 &amp; " received for " &amp; period &amp; ". Receipt No: " &amp; N387), "Send Receipt")))</f>
        <v/>
      </c>
    </row>
    <row r="388">
      <c r="A388" s="29"/>
      <c r="B388" s="29" t="s">
        <v>175</v>
      </c>
      <c r="C388" s="76"/>
      <c r="D388" s="29"/>
      <c r="E388" s="29"/>
      <c r="F388" s="29"/>
      <c r="G388" s="29"/>
      <c r="H388" s="29" t="str">
        <f t="shared" si="1"/>
        <v/>
      </c>
      <c r="I388" s="29" t="str">
        <f t="shared" si="2"/>
        <v/>
      </c>
      <c r="J388" s="29" t="str">
        <f>IF(A388="", "", IFERROR(VLOOKUP(A388, 'Master Roster'!A:H, 8, FALSE) - F388, ""))</f>
        <v/>
      </c>
      <c r="K388" s="29" t="s">
        <v>175</v>
      </c>
      <c r="L388" s="29" t="b">
        <v>0</v>
      </c>
      <c r="M388" s="29"/>
      <c r="N388" s="29" t="s">
        <v>175</v>
      </c>
      <c r="O388" s="29" t="str">
        <f>IF(ISBLANK(A388), "", LET(entry_day, VLOOKUP(A388, 'Master Roster'!$A:$G, 7, FALSE), start_date, DATE(E388, MONTH(D388&amp;" 1"), entry_day), end_date, EDATE(start_date, 1), period, TEXT(start_date, "mmm d, yyyy") &amp; " - " &amp; TEXT(end_date, "mmm d, yyyy"), HYPERLINK("https://wa.me/" &amp; VLOOKUP(A388, 'Master Roster'!$A:$F, 6, FALSE) &amp; "?text=" &amp; ENCODEURL("Hello " &amp; IFERROR(IF(VLOOKUP(A388, 'Master Roster'!$A:$J, 10, FALSE)="Male", "Mr. ", "Ms. "), "") &amp; B388 &amp; ", payment of K" &amp; F388 &amp; " received for " &amp; period &amp; ". Receipt No: " &amp; N388), "Send Receipt")))</f>
        <v/>
      </c>
    </row>
    <row r="389">
      <c r="A389" s="29"/>
      <c r="B389" s="29" t="s">
        <v>175</v>
      </c>
      <c r="C389" s="76"/>
      <c r="D389" s="29"/>
      <c r="E389" s="29"/>
      <c r="F389" s="29"/>
      <c r="G389" s="29"/>
      <c r="H389" s="29" t="str">
        <f t="shared" si="1"/>
        <v/>
      </c>
      <c r="I389" s="29" t="str">
        <f t="shared" si="2"/>
        <v/>
      </c>
      <c r="J389" s="29" t="str">
        <f>IF(A389="", "", IFERROR(VLOOKUP(A389, 'Master Roster'!A:H, 8, FALSE) - F389, ""))</f>
        <v/>
      </c>
      <c r="K389" s="29" t="s">
        <v>175</v>
      </c>
      <c r="L389" s="29" t="b">
        <v>0</v>
      </c>
      <c r="M389" s="29"/>
      <c r="N389" s="29" t="s">
        <v>175</v>
      </c>
      <c r="O389" s="29" t="str">
        <f>IF(ISBLANK(A389), "", LET(entry_day, VLOOKUP(A389, 'Master Roster'!$A:$G, 7, FALSE), start_date, DATE(E389, MONTH(D389&amp;" 1"), entry_day), end_date, EDATE(start_date, 1), period, TEXT(start_date, "mmm d, yyyy") &amp; " - " &amp; TEXT(end_date, "mmm d, yyyy"), HYPERLINK("https://wa.me/" &amp; VLOOKUP(A389, 'Master Roster'!$A:$F, 6, FALSE) &amp; "?text=" &amp; ENCODEURL("Hello " &amp; IFERROR(IF(VLOOKUP(A389, 'Master Roster'!$A:$J, 10, FALSE)="Male", "Mr. ", "Ms. "), "") &amp; B389 &amp; ", payment of K" &amp; F389 &amp; " received for " &amp; period &amp; ". Receipt No: " &amp; N389), "Send Receipt")))</f>
        <v/>
      </c>
    </row>
    <row r="390">
      <c r="A390" s="29"/>
      <c r="B390" s="29" t="s">
        <v>175</v>
      </c>
      <c r="C390" s="76"/>
      <c r="D390" s="29"/>
      <c r="E390" s="29"/>
      <c r="F390" s="29"/>
      <c r="G390" s="29"/>
      <c r="H390" s="29" t="str">
        <f t="shared" si="1"/>
        <v/>
      </c>
      <c r="I390" s="29" t="str">
        <f t="shared" si="2"/>
        <v/>
      </c>
      <c r="J390" s="29" t="str">
        <f>IF(A390="", "", IFERROR(VLOOKUP(A390, 'Master Roster'!A:H, 8, FALSE) - F390, ""))</f>
        <v/>
      </c>
      <c r="K390" s="29" t="s">
        <v>175</v>
      </c>
      <c r="L390" s="29" t="b">
        <v>0</v>
      </c>
      <c r="M390" s="29"/>
      <c r="N390" s="29" t="s">
        <v>175</v>
      </c>
      <c r="O390" s="29" t="str">
        <f>IF(ISBLANK(A390), "", LET(entry_day, VLOOKUP(A390, 'Master Roster'!$A:$G, 7, FALSE), start_date, DATE(E390, MONTH(D390&amp;" 1"), entry_day), end_date, EDATE(start_date, 1), period, TEXT(start_date, "mmm d, yyyy") &amp; " - " &amp; TEXT(end_date, "mmm d, yyyy"), HYPERLINK("https://wa.me/" &amp; VLOOKUP(A390, 'Master Roster'!$A:$F, 6, FALSE) &amp; "?text=" &amp; ENCODEURL("Hello " &amp; IFERROR(IF(VLOOKUP(A390, 'Master Roster'!$A:$J, 10, FALSE)="Male", "Mr. ", "Ms. "), "") &amp; B390 &amp; ", payment of K" &amp; F390 &amp; " received for " &amp; period &amp; ". Receipt No: " &amp; N390), "Send Receipt")))</f>
        <v/>
      </c>
    </row>
    <row r="391">
      <c r="A391" s="29"/>
      <c r="B391" s="29" t="s">
        <v>175</v>
      </c>
      <c r="C391" s="76"/>
      <c r="D391" s="29"/>
      <c r="E391" s="29"/>
      <c r="F391" s="29"/>
      <c r="G391" s="29"/>
      <c r="H391" s="29" t="str">
        <f t="shared" si="1"/>
        <v/>
      </c>
      <c r="I391" s="29" t="str">
        <f t="shared" si="2"/>
        <v/>
      </c>
      <c r="J391" s="29" t="str">
        <f>IF(A391="", "", IFERROR(VLOOKUP(A391, 'Master Roster'!A:H, 8, FALSE) - F391, ""))</f>
        <v/>
      </c>
      <c r="K391" s="29" t="s">
        <v>175</v>
      </c>
      <c r="L391" s="29" t="b">
        <v>0</v>
      </c>
      <c r="M391" s="29"/>
      <c r="N391" s="29" t="s">
        <v>175</v>
      </c>
      <c r="O391" s="29" t="str">
        <f>IF(ISBLANK(A391), "", LET(entry_day, VLOOKUP(A391, 'Master Roster'!$A:$G, 7, FALSE), start_date, DATE(E391, MONTH(D391&amp;" 1"), entry_day), end_date, EDATE(start_date, 1), period, TEXT(start_date, "mmm d, yyyy") &amp; " - " &amp; TEXT(end_date, "mmm d, yyyy"), HYPERLINK("https://wa.me/" &amp; VLOOKUP(A391, 'Master Roster'!$A:$F, 6, FALSE) &amp; "?text=" &amp; ENCODEURL("Hello " &amp; IFERROR(IF(VLOOKUP(A391, 'Master Roster'!$A:$J, 10, FALSE)="Male", "Mr. ", "Ms. "), "") &amp; B391 &amp; ", payment of K" &amp; F391 &amp; " received for " &amp; period &amp; ". Receipt No: " &amp; N391), "Send Receipt")))</f>
        <v/>
      </c>
    </row>
    <row r="392">
      <c r="A392" s="29"/>
      <c r="B392" s="29" t="s">
        <v>175</v>
      </c>
      <c r="C392" s="76"/>
      <c r="D392" s="29"/>
      <c r="E392" s="29"/>
      <c r="F392" s="29"/>
      <c r="G392" s="29"/>
      <c r="H392" s="29" t="str">
        <f t="shared" si="1"/>
        <v/>
      </c>
      <c r="I392" s="29" t="str">
        <f t="shared" si="2"/>
        <v/>
      </c>
      <c r="J392" s="29" t="str">
        <f>IF(A392="", "", IFERROR(VLOOKUP(A392, 'Master Roster'!A:H, 8, FALSE) - F392, ""))</f>
        <v/>
      </c>
      <c r="K392" s="29" t="s">
        <v>175</v>
      </c>
      <c r="L392" s="29" t="b">
        <v>0</v>
      </c>
      <c r="M392" s="29"/>
      <c r="N392" s="29" t="s">
        <v>175</v>
      </c>
      <c r="O392" s="29" t="str">
        <f>IF(ISBLANK(A392), "", LET(entry_day, VLOOKUP(A392, 'Master Roster'!$A:$G, 7, FALSE), start_date, DATE(E392, MONTH(D392&amp;" 1"), entry_day), end_date, EDATE(start_date, 1), period, TEXT(start_date, "mmm d, yyyy") &amp; " - " &amp; TEXT(end_date, "mmm d, yyyy"), HYPERLINK("https://wa.me/" &amp; VLOOKUP(A392, 'Master Roster'!$A:$F, 6, FALSE) &amp; "?text=" &amp; ENCODEURL("Hello " &amp; IFERROR(IF(VLOOKUP(A392, 'Master Roster'!$A:$J, 10, FALSE)="Male", "Mr. ", "Ms. "), "") &amp; B392 &amp; ", payment of K" &amp; F392 &amp; " received for " &amp; period &amp; ". Receipt No: " &amp; N392), "Send Receipt")))</f>
        <v/>
      </c>
    </row>
    <row r="393">
      <c r="A393" s="29"/>
      <c r="B393" s="29" t="s">
        <v>175</v>
      </c>
      <c r="C393" s="76"/>
      <c r="D393" s="29"/>
      <c r="E393" s="29"/>
      <c r="F393" s="29"/>
      <c r="G393" s="29"/>
      <c r="H393" s="29" t="str">
        <f t="shared" si="1"/>
        <v/>
      </c>
      <c r="I393" s="29" t="str">
        <f t="shared" si="2"/>
        <v/>
      </c>
      <c r="J393" s="29" t="str">
        <f>IF(A393="", "", IFERROR(VLOOKUP(A393, 'Master Roster'!A:H, 8, FALSE) - F393, ""))</f>
        <v/>
      </c>
      <c r="K393" s="29" t="s">
        <v>175</v>
      </c>
      <c r="L393" s="29" t="b">
        <v>0</v>
      </c>
      <c r="M393" s="29"/>
      <c r="N393" s="29" t="s">
        <v>175</v>
      </c>
      <c r="O393" s="29" t="str">
        <f>IF(ISBLANK(A393), "", LET(entry_day, VLOOKUP(A393, 'Master Roster'!$A:$G, 7, FALSE), start_date, DATE(E393, MONTH(D393&amp;" 1"), entry_day), end_date, EDATE(start_date, 1), period, TEXT(start_date, "mmm d, yyyy") &amp; " - " &amp; TEXT(end_date, "mmm d, yyyy"), HYPERLINK("https://wa.me/" &amp; VLOOKUP(A393, 'Master Roster'!$A:$F, 6, FALSE) &amp; "?text=" &amp; ENCODEURL("Hello " &amp; IFERROR(IF(VLOOKUP(A393, 'Master Roster'!$A:$J, 10, FALSE)="Male", "Mr. ", "Ms. "), "") &amp; B393 &amp; ", payment of K" &amp; F393 &amp; " received for " &amp; period &amp; ". Receipt No: " &amp; N393), "Send Receipt")))</f>
        <v/>
      </c>
    </row>
    <row r="394">
      <c r="A394" s="29"/>
      <c r="B394" s="29" t="s">
        <v>175</v>
      </c>
      <c r="C394" s="76"/>
      <c r="D394" s="29"/>
      <c r="E394" s="29"/>
      <c r="F394" s="29"/>
      <c r="G394" s="29"/>
      <c r="H394" s="29" t="str">
        <f t="shared" si="1"/>
        <v/>
      </c>
      <c r="I394" s="29" t="str">
        <f t="shared" si="2"/>
        <v/>
      </c>
      <c r="J394" s="29" t="str">
        <f>IF(A394="", "", IFERROR(VLOOKUP(A394, 'Master Roster'!A:H, 8, FALSE) - F394, ""))</f>
        <v/>
      </c>
      <c r="K394" s="29" t="s">
        <v>175</v>
      </c>
      <c r="L394" s="29" t="b">
        <v>0</v>
      </c>
      <c r="M394" s="29"/>
      <c r="N394" s="29" t="s">
        <v>175</v>
      </c>
      <c r="O394" s="29" t="str">
        <f>IF(ISBLANK(A394), "", LET(entry_day, VLOOKUP(A394, 'Master Roster'!$A:$G, 7, FALSE), start_date, DATE(E394, MONTH(D394&amp;" 1"), entry_day), end_date, EDATE(start_date, 1), period, TEXT(start_date, "mmm d, yyyy") &amp; " - " &amp; TEXT(end_date, "mmm d, yyyy"), HYPERLINK("https://wa.me/" &amp; VLOOKUP(A394, 'Master Roster'!$A:$F, 6, FALSE) &amp; "?text=" &amp; ENCODEURL("Hello " &amp; IFERROR(IF(VLOOKUP(A394, 'Master Roster'!$A:$J, 10, FALSE)="Male", "Mr. ", "Ms. "), "") &amp; B394 &amp; ", payment of K" &amp; F394 &amp; " received for " &amp; period &amp; ". Receipt No: " &amp; N394), "Send Receipt")))</f>
        <v/>
      </c>
    </row>
    <row r="395">
      <c r="A395" s="29"/>
      <c r="B395" s="29" t="s">
        <v>175</v>
      </c>
      <c r="C395" s="76"/>
      <c r="D395" s="29"/>
      <c r="E395" s="29"/>
      <c r="F395" s="29"/>
      <c r="G395" s="29"/>
      <c r="H395" s="29" t="str">
        <f t="shared" si="1"/>
        <v/>
      </c>
      <c r="I395" s="29" t="str">
        <f t="shared" si="2"/>
        <v/>
      </c>
      <c r="J395" s="29" t="str">
        <f>IF(A395="", "", IFERROR(VLOOKUP(A395, 'Master Roster'!A:H, 8, FALSE) - F395, ""))</f>
        <v/>
      </c>
      <c r="K395" s="29" t="s">
        <v>175</v>
      </c>
      <c r="L395" s="29" t="b">
        <v>0</v>
      </c>
      <c r="M395" s="29"/>
      <c r="N395" s="29" t="s">
        <v>175</v>
      </c>
      <c r="O395" s="29" t="str">
        <f>IF(ISBLANK(A395), "", LET(entry_day, VLOOKUP(A395, 'Master Roster'!$A:$G, 7, FALSE), start_date, DATE(E395, MONTH(D395&amp;" 1"), entry_day), end_date, EDATE(start_date, 1), period, TEXT(start_date, "mmm d, yyyy") &amp; " - " &amp; TEXT(end_date, "mmm d, yyyy"), HYPERLINK("https://wa.me/" &amp; VLOOKUP(A395, 'Master Roster'!$A:$F, 6, FALSE) &amp; "?text=" &amp; ENCODEURL("Hello " &amp; IFERROR(IF(VLOOKUP(A395, 'Master Roster'!$A:$J, 10, FALSE)="Male", "Mr. ", "Ms. "), "") &amp; B395 &amp; ", payment of K" &amp; F395 &amp; " received for " &amp; period &amp; ". Receipt No: " &amp; N395), "Send Receipt")))</f>
        <v/>
      </c>
    </row>
    <row r="396">
      <c r="A396" s="29"/>
      <c r="B396" s="29" t="s">
        <v>175</v>
      </c>
      <c r="C396" s="76"/>
      <c r="D396" s="29"/>
      <c r="E396" s="29"/>
      <c r="F396" s="29"/>
      <c r="G396" s="29"/>
      <c r="H396" s="29" t="str">
        <f t="shared" si="1"/>
        <v/>
      </c>
      <c r="I396" s="29" t="str">
        <f t="shared" si="2"/>
        <v/>
      </c>
      <c r="J396" s="29" t="str">
        <f>IF(A396="", "", IFERROR(VLOOKUP(A396, 'Master Roster'!A:H, 8, FALSE) - F396, ""))</f>
        <v/>
      </c>
      <c r="K396" s="29" t="s">
        <v>175</v>
      </c>
      <c r="L396" s="29" t="b">
        <v>0</v>
      </c>
      <c r="M396" s="29"/>
      <c r="N396" s="29" t="s">
        <v>175</v>
      </c>
      <c r="O396" s="29" t="str">
        <f>IF(ISBLANK(A396), "", LET(entry_day, VLOOKUP(A396, 'Master Roster'!$A:$G, 7, FALSE), start_date, DATE(E396, MONTH(D396&amp;" 1"), entry_day), end_date, EDATE(start_date, 1), period, TEXT(start_date, "mmm d, yyyy") &amp; " - " &amp; TEXT(end_date, "mmm d, yyyy"), HYPERLINK("https://wa.me/" &amp; VLOOKUP(A396, 'Master Roster'!$A:$F, 6, FALSE) &amp; "?text=" &amp; ENCODEURL("Hello " &amp; IFERROR(IF(VLOOKUP(A396, 'Master Roster'!$A:$J, 10, FALSE)="Male", "Mr. ", "Ms. "), "") &amp; B396 &amp; ", payment of K" &amp; F396 &amp; " received for " &amp; period &amp; ". Receipt No: " &amp; N396), "Send Receipt")))</f>
        <v/>
      </c>
    </row>
    <row r="397">
      <c r="A397" s="29"/>
      <c r="B397" s="29" t="s">
        <v>175</v>
      </c>
      <c r="C397" s="76"/>
      <c r="D397" s="29"/>
      <c r="E397" s="29"/>
      <c r="F397" s="29"/>
      <c r="G397" s="29"/>
      <c r="H397" s="29" t="str">
        <f t="shared" si="1"/>
        <v/>
      </c>
      <c r="I397" s="29" t="str">
        <f t="shared" si="2"/>
        <v/>
      </c>
      <c r="J397" s="29" t="str">
        <f>IF(A397="", "", IFERROR(VLOOKUP(A397, 'Master Roster'!A:H, 8, FALSE) - F397, ""))</f>
        <v/>
      </c>
      <c r="K397" s="29" t="s">
        <v>175</v>
      </c>
      <c r="L397" s="29" t="b">
        <v>0</v>
      </c>
      <c r="M397" s="29"/>
      <c r="N397" s="29" t="s">
        <v>175</v>
      </c>
      <c r="O397" s="29" t="str">
        <f>IF(ISBLANK(A397), "", LET(entry_day, VLOOKUP(A397, 'Master Roster'!$A:$G, 7, FALSE), start_date, DATE(E397, MONTH(D397&amp;" 1"), entry_day), end_date, EDATE(start_date, 1), period, TEXT(start_date, "mmm d, yyyy") &amp; " - " &amp; TEXT(end_date, "mmm d, yyyy"), HYPERLINK("https://wa.me/" &amp; VLOOKUP(A397, 'Master Roster'!$A:$F, 6, FALSE) &amp; "?text=" &amp; ENCODEURL("Hello " &amp; IFERROR(IF(VLOOKUP(A397, 'Master Roster'!$A:$J, 10, FALSE)="Male", "Mr. ", "Ms. "), "") &amp; B397 &amp; ", payment of K" &amp; F397 &amp; " received for " &amp; period &amp; ". Receipt No: " &amp; N397), "Send Receipt")))</f>
        <v/>
      </c>
    </row>
    <row r="398">
      <c r="A398" s="29"/>
      <c r="B398" s="29" t="s">
        <v>175</v>
      </c>
      <c r="C398" s="76"/>
      <c r="D398" s="29"/>
      <c r="E398" s="29"/>
      <c r="F398" s="29"/>
      <c r="G398" s="29"/>
      <c r="H398" s="29" t="str">
        <f t="shared" si="1"/>
        <v/>
      </c>
      <c r="I398" s="29" t="str">
        <f t="shared" si="2"/>
        <v/>
      </c>
      <c r="J398" s="29" t="str">
        <f>IF(A398="", "", IFERROR(VLOOKUP(A398, 'Master Roster'!A:H, 8, FALSE) - F398, ""))</f>
        <v/>
      </c>
      <c r="K398" s="29" t="s">
        <v>175</v>
      </c>
      <c r="L398" s="29" t="b">
        <v>0</v>
      </c>
      <c r="M398" s="29"/>
      <c r="N398" s="29" t="s">
        <v>175</v>
      </c>
      <c r="O398" s="29" t="str">
        <f>IF(ISBLANK(A398), "", LET(entry_day, VLOOKUP(A398, 'Master Roster'!$A:$G, 7, FALSE), start_date, DATE(E398, MONTH(D398&amp;" 1"), entry_day), end_date, EDATE(start_date, 1), period, TEXT(start_date, "mmm d, yyyy") &amp; " - " &amp; TEXT(end_date, "mmm d, yyyy"), HYPERLINK("https://wa.me/" &amp; VLOOKUP(A398, 'Master Roster'!$A:$F, 6, FALSE) &amp; "?text=" &amp; ENCODEURL("Hello " &amp; IFERROR(IF(VLOOKUP(A398, 'Master Roster'!$A:$J, 10, FALSE)="Male", "Mr. ", "Ms. "), "") &amp; B398 &amp; ", payment of K" &amp; F398 &amp; " received for " &amp; period &amp; ". Receipt No: " &amp; N398), "Send Receipt")))</f>
        <v/>
      </c>
    </row>
    <row r="399">
      <c r="A399" s="29"/>
      <c r="B399" s="29" t="s">
        <v>175</v>
      </c>
      <c r="C399" s="76"/>
      <c r="D399" s="29"/>
      <c r="E399" s="29"/>
      <c r="F399" s="29"/>
      <c r="G399" s="29"/>
      <c r="H399" s="29" t="str">
        <f t="shared" si="1"/>
        <v/>
      </c>
      <c r="I399" s="29" t="str">
        <f t="shared" si="2"/>
        <v/>
      </c>
      <c r="J399" s="29" t="str">
        <f>IF(A399="", "", IFERROR(VLOOKUP(A399, 'Master Roster'!A:H, 8, FALSE) - F399, ""))</f>
        <v/>
      </c>
      <c r="K399" s="29" t="s">
        <v>175</v>
      </c>
      <c r="L399" s="29" t="b">
        <v>0</v>
      </c>
      <c r="M399" s="29"/>
      <c r="N399" s="29" t="s">
        <v>175</v>
      </c>
      <c r="O399" s="29" t="str">
        <f>IF(ISBLANK(A399), "", LET(entry_day, VLOOKUP(A399, 'Master Roster'!$A:$G, 7, FALSE), start_date, DATE(E399, MONTH(D399&amp;" 1"), entry_day), end_date, EDATE(start_date, 1), period, TEXT(start_date, "mmm d, yyyy") &amp; " - " &amp; TEXT(end_date, "mmm d, yyyy"), HYPERLINK("https://wa.me/" &amp; VLOOKUP(A399, 'Master Roster'!$A:$F, 6, FALSE) &amp; "?text=" &amp; ENCODEURL("Hello " &amp; IFERROR(IF(VLOOKUP(A399, 'Master Roster'!$A:$J, 10, FALSE)="Male", "Mr. ", "Ms. "), "") &amp; B399 &amp; ", payment of K" &amp; F399 &amp; " received for " &amp; period &amp; ". Receipt No: " &amp; N399), "Send Receipt")))</f>
        <v/>
      </c>
    </row>
    <row r="400">
      <c r="A400" s="29"/>
      <c r="B400" s="29" t="s">
        <v>175</v>
      </c>
      <c r="C400" s="76"/>
      <c r="D400" s="29"/>
      <c r="E400" s="29"/>
      <c r="F400" s="29"/>
      <c r="G400" s="29"/>
      <c r="H400" s="29" t="str">
        <f t="shared" si="1"/>
        <v/>
      </c>
      <c r="I400" s="29" t="str">
        <f t="shared" si="2"/>
        <v/>
      </c>
      <c r="J400" s="29" t="str">
        <f>IF(A400="", "", IFERROR(VLOOKUP(A400, 'Master Roster'!A:H, 8, FALSE) - F400, ""))</f>
        <v/>
      </c>
      <c r="K400" s="29" t="s">
        <v>175</v>
      </c>
      <c r="L400" s="29" t="b">
        <v>0</v>
      </c>
      <c r="M400" s="29"/>
      <c r="N400" s="29" t="s">
        <v>175</v>
      </c>
      <c r="O400" s="29" t="str">
        <f>IF(ISBLANK(A400), "", LET(entry_day, VLOOKUP(A400, 'Master Roster'!$A:$G, 7, FALSE), start_date, DATE(E400, MONTH(D400&amp;" 1"), entry_day), end_date, EDATE(start_date, 1), period, TEXT(start_date, "mmm d, yyyy") &amp; " - " &amp; TEXT(end_date, "mmm d, yyyy"), HYPERLINK("https://wa.me/" &amp; VLOOKUP(A400, 'Master Roster'!$A:$F, 6, FALSE) &amp; "?text=" &amp; ENCODEURL("Hello " &amp; IFERROR(IF(VLOOKUP(A400, 'Master Roster'!$A:$J, 10, FALSE)="Male", "Mr. ", "Ms. "), "") &amp; B400 &amp; ", payment of K" &amp; F400 &amp; " received for " &amp; period &amp; ". Receipt No: " &amp; N400), "Send Receipt")))</f>
        <v/>
      </c>
    </row>
    <row r="401">
      <c r="A401" s="29"/>
      <c r="B401" s="29" t="s">
        <v>175</v>
      </c>
      <c r="C401" s="76"/>
      <c r="D401" s="29"/>
      <c r="E401" s="29"/>
      <c r="F401" s="29"/>
      <c r="G401" s="29"/>
      <c r="H401" s="29" t="str">
        <f t="shared" si="1"/>
        <v/>
      </c>
      <c r="I401" s="29" t="str">
        <f t="shared" si="2"/>
        <v/>
      </c>
      <c r="J401" s="29" t="str">
        <f>IF(A401="", "", IFERROR(VLOOKUP(A401, 'Master Roster'!A:H, 8, FALSE) - F401, ""))</f>
        <v/>
      </c>
      <c r="K401" s="29" t="s">
        <v>175</v>
      </c>
      <c r="L401" s="29" t="b">
        <v>0</v>
      </c>
      <c r="M401" s="29"/>
      <c r="N401" s="29" t="s">
        <v>175</v>
      </c>
      <c r="O401" s="29" t="str">
        <f>IF(ISBLANK(A401), "", LET(entry_day, VLOOKUP(A401, 'Master Roster'!$A:$G, 7, FALSE), start_date, DATE(E401, MONTH(D401&amp;" 1"), entry_day), end_date, EDATE(start_date, 1), period, TEXT(start_date, "mmm d, yyyy") &amp; " - " &amp; TEXT(end_date, "mmm d, yyyy"), HYPERLINK("https://wa.me/" &amp; VLOOKUP(A401, 'Master Roster'!$A:$F, 6, FALSE) &amp; "?text=" &amp; ENCODEURL("Hello " &amp; IFERROR(IF(VLOOKUP(A401, 'Master Roster'!$A:$J, 10, FALSE)="Male", "Mr. ", "Ms. "), "") &amp; B401 &amp; ", payment of K" &amp; F401 &amp; " received for " &amp; period &amp; ". Receipt No: " &amp; N401), "Send Receipt")))</f>
        <v/>
      </c>
    </row>
    <row r="402">
      <c r="A402" s="29"/>
      <c r="B402" s="29" t="s">
        <v>175</v>
      </c>
      <c r="C402" s="76"/>
      <c r="D402" s="29"/>
      <c r="E402" s="29"/>
      <c r="F402" s="29"/>
      <c r="G402" s="29"/>
      <c r="H402" s="29" t="str">
        <f t="shared" si="1"/>
        <v/>
      </c>
      <c r="I402" s="29" t="str">
        <f t="shared" si="2"/>
        <v/>
      </c>
      <c r="J402" s="29" t="str">
        <f>IF(A402="", "", IFERROR(VLOOKUP(A402, 'Master Roster'!A:H, 8, FALSE) - F402, ""))</f>
        <v/>
      </c>
      <c r="K402" s="29" t="s">
        <v>175</v>
      </c>
      <c r="L402" s="29" t="b">
        <v>0</v>
      </c>
      <c r="M402" s="29"/>
      <c r="N402" s="29" t="s">
        <v>175</v>
      </c>
      <c r="O402" s="29" t="str">
        <f>IF(ISBLANK(A402), "", LET(entry_day, VLOOKUP(A402, 'Master Roster'!$A:$G, 7, FALSE), start_date, DATE(E402, MONTH(D402&amp;" 1"), entry_day), end_date, EDATE(start_date, 1), period, TEXT(start_date, "mmm d, yyyy") &amp; " - " &amp; TEXT(end_date, "mmm d, yyyy"), HYPERLINK("https://wa.me/" &amp; VLOOKUP(A402, 'Master Roster'!$A:$F, 6, FALSE) &amp; "?text=" &amp; ENCODEURL("Hello " &amp; IFERROR(IF(VLOOKUP(A402, 'Master Roster'!$A:$J, 10, FALSE)="Male", "Mr. ", "Ms. "), "") &amp; B402 &amp; ", payment of K" &amp; F402 &amp; " received for " &amp; period &amp; ". Receipt No: " &amp; N402), "Send Receipt")))</f>
        <v/>
      </c>
    </row>
    <row r="403">
      <c r="A403" s="29"/>
      <c r="B403" s="29" t="s">
        <v>175</v>
      </c>
      <c r="C403" s="76"/>
      <c r="D403" s="29"/>
      <c r="E403" s="29"/>
      <c r="F403" s="29"/>
      <c r="G403" s="29"/>
      <c r="H403" s="29" t="str">
        <f t="shared" si="1"/>
        <v/>
      </c>
      <c r="I403" s="29" t="str">
        <f t="shared" si="2"/>
        <v/>
      </c>
      <c r="J403" s="29" t="str">
        <f>IF(A403="", "", IFERROR(VLOOKUP(A403, 'Master Roster'!A:H, 8, FALSE) - F403, ""))</f>
        <v/>
      </c>
      <c r="K403" s="29" t="s">
        <v>175</v>
      </c>
      <c r="L403" s="29" t="b">
        <v>0</v>
      </c>
      <c r="M403" s="29"/>
      <c r="N403" s="29" t="s">
        <v>175</v>
      </c>
      <c r="O403" s="29" t="str">
        <f>IF(ISBLANK(A403), "", LET(entry_day, VLOOKUP(A403, 'Master Roster'!$A:$G, 7, FALSE), start_date, DATE(E403, MONTH(D403&amp;" 1"), entry_day), end_date, EDATE(start_date, 1), period, TEXT(start_date, "mmm d, yyyy") &amp; " - " &amp; TEXT(end_date, "mmm d, yyyy"), HYPERLINK("https://wa.me/" &amp; VLOOKUP(A403, 'Master Roster'!$A:$F, 6, FALSE) &amp; "?text=" &amp; ENCODEURL("Hello " &amp; IFERROR(IF(VLOOKUP(A403, 'Master Roster'!$A:$J, 10, FALSE)="Male", "Mr. ", "Ms. "), "") &amp; B403 &amp; ", payment of K" &amp; F403 &amp; " received for " &amp; period &amp; ". Receipt No: " &amp; N403), "Send Receipt")))</f>
        <v/>
      </c>
    </row>
    <row r="404">
      <c r="A404" s="29"/>
      <c r="B404" s="29" t="s">
        <v>175</v>
      </c>
      <c r="C404" s="76"/>
      <c r="D404" s="29"/>
      <c r="E404" s="29"/>
      <c r="F404" s="29"/>
      <c r="G404" s="29"/>
      <c r="H404" s="29" t="str">
        <f t="shared" si="1"/>
        <v/>
      </c>
      <c r="I404" s="29" t="str">
        <f t="shared" si="2"/>
        <v/>
      </c>
      <c r="J404" s="29" t="str">
        <f>IF(A404="", "", IFERROR(VLOOKUP(A404, 'Master Roster'!A:H, 8, FALSE) - F404, ""))</f>
        <v/>
      </c>
      <c r="K404" s="29" t="s">
        <v>175</v>
      </c>
      <c r="L404" s="29" t="b">
        <v>0</v>
      </c>
      <c r="M404" s="29"/>
      <c r="N404" s="29" t="s">
        <v>175</v>
      </c>
      <c r="O404" s="29" t="str">
        <f>IF(ISBLANK(A404), "", LET(entry_day, VLOOKUP(A404, 'Master Roster'!$A:$G, 7, FALSE), start_date, DATE(E404, MONTH(D404&amp;" 1"), entry_day), end_date, EDATE(start_date, 1), period, TEXT(start_date, "mmm d, yyyy") &amp; " - " &amp; TEXT(end_date, "mmm d, yyyy"), HYPERLINK("https://wa.me/" &amp; VLOOKUP(A404, 'Master Roster'!$A:$F, 6, FALSE) &amp; "?text=" &amp; ENCODEURL("Hello " &amp; IFERROR(IF(VLOOKUP(A404, 'Master Roster'!$A:$J, 10, FALSE)="Male", "Mr. ", "Ms. "), "") &amp; B404 &amp; ", payment of K" &amp; F404 &amp; " received for " &amp; period &amp; ". Receipt No: " &amp; N404), "Send Receipt")))</f>
        <v/>
      </c>
    </row>
    <row r="405">
      <c r="A405" s="29"/>
      <c r="B405" s="29" t="s">
        <v>175</v>
      </c>
      <c r="C405" s="76"/>
      <c r="D405" s="29"/>
      <c r="E405" s="29"/>
      <c r="F405" s="29"/>
      <c r="G405" s="29"/>
      <c r="H405" s="29" t="str">
        <f t="shared" si="1"/>
        <v/>
      </c>
      <c r="I405" s="29" t="str">
        <f t="shared" si="2"/>
        <v/>
      </c>
      <c r="J405" s="29" t="str">
        <f>IF(A405="", "", IFERROR(VLOOKUP(A405, 'Master Roster'!A:H, 8, FALSE) - F405, ""))</f>
        <v/>
      </c>
      <c r="K405" s="29" t="s">
        <v>175</v>
      </c>
      <c r="L405" s="29" t="b">
        <v>0</v>
      </c>
      <c r="M405" s="29"/>
      <c r="N405" s="29" t="s">
        <v>175</v>
      </c>
      <c r="O405" s="29" t="str">
        <f>IF(ISBLANK(A405), "", LET(entry_day, VLOOKUP(A405, 'Master Roster'!$A:$G, 7, FALSE), start_date, DATE(E405, MONTH(D405&amp;" 1"), entry_day), end_date, EDATE(start_date, 1), period, TEXT(start_date, "mmm d, yyyy") &amp; " - " &amp; TEXT(end_date, "mmm d, yyyy"), HYPERLINK("https://wa.me/" &amp; VLOOKUP(A405, 'Master Roster'!$A:$F, 6, FALSE) &amp; "?text=" &amp; ENCODEURL("Hello " &amp; IFERROR(IF(VLOOKUP(A405, 'Master Roster'!$A:$J, 10, FALSE)="Male", "Mr. ", "Ms. "), "") &amp; B405 &amp; ", payment of K" &amp; F405 &amp; " received for " &amp; period &amp; ". Receipt No: " &amp; N405), "Send Receipt")))</f>
        <v/>
      </c>
    </row>
    <row r="406">
      <c r="A406" s="29"/>
      <c r="B406" s="29" t="s">
        <v>175</v>
      </c>
      <c r="C406" s="76"/>
      <c r="D406" s="29"/>
      <c r="E406" s="29"/>
      <c r="F406" s="29"/>
      <c r="G406" s="29"/>
      <c r="H406" s="29" t="str">
        <f t="shared" si="1"/>
        <v/>
      </c>
      <c r="I406" s="29" t="str">
        <f t="shared" si="2"/>
        <v/>
      </c>
      <c r="J406" s="29" t="str">
        <f>IF(A406="", "", IFERROR(VLOOKUP(A406, 'Master Roster'!A:H, 8, FALSE) - F406, ""))</f>
        <v/>
      </c>
      <c r="K406" s="29" t="s">
        <v>175</v>
      </c>
      <c r="L406" s="29" t="b">
        <v>0</v>
      </c>
      <c r="M406" s="29"/>
      <c r="N406" s="29" t="s">
        <v>175</v>
      </c>
      <c r="O406" s="29" t="str">
        <f>IF(ISBLANK(A406), "", LET(entry_day, VLOOKUP(A406, 'Master Roster'!$A:$G, 7, FALSE), start_date, DATE(E406, MONTH(D406&amp;" 1"), entry_day), end_date, EDATE(start_date, 1), period, TEXT(start_date, "mmm d, yyyy") &amp; " - " &amp; TEXT(end_date, "mmm d, yyyy"), HYPERLINK("https://wa.me/" &amp; VLOOKUP(A406, 'Master Roster'!$A:$F, 6, FALSE) &amp; "?text=" &amp; ENCODEURL("Hello " &amp; IFERROR(IF(VLOOKUP(A406, 'Master Roster'!$A:$J, 10, FALSE)="Male", "Mr. ", "Ms. "), "") &amp; B406 &amp; ", payment of K" &amp; F406 &amp; " received for " &amp; period &amp; ". Receipt No: " &amp; N406), "Send Receipt")))</f>
        <v/>
      </c>
    </row>
    <row r="407">
      <c r="A407" s="29"/>
      <c r="B407" s="29" t="s">
        <v>175</v>
      </c>
      <c r="C407" s="76"/>
      <c r="D407" s="29"/>
      <c r="E407" s="29"/>
      <c r="F407" s="29"/>
      <c r="G407" s="29"/>
      <c r="H407" s="29" t="str">
        <f t="shared" si="1"/>
        <v/>
      </c>
      <c r="I407" s="29" t="str">
        <f t="shared" si="2"/>
        <v/>
      </c>
      <c r="J407" s="29" t="str">
        <f>IF(A407="", "", IFERROR(VLOOKUP(A407, 'Master Roster'!A:H, 8, FALSE) - F407, ""))</f>
        <v/>
      </c>
      <c r="K407" s="29" t="s">
        <v>175</v>
      </c>
      <c r="L407" s="29" t="b">
        <v>0</v>
      </c>
      <c r="M407" s="29"/>
      <c r="N407" s="29" t="s">
        <v>175</v>
      </c>
      <c r="O407" s="29" t="str">
        <f>IF(ISBLANK(A407), "", LET(entry_day, VLOOKUP(A407, 'Master Roster'!$A:$G, 7, FALSE), start_date, DATE(E407, MONTH(D407&amp;" 1"), entry_day), end_date, EDATE(start_date, 1), period, TEXT(start_date, "mmm d, yyyy") &amp; " - " &amp; TEXT(end_date, "mmm d, yyyy"), HYPERLINK("https://wa.me/" &amp; VLOOKUP(A407, 'Master Roster'!$A:$F, 6, FALSE) &amp; "?text=" &amp; ENCODEURL("Hello " &amp; IFERROR(IF(VLOOKUP(A407, 'Master Roster'!$A:$J, 10, FALSE)="Male", "Mr. ", "Ms. "), "") &amp; B407 &amp; ", payment of K" &amp; F407 &amp; " received for " &amp; period &amp; ". Receipt No: " &amp; N407), "Send Receipt")))</f>
        <v/>
      </c>
    </row>
    <row r="408">
      <c r="A408" s="29"/>
      <c r="B408" s="29" t="s">
        <v>175</v>
      </c>
      <c r="C408" s="76"/>
      <c r="D408" s="29"/>
      <c r="E408" s="29"/>
      <c r="F408" s="29"/>
      <c r="G408" s="29"/>
      <c r="H408" s="29" t="str">
        <f t="shared" si="1"/>
        <v/>
      </c>
      <c r="I408" s="29" t="str">
        <f t="shared" si="2"/>
        <v/>
      </c>
      <c r="J408" s="29" t="str">
        <f>IF(A408="", "", IFERROR(VLOOKUP(A408, 'Master Roster'!A:H, 8, FALSE) - F408, ""))</f>
        <v/>
      </c>
      <c r="K408" s="29" t="s">
        <v>175</v>
      </c>
      <c r="L408" s="29" t="b">
        <v>0</v>
      </c>
      <c r="M408" s="29"/>
      <c r="N408" s="29" t="s">
        <v>175</v>
      </c>
      <c r="O408" s="29" t="str">
        <f>IF(ISBLANK(A408), "", LET(entry_day, VLOOKUP(A408, 'Master Roster'!$A:$G, 7, FALSE), start_date, DATE(E408, MONTH(D408&amp;" 1"), entry_day), end_date, EDATE(start_date, 1), period, TEXT(start_date, "mmm d, yyyy") &amp; " - " &amp; TEXT(end_date, "mmm d, yyyy"), HYPERLINK("https://wa.me/" &amp; VLOOKUP(A408, 'Master Roster'!$A:$F, 6, FALSE) &amp; "?text=" &amp; ENCODEURL("Hello " &amp; IFERROR(IF(VLOOKUP(A408, 'Master Roster'!$A:$J, 10, FALSE)="Male", "Mr. ", "Ms. "), "") &amp; B408 &amp; ", payment of K" &amp; F408 &amp; " received for " &amp; period &amp; ". Receipt No: " &amp; N408), "Send Receipt")))</f>
        <v/>
      </c>
    </row>
    <row r="409">
      <c r="A409" s="29"/>
      <c r="B409" s="29" t="s">
        <v>175</v>
      </c>
      <c r="C409" s="76"/>
      <c r="D409" s="29"/>
      <c r="E409" s="29"/>
      <c r="F409" s="29"/>
      <c r="G409" s="29"/>
      <c r="H409" s="29" t="str">
        <f t="shared" si="1"/>
        <v/>
      </c>
      <c r="I409" s="29" t="str">
        <f t="shared" si="2"/>
        <v/>
      </c>
      <c r="J409" s="29" t="str">
        <f>IF(A409="", "", IFERROR(VLOOKUP(A409, 'Master Roster'!A:H, 8, FALSE) - F409, ""))</f>
        <v/>
      </c>
      <c r="K409" s="29" t="s">
        <v>175</v>
      </c>
      <c r="L409" s="29" t="b">
        <v>0</v>
      </c>
      <c r="M409" s="29"/>
      <c r="N409" s="29" t="s">
        <v>175</v>
      </c>
      <c r="O409" s="29" t="str">
        <f>IF(ISBLANK(A409), "", LET(entry_day, VLOOKUP(A409, 'Master Roster'!$A:$G, 7, FALSE), start_date, DATE(E409, MONTH(D409&amp;" 1"), entry_day), end_date, EDATE(start_date, 1), period, TEXT(start_date, "mmm d, yyyy") &amp; " - " &amp; TEXT(end_date, "mmm d, yyyy"), HYPERLINK("https://wa.me/" &amp; VLOOKUP(A409, 'Master Roster'!$A:$F, 6, FALSE) &amp; "?text=" &amp; ENCODEURL("Hello " &amp; IFERROR(IF(VLOOKUP(A409, 'Master Roster'!$A:$J, 10, FALSE)="Male", "Mr. ", "Ms. "), "") &amp; B409 &amp; ", payment of K" &amp; F409 &amp; " received for " &amp; period &amp; ". Receipt No: " &amp; N409), "Send Receipt")))</f>
        <v/>
      </c>
    </row>
    <row r="410">
      <c r="A410" s="29"/>
      <c r="B410" s="29" t="s">
        <v>175</v>
      </c>
      <c r="C410" s="76"/>
      <c r="D410" s="29"/>
      <c r="E410" s="29"/>
      <c r="F410" s="29"/>
      <c r="G410" s="29"/>
      <c r="H410" s="29" t="str">
        <f t="shared" si="1"/>
        <v/>
      </c>
      <c r="I410" s="29" t="str">
        <f t="shared" si="2"/>
        <v/>
      </c>
      <c r="J410" s="29" t="str">
        <f>IF(A410="", "", IFERROR(VLOOKUP(A410, 'Master Roster'!A:H, 8, FALSE) - F410, ""))</f>
        <v/>
      </c>
      <c r="K410" s="29" t="s">
        <v>175</v>
      </c>
      <c r="L410" s="29" t="b">
        <v>0</v>
      </c>
      <c r="M410" s="29"/>
      <c r="N410" s="29" t="s">
        <v>175</v>
      </c>
      <c r="O410" s="29" t="str">
        <f>IF(ISBLANK(A410), "", LET(entry_day, VLOOKUP(A410, 'Master Roster'!$A:$G, 7, FALSE), start_date, DATE(E410, MONTH(D410&amp;" 1"), entry_day), end_date, EDATE(start_date, 1), period, TEXT(start_date, "mmm d, yyyy") &amp; " - " &amp; TEXT(end_date, "mmm d, yyyy"), HYPERLINK("https://wa.me/" &amp; VLOOKUP(A410, 'Master Roster'!$A:$F, 6, FALSE) &amp; "?text=" &amp; ENCODEURL("Hello " &amp; IFERROR(IF(VLOOKUP(A410, 'Master Roster'!$A:$J, 10, FALSE)="Male", "Mr. ", "Ms. "), "") &amp; B410 &amp; ", payment of K" &amp; F410 &amp; " received for " &amp; period &amp; ". Receipt No: " &amp; N410), "Send Receipt")))</f>
        <v/>
      </c>
    </row>
    <row r="411">
      <c r="A411" s="29"/>
      <c r="B411" s="29" t="s">
        <v>175</v>
      </c>
      <c r="C411" s="76"/>
      <c r="D411" s="29"/>
      <c r="E411" s="29"/>
      <c r="F411" s="29"/>
      <c r="G411" s="29"/>
      <c r="H411" s="29" t="str">
        <f t="shared" si="1"/>
        <v/>
      </c>
      <c r="I411" s="29" t="str">
        <f t="shared" si="2"/>
        <v/>
      </c>
      <c r="J411" s="29" t="str">
        <f>IF(A411="", "", IFERROR(VLOOKUP(A411, 'Master Roster'!A:H, 8, FALSE) - F411, ""))</f>
        <v/>
      </c>
      <c r="K411" s="29" t="s">
        <v>175</v>
      </c>
      <c r="L411" s="29" t="b">
        <v>0</v>
      </c>
      <c r="M411" s="29"/>
      <c r="N411" s="29" t="s">
        <v>175</v>
      </c>
      <c r="O411" s="29" t="str">
        <f>IF(ISBLANK(A411), "", LET(entry_day, VLOOKUP(A411, 'Master Roster'!$A:$G, 7, FALSE), start_date, DATE(E411, MONTH(D411&amp;" 1"), entry_day), end_date, EDATE(start_date, 1), period, TEXT(start_date, "mmm d, yyyy") &amp; " - " &amp; TEXT(end_date, "mmm d, yyyy"), HYPERLINK("https://wa.me/" &amp; VLOOKUP(A411, 'Master Roster'!$A:$F, 6, FALSE) &amp; "?text=" &amp; ENCODEURL("Hello " &amp; IFERROR(IF(VLOOKUP(A411, 'Master Roster'!$A:$J, 10, FALSE)="Male", "Mr. ", "Ms. "), "") &amp; B411 &amp; ", payment of K" &amp; F411 &amp; " received for " &amp; period &amp; ". Receipt No: " &amp; N411), "Send Receipt")))</f>
        <v/>
      </c>
    </row>
    <row r="412">
      <c r="A412" s="29"/>
      <c r="B412" s="29" t="s">
        <v>175</v>
      </c>
      <c r="C412" s="76"/>
      <c r="D412" s="29"/>
      <c r="E412" s="29"/>
      <c r="F412" s="29"/>
      <c r="G412" s="29"/>
      <c r="H412" s="29" t="str">
        <f t="shared" si="1"/>
        <v/>
      </c>
      <c r="I412" s="29" t="str">
        <f t="shared" si="2"/>
        <v/>
      </c>
      <c r="J412" s="29" t="str">
        <f>IF(A412="", "", IFERROR(VLOOKUP(A412, 'Master Roster'!A:H, 8, FALSE) - F412, ""))</f>
        <v/>
      </c>
      <c r="K412" s="29" t="s">
        <v>175</v>
      </c>
      <c r="L412" s="29" t="b">
        <v>0</v>
      </c>
      <c r="M412" s="29"/>
      <c r="N412" s="29" t="s">
        <v>175</v>
      </c>
      <c r="O412" s="29" t="str">
        <f>IF(ISBLANK(A412), "", LET(entry_day, VLOOKUP(A412, 'Master Roster'!$A:$G, 7, FALSE), start_date, DATE(E412, MONTH(D412&amp;" 1"), entry_day), end_date, EDATE(start_date, 1), period, TEXT(start_date, "mmm d, yyyy") &amp; " - " &amp; TEXT(end_date, "mmm d, yyyy"), HYPERLINK("https://wa.me/" &amp; VLOOKUP(A412, 'Master Roster'!$A:$F, 6, FALSE) &amp; "?text=" &amp; ENCODEURL("Hello " &amp; IFERROR(IF(VLOOKUP(A412, 'Master Roster'!$A:$J, 10, FALSE)="Male", "Mr. ", "Ms. "), "") &amp; B412 &amp; ", payment of K" &amp; F412 &amp; " received for " &amp; period &amp; ". Receipt No: " &amp; N412), "Send Receipt")))</f>
        <v/>
      </c>
    </row>
    <row r="413">
      <c r="A413" s="29"/>
      <c r="B413" s="29" t="s">
        <v>175</v>
      </c>
      <c r="C413" s="76"/>
      <c r="D413" s="29"/>
      <c r="E413" s="29"/>
      <c r="F413" s="29"/>
      <c r="G413" s="29"/>
      <c r="H413" s="29" t="str">
        <f t="shared" si="1"/>
        <v/>
      </c>
      <c r="I413" s="29" t="str">
        <f t="shared" si="2"/>
        <v/>
      </c>
      <c r="J413" s="29" t="str">
        <f>IF(A413="", "", IFERROR(VLOOKUP(A413, 'Master Roster'!A:H, 8, FALSE) - F413, ""))</f>
        <v/>
      </c>
      <c r="K413" s="29" t="s">
        <v>175</v>
      </c>
      <c r="L413" s="29" t="b">
        <v>0</v>
      </c>
      <c r="M413" s="29"/>
      <c r="N413" s="29" t="s">
        <v>175</v>
      </c>
      <c r="O413" s="29" t="str">
        <f>IF(ISBLANK(A413), "", LET(entry_day, VLOOKUP(A413, 'Master Roster'!$A:$G, 7, FALSE), start_date, DATE(E413, MONTH(D413&amp;" 1"), entry_day), end_date, EDATE(start_date, 1), period, TEXT(start_date, "mmm d, yyyy") &amp; " - " &amp; TEXT(end_date, "mmm d, yyyy"), HYPERLINK("https://wa.me/" &amp; VLOOKUP(A413, 'Master Roster'!$A:$F, 6, FALSE) &amp; "?text=" &amp; ENCODEURL("Hello " &amp; IFERROR(IF(VLOOKUP(A413, 'Master Roster'!$A:$J, 10, FALSE)="Male", "Mr. ", "Ms. "), "") &amp; B413 &amp; ", payment of K" &amp; F413 &amp; " received for " &amp; period &amp; ". Receipt No: " &amp; N413), "Send Receipt")))</f>
        <v/>
      </c>
    </row>
    <row r="414">
      <c r="A414" s="29"/>
      <c r="B414" s="29" t="s">
        <v>175</v>
      </c>
      <c r="C414" s="76"/>
      <c r="D414" s="29"/>
      <c r="E414" s="29"/>
      <c r="F414" s="29"/>
      <c r="G414" s="29"/>
      <c r="H414" s="29" t="str">
        <f t="shared" si="1"/>
        <v/>
      </c>
      <c r="I414" s="29" t="str">
        <f t="shared" si="2"/>
        <v/>
      </c>
      <c r="J414" s="29" t="str">
        <f>IF(A414="", "", IFERROR(VLOOKUP(A414, 'Master Roster'!A:H, 8, FALSE) - F414, ""))</f>
        <v/>
      </c>
      <c r="K414" s="29" t="s">
        <v>175</v>
      </c>
      <c r="L414" s="29" t="b">
        <v>0</v>
      </c>
      <c r="M414" s="29"/>
      <c r="N414" s="29" t="s">
        <v>175</v>
      </c>
      <c r="O414" s="29" t="str">
        <f>IF(ISBLANK(A414), "", LET(entry_day, VLOOKUP(A414, 'Master Roster'!$A:$G, 7, FALSE), start_date, DATE(E414, MONTH(D414&amp;" 1"), entry_day), end_date, EDATE(start_date, 1), period, TEXT(start_date, "mmm d, yyyy") &amp; " - " &amp; TEXT(end_date, "mmm d, yyyy"), HYPERLINK("https://wa.me/" &amp; VLOOKUP(A414, 'Master Roster'!$A:$F, 6, FALSE) &amp; "?text=" &amp; ENCODEURL("Hello " &amp; IFERROR(IF(VLOOKUP(A414, 'Master Roster'!$A:$J, 10, FALSE)="Male", "Mr. ", "Ms. "), "") &amp; B414 &amp; ", payment of K" &amp; F414 &amp; " received for " &amp; period &amp; ". Receipt No: " &amp; N414), "Send Receipt")))</f>
        <v/>
      </c>
    </row>
    <row r="415">
      <c r="A415" s="29"/>
      <c r="B415" s="29" t="s">
        <v>175</v>
      </c>
      <c r="C415" s="76"/>
      <c r="D415" s="29"/>
      <c r="E415" s="29"/>
      <c r="F415" s="29"/>
      <c r="G415" s="29"/>
      <c r="H415" s="29" t="str">
        <f t="shared" si="1"/>
        <v/>
      </c>
      <c r="I415" s="29" t="str">
        <f t="shared" si="2"/>
        <v/>
      </c>
      <c r="J415" s="29" t="str">
        <f>IF(A415="", "", IFERROR(VLOOKUP(A415, 'Master Roster'!A:H, 8, FALSE) - F415, ""))</f>
        <v/>
      </c>
      <c r="K415" s="29" t="s">
        <v>175</v>
      </c>
      <c r="L415" s="29" t="b">
        <v>0</v>
      </c>
      <c r="M415" s="29"/>
      <c r="N415" s="29" t="s">
        <v>175</v>
      </c>
      <c r="O415" s="29" t="str">
        <f>IF(ISBLANK(A415), "", LET(entry_day, VLOOKUP(A415, 'Master Roster'!$A:$G, 7, FALSE), start_date, DATE(E415, MONTH(D415&amp;" 1"), entry_day), end_date, EDATE(start_date, 1), period, TEXT(start_date, "mmm d, yyyy") &amp; " - " &amp; TEXT(end_date, "mmm d, yyyy"), HYPERLINK("https://wa.me/" &amp; VLOOKUP(A415, 'Master Roster'!$A:$F, 6, FALSE) &amp; "?text=" &amp; ENCODEURL("Hello " &amp; IFERROR(IF(VLOOKUP(A415, 'Master Roster'!$A:$J, 10, FALSE)="Male", "Mr. ", "Ms. "), "") &amp; B415 &amp; ", payment of K" &amp; F415 &amp; " received for " &amp; period &amp; ". Receipt No: " &amp; N415), "Send Receipt")))</f>
        <v/>
      </c>
    </row>
    <row r="416">
      <c r="A416" s="29"/>
      <c r="B416" s="29" t="s">
        <v>175</v>
      </c>
      <c r="C416" s="76"/>
      <c r="D416" s="29"/>
      <c r="E416" s="29"/>
      <c r="F416" s="29"/>
      <c r="G416" s="29"/>
      <c r="H416" s="29" t="str">
        <f t="shared" si="1"/>
        <v/>
      </c>
      <c r="I416" s="29" t="str">
        <f t="shared" si="2"/>
        <v/>
      </c>
      <c r="J416" s="29" t="str">
        <f>IF(A416="", "", IFERROR(VLOOKUP(A416, 'Master Roster'!A:H, 8, FALSE) - F416, ""))</f>
        <v/>
      </c>
      <c r="K416" s="29" t="s">
        <v>175</v>
      </c>
      <c r="L416" s="29" t="b">
        <v>0</v>
      </c>
      <c r="M416" s="29"/>
      <c r="N416" s="29" t="s">
        <v>175</v>
      </c>
      <c r="O416" s="29" t="str">
        <f>IF(ISBLANK(A416), "", LET(entry_day, VLOOKUP(A416, 'Master Roster'!$A:$G, 7, FALSE), start_date, DATE(E416, MONTH(D416&amp;" 1"), entry_day), end_date, EDATE(start_date, 1), period, TEXT(start_date, "mmm d, yyyy") &amp; " - " &amp; TEXT(end_date, "mmm d, yyyy"), HYPERLINK("https://wa.me/" &amp; VLOOKUP(A416, 'Master Roster'!$A:$F, 6, FALSE) &amp; "?text=" &amp; ENCODEURL("Hello " &amp; IFERROR(IF(VLOOKUP(A416, 'Master Roster'!$A:$J, 10, FALSE)="Male", "Mr. ", "Ms. "), "") &amp; B416 &amp; ", payment of K" &amp; F416 &amp; " received for " &amp; period &amp; ". Receipt No: " &amp; N416), "Send Receipt")))</f>
        <v/>
      </c>
    </row>
    <row r="417">
      <c r="A417" s="29"/>
      <c r="B417" s="29" t="s">
        <v>175</v>
      </c>
      <c r="C417" s="76"/>
      <c r="D417" s="29"/>
      <c r="E417" s="29"/>
      <c r="F417" s="29"/>
      <c r="G417" s="29"/>
      <c r="H417" s="29" t="str">
        <f t="shared" si="1"/>
        <v/>
      </c>
      <c r="I417" s="29" t="str">
        <f t="shared" si="2"/>
        <v/>
      </c>
      <c r="J417" s="29" t="str">
        <f>IF(A417="", "", IFERROR(VLOOKUP(A417, 'Master Roster'!A:H, 8, FALSE) - F417, ""))</f>
        <v/>
      </c>
      <c r="K417" s="29" t="s">
        <v>175</v>
      </c>
      <c r="L417" s="29" t="b">
        <v>0</v>
      </c>
      <c r="M417" s="29"/>
      <c r="N417" s="29" t="s">
        <v>175</v>
      </c>
      <c r="O417" s="29" t="str">
        <f>IF(ISBLANK(A417), "", LET(entry_day, VLOOKUP(A417, 'Master Roster'!$A:$G, 7, FALSE), start_date, DATE(E417, MONTH(D417&amp;" 1"), entry_day), end_date, EDATE(start_date, 1), period, TEXT(start_date, "mmm d, yyyy") &amp; " - " &amp; TEXT(end_date, "mmm d, yyyy"), HYPERLINK("https://wa.me/" &amp; VLOOKUP(A417, 'Master Roster'!$A:$F, 6, FALSE) &amp; "?text=" &amp; ENCODEURL("Hello " &amp; IFERROR(IF(VLOOKUP(A417, 'Master Roster'!$A:$J, 10, FALSE)="Male", "Mr. ", "Ms. "), "") &amp; B417 &amp; ", payment of K" &amp; F417 &amp; " received for " &amp; period &amp; ". Receipt No: " &amp; N417), "Send Receipt")))</f>
        <v/>
      </c>
    </row>
    <row r="418">
      <c r="A418" s="29"/>
      <c r="B418" s="29" t="s">
        <v>175</v>
      </c>
      <c r="C418" s="76"/>
      <c r="D418" s="29"/>
      <c r="E418" s="29"/>
      <c r="F418" s="29"/>
      <c r="G418" s="29"/>
      <c r="H418" s="29" t="str">
        <f t="shared" si="1"/>
        <v/>
      </c>
      <c r="I418" s="29" t="str">
        <f t="shared" si="2"/>
        <v/>
      </c>
      <c r="J418" s="29" t="str">
        <f>IF(A418="", "", IFERROR(VLOOKUP(A418, 'Master Roster'!A:H, 8, FALSE) - F418, ""))</f>
        <v/>
      </c>
      <c r="K418" s="29" t="s">
        <v>175</v>
      </c>
      <c r="L418" s="29" t="b">
        <v>0</v>
      </c>
      <c r="M418" s="29"/>
      <c r="N418" s="29" t="s">
        <v>175</v>
      </c>
      <c r="O418" s="29" t="str">
        <f>IF(ISBLANK(A418), "", LET(entry_day, VLOOKUP(A418, 'Master Roster'!$A:$G, 7, FALSE), start_date, DATE(E418, MONTH(D418&amp;" 1"), entry_day), end_date, EDATE(start_date, 1), period, TEXT(start_date, "mmm d, yyyy") &amp; " - " &amp; TEXT(end_date, "mmm d, yyyy"), HYPERLINK("https://wa.me/" &amp; VLOOKUP(A418, 'Master Roster'!$A:$F, 6, FALSE) &amp; "?text=" &amp; ENCODEURL("Hello " &amp; IFERROR(IF(VLOOKUP(A418, 'Master Roster'!$A:$J, 10, FALSE)="Male", "Mr. ", "Ms. "), "") &amp; B418 &amp; ", payment of K" &amp; F418 &amp; " received for " &amp; period &amp; ". Receipt No: " &amp; N418), "Send Receipt")))</f>
        <v/>
      </c>
    </row>
    <row r="419">
      <c r="A419" s="29"/>
      <c r="B419" s="29" t="s">
        <v>175</v>
      </c>
      <c r="C419" s="76"/>
      <c r="D419" s="29"/>
      <c r="E419" s="29"/>
      <c r="F419" s="29"/>
      <c r="G419" s="29"/>
      <c r="H419" s="29" t="str">
        <f t="shared" si="1"/>
        <v/>
      </c>
      <c r="I419" s="29" t="str">
        <f t="shared" si="2"/>
        <v/>
      </c>
      <c r="J419" s="29" t="str">
        <f>IF(A419="", "", IFERROR(VLOOKUP(A419, 'Master Roster'!A:H, 8, FALSE) - F419, ""))</f>
        <v/>
      </c>
      <c r="K419" s="29" t="s">
        <v>175</v>
      </c>
      <c r="L419" s="29" t="b">
        <v>0</v>
      </c>
      <c r="M419" s="29"/>
      <c r="N419" s="29" t="s">
        <v>175</v>
      </c>
      <c r="O419" s="29" t="str">
        <f>IF(ISBLANK(A419), "", LET(entry_day, VLOOKUP(A419, 'Master Roster'!$A:$G, 7, FALSE), start_date, DATE(E419, MONTH(D419&amp;" 1"), entry_day), end_date, EDATE(start_date, 1), period, TEXT(start_date, "mmm d, yyyy") &amp; " - " &amp; TEXT(end_date, "mmm d, yyyy"), HYPERLINK("https://wa.me/" &amp; VLOOKUP(A419, 'Master Roster'!$A:$F, 6, FALSE) &amp; "?text=" &amp; ENCODEURL("Hello " &amp; IFERROR(IF(VLOOKUP(A419, 'Master Roster'!$A:$J, 10, FALSE)="Male", "Mr. ", "Ms. "), "") &amp; B419 &amp; ", payment of K" &amp; F419 &amp; " received for " &amp; period &amp; ". Receipt No: " &amp; N419), "Send Receipt")))</f>
        <v/>
      </c>
    </row>
    <row r="420">
      <c r="A420" s="29"/>
      <c r="B420" s="29" t="s">
        <v>175</v>
      </c>
      <c r="C420" s="76"/>
      <c r="D420" s="29"/>
      <c r="E420" s="29"/>
      <c r="F420" s="29"/>
      <c r="G420" s="29"/>
      <c r="H420" s="29" t="str">
        <f t="shared" si="1"/>
        <v/>
      </c>
      <c r="I420" s="29" t="str">
        <f t="shared" si="2"/>
        <v/>
      </c>
      <c r="J420" s="29" t="str">
        <f>IF(A420="", "", IFERROR(VLOOKUP(A420, 'Master Roster'!A:H, 8, FALSE) - F420, ""))</f>
        <v/>
      </c>
      <c r="K420" s="29" t="s">
        <v>175</v>
      </c>
      <c r="L420" s="29" t="b">
        <v>0</v>
      </c>
      <c r="M420" s="29"/>
      <c r="N420" s="29" t="s">
        <v>175</v>
      </c>
      <c r="O420" s="29" t="str">
        <f>IF(ISBLANK(A420), "", LET(entry_day, VLOOKUP(A420, 'Master Roster'!$A:$G, 7, FALSE), start_date, DATE(E420, MONTH(D420&amp;" 1"), entry_day), end_date, EDATE(start_date, 1), period, TEXT(start_date, "mmm d, yyyy") &amp; " - " &amp; TEXT(end_date, "mmm d, yyyy"), HYPERLINK("https://wa.me/" &amp; VLOOKUP(A420, 'Master Roster'!$A:$F, 6, FALSE) &amp; "?text=" &amp; ENCODEURL("Hello " &amp; IFERROR(IF(VLOOKUP(A420, 'Master Roster'!$A:$J, 10, FALSE)="Male", "Mr. ", "Ms. "), "") &amp; B420 &amp; ", payment of K" &amp; F420 &amp; " received for " &amp; period &amp; ". Receipt No: " &amp; N420), "Send Receipt")))</f>
        <v/>
      </c>
    </row>
    <row r="421">
      <c r="A421" s="29"/>
      <c r="B421" s="29" t="s">
        <v>175</v>
      </c>
      <c r="C421" s="76"/>
      <c r="D421" s="29"/>
      <c r="E421" s="29"/>
      <c r="F421" s="29"/>
      <c r="G421" s="29"/>
      <c r="H421" s="29" t="str">
        <f t="shared" si="1"/>
        <v/>
      </c>
      <c r="I421" s="29" t="str">
        <f t="shared" si="2"/>
        <v/>
      </c>
      <c r="J421" s="29" t="str">
        <f>IF(A421="", "", IFERROR(VLOOKUP(A421, 'Master Roster'!A:H, 8, FALSE) - F421, ""))</f>
        <v/>
      </c>
      <c r="K421" s="29" t="s">
        <v>175</v>
      </c>
      <c r="L421" s="29" t="b">
        <v>0</v>
      </c>
      <c r="M421" s="29"/>
      <c r="N421" s="29" t="s">
        <v>175</v>
      </c>
      <c r="O421" s="29" t="str">
        <f>IF(ISBLANK(A421), "", LET(entry_day, VLOOKUP(A421, 'Master Roster'!$A:$G, 7, FALSE), start_date, DATE(E421, MONTH(D421&amp;" 1"), entry_day), end_date, EDATE(start_date, 1), period, TEXT(start_date, "mmm d, yyyy") &amp; " - " &amp; TEXT(end_date, "mmm d, yyyy"), HYPERLINK("https://wa.me/" &amp; VLOOKUP(A421, 'Master Roster'!$A:$F, 6, FALSE) &amp; "?text=" &amp; ENCODEURL("Hello " &amp; IFERROR(IF(VLOOKUP(A421, 'Master Roster'!$A:$J, 10, FALSE)="Male", "Mr. ", "Ms. "), "") &amp; B421 &amp; ", payment of K" &amp; F421 &amp; " received for " &amp; period &amp; ". Receipt No: " &amp; N421), "Send Receipt")))</f>
        <v/>
      </c>
    </row>
    <row r="422">
      <c r="A422" s="29"/>
      <c r="B422" s="29" t="s">
        <v>175</v>
      </c>
      <c r="C422" s="76"/>
      <c r="D422" s="29"/>
      <c r="E422" s="29"/>
      <c r="F422" s="29"/>
      <c r="G422" s="29"/>
      <c r="H422" s="29" t="str">
        <f t="shared" si="1"/>
        <v/>
      </c>
      <c r="I422" s="29" t="str">
        <f t="shared" si="2"/>
        <v/>
      </c>
      <c r="J422" s="29" t="str">
        <f>IF(A422="", "", IFERROR(VLOOKUP(A422, 'Master Roster'!A:H, 8, FALSE) - F422, ""))</f>
        <v/>
      </c>
      <c r="K422" s="29" t="s">
        <v>175</v>
      </c>
      <c r="L422" s="29" t="b">
        <v>0</v>
      </c>
      <c r="M422" s="29"/>
      <c r="N422" s="29" t="s">
        <v>175</v>
      </c>
      <c r="O422" s="29" t="str">
        <f>IF(ISBLANK(A422), "", LET(entry_day, VLOOKUP(A422, 'Master Roster'!$A:$G, 7, FALSE), start_date, DATE(E422, MONTH(D422&amp;" 1"), entry_day), end_date, EDATE(start_date, 1), period, TEXT(start_date, "mmm d, yyyy") &amp; " - " &amp; TEXT(end_date, "mmm d, yyyy"), HYPERLINK("https://wa.me/" &amp; VLOOKUP(A422, 'Master Roster'!$A:$F, 6, FALSE) &amp; "?text=" &amp; ENCODEURL("Hello " &amp; IFERROR(IF(VLOOKUP(A422, 'Master Roster'!$A:$J, 10, FALSE)="Male", "Mr. ", "Ms. "), "") &amp; B422 &amp; ", payment of K" &amp; F422 &amp; " received for " &amp; period &amp; ". Receipt No: " &amp; N422), "Send Receipt")))</f>
        <v/>
      </c>
    </row>
    <row r="423">
      <c r="A423" s="29"/>
      <c r="B423" s="29" t="s">
        <v>175</v>
      </c>
      <c r="C423" s="76"/>
      <c r="D423" s="29"/>
      <c r="E423" s="29"/>
      <c r="F423" s="29"/>
      <c r="G423" s="29"/>
      <c r="H423" s="29" t="str">
        <f t="shared" si="1"/>
        <v/>
      </c>
      <c r="I423" s="29" t="str">
        <f t="shared" si="2"/>
        <v/>
      </c>
      <c r="J423" s="29" t="str">
        <f>IF(A423="", "", IFERROR(VLOOKUP(A423, 'Master Roster'!A:H, 8, FALSE) - F423, ""))</f>
        <v/>
      </c>
      <c r="K423" s="29" t="s">
        <v>175</v>
      </c>
      <c r="L423" s="29" t="b">
        <v>0</v>
      </c>
      <c r="M423" s="29"/>
      <c r="N423" s="29" t="s">
        <v>175</v>
      </c>
      <c r="O423" s="29" t="str">
        <f>IF(ISBLANK(A423), "", LET(entry_day, VLOOKUP(A423, 'Master Roster'!$A:$G, 7, FALSE), start_date, DATE(E423, MONTH(D423&amp;" 1"), entry_day), end_date, EDATE(start_date, 1), period, TEXT(start_date, "mmm d, yyyy") &amp; " - " &amp; TEXT(end_date, "mmm d, yyyy"), HYPERLINK("https://wa.me/" &amp; VLOOKUP(A423, 'Master Roster'!$A:$F, 6, FALSE) &amp; "?text=" &amp; ENCODEURL("Hello " &amp; IFERROR(IF(VLOOKUP(A423, 'Master Roster'!$A:$J, 10, FALSE)="Male", "Mr. ", "Ms. "), "") &amp; B423 &amp; ", payment of K" &amp; F423 &amp; " received for " &amp; period &amp; ". Receipt No: " &amp; N423), "Send Receipt")))</f>
        <v/>
      </c>
    </row>
    <row r="424">
      <c r="A424" s="29"/>
      <c r="B424" s="29" t="s">
        <v>175</v>
      </c>
      <c r="C424" s="76"/>
      <c r="D424" s="29"/>
      <c r="E424" s="29"/>
      <c r="F424" s="29"/>
      <c r="G424" s="29"/>
      <c r="H424" s="29" t="str">
        <f t="shared" si="1"/>
        <v/>
      </c>
      <c r="I424" s="29" t="str">
        <f t="shared" si="2"/>
        <v/>
      </c>
      <c r="J424" s="29" t="str">
        <f>IF(A424="", "", IFERROR(VLOOKUP(A424, 'Master Roster'!A:H, 8, FALSE) - F424, ""))</f>
        <v/>
      </c>
      <c r="K424" s="29" t="s">
        <v>175</v>
      </c>
      <c r="L424" s="29" t="b">
        <v>0</v>
      </c>
      <c r="M424" s="29"/>
      <c r="N424" s="29" t="s">
        <v>175</v>
      </c>
      <c r="O424" s="29" t="str">
        <f>IF(ISBLANK(A424), "", LET(entry_day, VLOOKUP(A424, 'Master Roster'!$A:$G, 7, FALSE), start_date, DATE(E424, MONTH(D424&amp;" 1"), entry_day), end_date, EDATE(start_date, 1), period, TEXT(start_date, "mmm d, yyyy") &amp; " - " &amp; TEXT(end_date, "mmm d, yyyy"), HYPERLINK("https://wa.me/" &amp; VLOOKUP(A424, 'Master Roster'!$A:$F, 6, FALSE) &amp; "?text=" &amp; ENCODEURL("Hello " &amp; IFERROR(IF(VLOOKUP(A424, 'Master Roster'!$A:$J, 10, FALSE)="Male", "Mr. ", "Ms. "), "") &amp; B424 &amp; ", payment of K" &amp; F424 &amp; " received for " &amp; period &amp; ". Receipt No: " &amp; N424), "Send Receipt")))</f>
        <v/>
      </c>
    </row>
    <row r="425">
      <c r="A425" s="29"/>
      <c r="B425" s="29" t="s">
        <v>175</v>
      </c>
      <c r="C425" s="76"/>
      <c r="D425" s="29"/>
      <c r="E425" s="29"/>
      <c r="F425" s="29"/>
      <c r="G425" s="29"/>
      <c r="H425" s="29" t="str">
        <f t="shared" si="1"/>
        <v/>
      </c>
      <c r="I425" s="29" t="str">
        <f t="shared" si="2"/>
        <v/>
      </c>
      <c r="J425" s="29" t="str">
        <f>IF(A425="", "", IFERROR(VLOOKUP(A425, 'Master Roster'!A:H, 8, FALSE) - F425, ""))</f>
        <v/>
      </c>
      <c r="K425" s="29" t="s">
        <v>175</v>
      </c>
      <c r="L425" s="29" t="b">
        <v>0</v>
      </c>
      <c r="M425" s="29"/>
      <c r="N425" s="29" t="s">
        <v>175</v>
      </c>
      <c r="O425" s="29" t="str">
        <f>IF(ISBLANK(A425), "", LET(entry_day, VLOOKUP(A425, 'Master Roster'!$A:$G, 7, FALSE), start_date, DATE(E425, MONTH(D425&amp;" 1"), entry_day), end_date, EDATE(start_date, 1), period, TEXT(start_date, "mmm d, yyyy") &amp; " - " &amp; TEXT(end_date, "mmm d, yyyy"), HYPERLINK("https://wa.me/" &amp; VLOOKUP(A425, 'Master Roster'!$A:$F, 6, FALSE) &amp; "?text=" &amp; ENCODEURL("Hello " &amp; IFERROR(IF(VLOOKUP(A425, 'Master Roster'!$A:$J, 10, FALSE)="Male", "Mr. ", "Ms. "), "") &amp; B425 &amp; ", payment of K" &amp; F425 &amp; " received for " &amp; period &amp; ". Receipt No: " &amp; N425), "Send Receipt")))</f>
        <v/>
      </c>
    </row>
    <row r="426">
      <c r="A426" s="29"/>
      <c r="B426" s="29" t="s">
        <v>175</v>
      </c>
      <c r="C426" s="76"/>
      <c r="D426" s="29"/>
      <c r="E426" s="29"/>
      <c r="F426" s="29"/>
      <c r="G426" s="29"/>
      <c r="H426" s="29" t="str">
        <f t="shared" si="1"/>
        <v/>
      </c>
      <c r="I426" s="29" t="str">
        <f t="shared" si="2"/>
        <v/>
      </c>
      <c r="J426" s="29" t="str">
        <f>IF(A426="", "", IFERROR(VLOOKUP(A426, 'Master Roster'!A:H, 8, FALSE) - F426, ""))</f>
        <v/>
      </c>
      <c r="K426" s="29" t="s">
        <v>175</v>
      </c>
      <c r="L426" s="29" t="b">
        <v>0</v>
      </c>
      <c r="M426" s="29"/>
      <c r="N426" s="29" t="s">
        <v>175</v>
      </c>
      <c r="O426" s="29" t="str">
        <f>IF(ISBLANK(A426), "", LET(entry_day, VLOOKUP(A426, 'Master Roster'!$A:$G, 7, FALSE), start_date, DATE(E426, MONTH(D426&amp;" 1"), entry_day), end_date, EDATE(start_date, 1), period, TEXT(start_date, "mmm d, yyyy") &amp; " - " &amp; TEXT(end_date, "mmm d, yyyy"), HYPERLINK("https://wa.me/" &amp; VLOOKUP(A426, 'Master Roster'!$A:$F, 6, FALSE) &amp; "?text=" &amp; ENCODEURL("Hello " &amp; IFERROR(IF(VLOOKUP(A426, 'Master Roster'!$A:$J, 10, FALSE)="Male", "Mr. ", "Ms. "), "") &amp; B426 &amp; ", payment of K" &amp; F426 &amp; " received for " &amp; period &amp; ". Receipt No: " &amp; N426), "Send Receipt")))</f>
        <v/>
      </c>
    </row>
    <row r="427">
      <c r="A427" s="29"/>
      <c r="B427" s="29" t="s">
        <v>175</v>
      </c>
      <c r="C427" s="76"/>
      <c r="D427" s="29"/>
      <c r="E427" s="29"/>
      <c r="F427" s="29"/>
      <c r="G427" s="29"/>
      <c r="H427" s="29" t="str">
        <f t="shared" si="1"/>
        <v/>
      </c>
      <c r="I427" s="29" t="str">
        <f t="shared" si="2"/>
        <v/>
      </c>
      <c r="J427" s="29" t="str">
        <f>IF(A427="", "", IFERROR(VLOOKUP(A427, 'Master Roster'!A:H, 8, FALSE) - F427, ""))</f>
        <v/>
      </c>
      <c r="K427" s="29" t="s">
        <v>175</v>
      </c>
      <c r="L427" s="29" t="b">
        <v>0</v>
      </c>
      <c r="M427" s="29"/>
      <c r="N427" s="29" t="s">
        <v>175</v>
      </c>
      <c r="O427" s="29" t="str">
        <f>IF(ISBLANK(A427), "", LET(entry_day, VLOOKUP(A427, 'Master Roster'!$A:$G, 7, FALSE), start_date, DATE(E427, MONTH(D427&amp;" 1"), entry_day), end_date, EDATE(start_date, 1), period, TEXT(start_date, "mmm d, yyyy") &amp; " - " &amp; TEXT(end_date, "mmm d, yyyy"), HYPERLINK("https://wa.me/" &amp; VLOOKUP(A427, 'Master Roster'!$A:$F, 6, FALSE) &amp; "?text=" &amp; ENCODEURL("Hello " &amp; IFERROR(IF(VLOOKUP(A427, 'Master Roster'!$A:$J, 10, FALSE)="Male", "Mr. ", "Ms. "), "") &amp; B427 &amp; ", payment of K" &amp; F427 &amp; " received for " &amp; period &amp; ". Receipt No: " &amp; N427), "Send Receipt")))</f>
        <v/>
      </c>
    </row>
    <row r="428">
      <c r="A428" s="29"/>
      <c r="B428" s="29" t="s">
        <v>175</v>
      </c>
      <c r="C428" s="76"/>
      <c r="D428" s="29"/>
      <c r="E428" s="29"/>
      <c r="F428" s="29"/>
      <c r="G428" s="29"/>
      <c r="H428" s="29" t="str">
        <f t="shared" si="1"/>
        <v/>
      </c>
      <c r="I428" s="29" t="str">
        <f t="shared" si="2"/>
        <v/>
      </c>
      <c r="J428" s="29" t="str">
        <f>IF(A428="", "", IFERROR(VLOOKUP(A428, 'Master Roster'!A:H, 8, FALSE) - F428, ""))</f>
        <v/>
      </c>
      <c r="K428" s="29" t="s">
        <v>175</v>
      </c>
      <c r="L428" s="29" t="b">
        <v>0</v>
      </c>
      <c r="M428" s="29"/>
      <c r="N428" s="29" t="s">
        <v>175</v>
      </c>
      <c r="O428" s="29" t="str">
        <f>IF(ISBLANK(A428), "", LET(entry_day, VLOOKUP(A428, 'Master Roster'!$A:$G, 7, FALSE), start_date, DATE(E428, MONTH(D428&amp;" 1"), entry_day), end_date, EDATE(start_date, 1), period, TEXT(start_date, "mmm d, yyyy") &amp; " - " &amp; TEXT(end_date, "mmm d, yyyy"), HYPERLINK("https://wa.me/" &amp; VLOOKUP(A428, 'Master Roster'!$A:$F, 6, FALSE) &amp; "?text=" &amp; ENCODEURL("Hello " &amp; IFERROR(IF(VLOOKUP(A428, 'Master Roster'!$A:$J, 10, FALSE)="Male", "Mr. ", "Ms. "), "") &amp; B428 &amp; ", payment of K" &amp; F428 &amp; " received for " &amp; period &amp; ". Receipt No: " &amp; N428), "Send Receipt")))</f>
        <v/>
      </c>
    </row>
    <row r="429">
      <c r="A429" s="29"/>
      <c r="B429" s="29" t="s">
        <v>175</v>
      </c>
      <c r="C429" s="76"/>
      <c r="D429" s="29"/>
      <c r="E429" s="29"/>
      <c r="F429" s="29"/>
      <c r="G429" s="29"/>
      <c r="H429" s="29" t="str">
        <f t="shared" si="1"/>
        <v/>
      </c>
      <c r="I429" s="29" t="str">
        <f t="shared" si="2"/>
        <v/>
      </c>
      <c r="J429" s="29" t="str">
        <f>IF(A429="", "", IFERROR(VLOOKUP(A429, 'Master Roster'!A:H, 8, FALSE) - F429, ""))</f>
        <v/>
      </c>
      <c r="K429" s="29" t="s">
        <v>175</v>
      </c>
      <c r="L429" s="29" t="b">
        <v>0</v>
      </c>
      <c r="M429" s="29"/>
      <c r="N429" s="29" t="s">
        <v>175</v>
      </c>
      <c r="O429" s="29" t="str">
        <f>IF(ISBLANK(A429), "", LET(entry_day, VLOOKUP(A429, 'Master Roster'!$A:$G, 7, FALSE), start_date, DATE(E429, MONTH(D429&amp;" 1"), entry_day), end_date, EDATE(start_date, 1), period, TEXT(start_date, "mmm d, yyyy") &amp; " - " &amp; TEXT(end_date, "mmm d, yyyy"), HYPERLINK("https://wa.me/" &amp; VLOOKUP(A429, 'Master Roster'!$A:$F, 6, FALSE) &amp; "?text=" &amp; ENCODEURL("Hello " &amp; IFERROR(IF(VLOOKUP(A429, 'Master Roster'!$A:$J, 10, FALSE)="Male", "Mr. ", "Ms. "), "") &amp; B429 &amp; ", payment of K" &amp; F429 &amp; " received for " &amp; period &amp; ". Receipt No: " &amp; N429), "Send Receipt")))</f>
        <v/>
      </c>
    </row>
    <row r="430">
      <c r="A430" s="29"/>
      <c r="B430" s="29" t="s">
        <v>175</v>
      </c>
      <c r="C430" s="76"/>
      <c r="D430" s="29"/>
      <c r="E430" s="29"/>
      <c r="F430" s="29"/>
      <c r="G430" s="29"/>
      <c r="H430" s="29" t="str">
        <f t="shared" si="1"/>
        <v/>
      </c>
      <c r="I430" s="29" t="str">
        <f t="shared" si="2"/>
        <v/>
      </c>
      <c r="J430" s="29" t="str">
        <f>IF(A430="", "", IFERROR(VLOOKUP(A430, 'Master Roster'!A:H, 8, FALSE) - F430, ""))</f>
        <v/>
      </c>
      <c r="K430" s="29" t="s">
        <v>175</v>
      </c>
      <c r="L430" s="29" t="b">
        <v>0</v>
      </c>
      <c r="M430" s="29"/>
      <c r="N430" s="29" t="s">
        <v>175</v>
      </c>
      <c r="O430" s="29" t="str">
        <f>IF(ISBLANK(A430), "", LET(entry_day, VLOOKUP(A430, 'Master Roster'!$A:$G, 7, FALSE), start_date, DATE(E430, MONTH(D430&amp;" 1"), entry_day), end_date, EDATE(start_date, 1), period, TEXT(start_date, "mmm d, yyyy") &amp; " - " &amp; TEXT(end_date, "mmm d, yyyy"), HYPERLINK("https://wa.me/" &amp; VLOOKUP(A430, 'Master Roster'!$A:$F, 6, FALSE) &amp; "?text=" &amp; ENCODEURL("Hello " &amp; IFERROR(IF(VLOOKUP(A430, 'Master Roster'!$A:$J, 10, FALSE)="Male", "Mr. ", "Ms. "), "") &amp; B430 &amp; ", payment of K" &amp; F430 &amp; " received for " &amp; period &amp; ". Receipt No: " &amp; N430), "Send Receipt")))</f>
        <v/>
      </c>
    </row>
    <row r="431">
      <c r="A431" s="29"/>
      <c r="B431" s="29" t="s">
        <v>175</v>
      </c>
      <c r="C431" s="76"/>
      <c r="D431" s="29"/>
      <c r="E431" s="29"/>
      <c r="F431" s="29"/>
      <c r="G431" s="29"/>
      <c r="H431" s="29" t="str">
        <f t="shared" si="1"/>
        <v/>
      </c>
      <c r="I431" s="29" t="str">
        <f t="shared" si="2"/>
        <v/>
      </c>
      <c r="J431" s="29" t="str">
        <f>IF(A431="", "", IFERROR(VLOOKUP(A431, 'Master Roster'!A:H, 8, FALSE) - F431, ""))</f>
        <v/>
      </c>
      <c r="K431" s="29" t="s">
        <v>175</v>
      </c>
      <c r="L431" s="29" t="b">
        <v>0</v>
      </c>
      <c r="M431" s="29"/>
      <c r="N431" s="29" t="s">
        <v>175</v>
      </c>
      <c r="O431" s="29" t="str">
        <f>IF(ISBLANK(A431), "", LET(entry_day, VLOOKUP(A431, 'Master Roster'!$A:$G, 7, FALSE), start_date, DATE(E431, MONTH(D431&amp;" 1"), entry_day), end_date, EDATE(start_date, 1), period, TEXT(start_date, "mmm d, yyyy") &amp; " - " &amp; TEXT(end_date, "mmm d, yyyy"), HYPERLINK("https://wa.me/" &amp; VLOOKUP(A431, 'Master Roster'!$A:$F, 6, FALSE) &amp; "?text=" &amp; ENCODEURL("Hello " &amp; IFERROR(IF(VLOOKUP(A431, 'Master Roster'!$A:$J, 10, FALSE)="Male", "Mr. ", "Ms. "), "") &amp; B431 &amp; ", payment of K" &amp; F431 &amp; " received for " &amp; period &amp; ". Receipt No: " &amp; N431), "Send Receipt")))</f>
        <v/>
      </c>
    </row>
    <row r="432">
      <c r="A432" s="29"/>
      <c r="B432" s="29" t="s">
        <v>175</v>
      </c>
      <c r="C432" s="76"/>
      <c r="D432" s="29"/>
      <c r="E432" s="29"/>
      <c r="F432" s="29"/>
      <c r="G432" s="29"/>
      <c r="H432" s="29" t="str">
        <f t="shared" si="1"/>
        <v/>
      </c>
      <c r="I432" s="29" t="str">
        <f t="shared" si="2"/>
        <v/>
      </c>
      <c r="J432" s="29" t="str">
        <f>IF(A432="", "", IFERROR(VLOOKUP(A432, 'Master Roster'!A:H, 8, FALSE) - F432, ""))</f>
        <v/>
      </c>
      <c r="K432" s="29" t="s">
        <v>175</v>
      </c>
      <c r="L432" s="29" t="b">
        <v>0</v>
      </c>
      <c r="M432" s="29"/>
      <c r="N432" s="29" t="s">
        <v>175</v>
      </c>
      <c r="O432" s="29" t="str">
        <f>IF(ISBLANK(A432), "", LET(entry_day, VLOOKUP(A432, 'Master Roster'!$A:$G, 7, FALSE), start_date, DATE(E432, MONTH(D432&amp;" 1"), entry_day), end_date, EDATE(start_date, 1), period, TEXT(start_date, "mmm d, yyyy") &amp; " - " &amp; TEXT(end_date, "mmm d, yyyy"), HYPERLINK("https://wa.me/" &amp; VLOOKUP(A432, 'Master Roster'!$A:$F, 6, FALSE) &amp; "?text=" &amp; ENCODEURL("Hello " &amp; IFERROR(IF(VLOOKUP(A432, 'Master Roster'!$A:$J, 10, FALSE)="Male", "Mr. ", "Ms. "), "") &amp; B432 &amp; ", payment of K" &amp; F432 &amp; " received for " &amp; period &amp; ". Receipt No: " &amp; N432), "Send Receipt")))</f>
        <v/>
      </c>
    </row>
    <row r="433">
      <c r="A433" s="29"/>
      <c r="B433" s="29" t="s">
        <v>175</v>
      </c>
      <c r="C433" s="76"/>
      <c r="D433" s="29"/>
      <c r="E433" s="29"/>
      <c r="F433" s="29"/>
      <c r="G433" s="29"/>
      <c r="H433" s="29" t="str">
        <f t="shared" si="1"/>
        <v/>
      </c>
      <c r="I433" s="29" t="str">
        <f t="shared" si="2"/>
        <v/>
      </c>
      <c r="J433" s="29" t="str">
        <f>IF(A433="", "", IFERROR(VLOOKUP(A433, 'Master Roster'!A:H, 8, FALSE) - F433, ""))</f>
        <v/>
      </c>
      <c r="K433" s="29" t="s">
        <v>175</v>
      </c>
      <c r="L433" s="29" t="b">
        <v>0</v>
      </c>
      <c r="M433" s="29"/>
      <c r="N433" s="29" t="s">
        <v>175</v>
      </c>
      <c r="O433" s="29" t="str">
        <f>IF(ISBLANK(A433), "", LET(entry_day, VLOOKUP(A433, 'Master Roster'!$A:$G, 7, FALSE), start_date, DATE(E433, MONTH(D433&amp;" 1"), entry_day), end_date, EDATE(start_date, 1), period, TEXT(start_date, "mmm d, yyyy") &amp; " - " &amp; TEXT(end_date, "mmm d, yyyy"), HYPERLINK("https://wa.me/" &amp; VLOOKUP(A433, 'Master Roster'!$A:$F, 6, FALSE) &amp; "?text=" &amp; ENCODEURL("Hello " &amp; IFERROR(IF(VLOOKUP(A433, 'Master Roster'!$A:$J, 10, FALSE)="Male", "Mr. ", "Ms. "), "") &amp; B433 &amp; ", payment of K" &amp; F433 &amp; " received for " &amp; period &amp; ". Receipt No: " &amp; N433), "Send Receipt")))</f>
        <v/>
      </c>
    </row>
    <row r="434">
      <c r="A434" s="29"/>
      <c r="B434" s="29" t="s">
        <v>175</v>
      </c>
      <c r="C434" s="76"/>
      <c r="D434" s="29"/>
      <c r="E434" s="29"/>
      <c r="F434" s="29"/>
      <c r="G434" s="29"/>
      <c r="H434" s="29" t="str">
        <f t="shared" si="1"/>
        <v/>
      </c>
      <c r="I434" s="29" t="str">
        <f t="shared" si="2"/>
        <v/>
      </c>
      <c r="J434" s="29" t="str">
        <f>IF(A434="", "", IFERROR(VLOOKUP(A434, 'Master Roster'!A:H, 8, FALSE) - F434, ""))</f>
        <v/>
      </c>
      <c r="K434" s="29" t="s">
        <v>175</v>
      </c>
      <c r="L434" s="29" t="b">
        <v>0</v>
      </c>
      <c r="M434" s="29"/>
      <c r="N434" s="29" t="s">
        <v>175</v>
      </c>
      <c r="O434" s="29" t="str">
        <f>IF(ISBLANK(A434), "", LET(entry_day, VLOOKUP(A434, 'Master Roster'!$A:$G, 7, FALSE), start_date, DATE(E434, MONTH(D434&amp;" 1"), entry_day), end_date, EDATE(start_date, 1), period, TEXT(start_date, "mmm d, yyyy") &amp; " - " &amp; TEXT(end_date, "mmm d, yyyy"), HYPERLINK("https://wa.me/" &amp; VLOOKUP(A434, 'Master Roster'!$A:$F, 6, FALSE) &amp; "?text=" &amp; ENCODEURL("Hello " &amp; IFERROR(IF(VLOOKUP(A434, 'Master Roster'!$A:$J, 10, FALSE)="Male", "Mr. ", "Ms. "), "") &amp; B434 &amp; ", payment of K" &amp; F434 &amp; " received for " &amp; period &amp; ". Receipt No: " &amp; N434), "Send Receipt")))</f>
        <v/>
      </c>
    </row>
    <row r="435">
      <c r="A435" s="29"/>
      <c r="B435" s="29" t="s">
        <v>175</v>
      </c>
      <c r="C435" s="76"/>
      <c r="D435" s="29"/>
      <c r="E435" s="29"/>
      <c r="F435" s="29"/>
      <c r="G435" s="29"/>
      <c r="H435" s="29" t="str">
        <f t="shared" si="1"/>
        <v/>
      </c>
      <c r="I435" s="29" t="str">
        <f t="shared" si="2"/>
        <v/>
      </c>
      <c r="J435" s="29" t="str">
        <f>IF(A435="", "", IFERROR(VLOOKUP(A435, 'Master Roster'!A:H, 8, FALSE) - F435, ""))</f>
        <v/>
      </c>
      <c r="K435" s="29" t="s">
        <v>175</v>
      </c>
      <c r="L435" s="29" t="b">
        <v>0</v>
      </c>
      <c r="M435" s="29"/>
      <c r="N435" s="29" t="s">
        <v>175</v>
      </c>
      <c r="O435" s="29" t="str">
        <f>IF(ISBLANK(A435), "", LET(entry_day, VLOOKUP(A435, 'Master Roster'!$A:$G, 7, FALSE), start_date, DATE(E435, MONTH(D435&amp;" 1"), entry_day), end_date, EDATE(start_date, 1), period, TEXT(start_date, "mmm d, yyyy") &amp; " - " &amp; TEXT(end_date, "mmm d, yyyy"), HYPERLINK("https://wa.me/" &amp; VLOOKUP(A435, 'Master Roster'!$A:$F, 6, FALSE) &amp; "?text=" &amp; ENCODEURL("Hello " &amp; IFERROR(IF(VLOOKUP(A435, 'Master Roster'!$A:$J, 10, FALSE)="Male", "Mr. ", "Ms. "), "") &amp; B435 &amp; ", payment of K" &amp; F435 &amp; " received for " &amp; period &amp; ". Receipt No: " &amp; N435), "Send Receipt")))</f>
        <v/>
      </c>
    </row>
    <row r="436">
      <c r="A436" s="29"/>
      <c r="B436" s="29" t="s">
        <v>175</v>
      </c>
      <c r="C436" s="76"/>
      <c r="D436" s="29"/>
      <c r="E436" s="29"/>
      <c r="F436" s="29"/>
      <c r="G436" s="29"/>
      <c r="H436" s="29" t="str">
        <f t="shared" si="1"/>
        <v/>
      </c>
      <c r="I436" s="29" t="str">
        <f t="shared" si="2"/>
        <v/>
      </c>
      <c r="J436" s="29" t="str">
        <f>IF(A436="", "", IFERROR(VLOOKUP(A436, 'Master Roster'!A:H, 8, FALSE) - F436, ""))</f>
        <v/>
      </c>
      <c r="K436" s="29" t="s">
        <v>175</v>
      </c>
      <c r="L436" s="29" t="b">
        <v>0</v>
      </c>
      <c r="M436" s="29"/>
      <c r="N436" s="29" t="s">
        <v>175</v>
      </c>
      <c r="O436" s="29" t="str">
        <f>IF(ISBLANK(A436), "", LET(entry_day, VLOOKUP(A436, 'Master Roster'!$A:$G, 7, FALSE), start_date, DATE(E436, MONTH(D436&amp;" 1"), entry_day), end_date, EDATE(start_date, 1), period, TEXT(start_date, "mmm d, yyyy") &amp; " - " &amp; TEXT(end_date, "mmm d, yyyy"), HYPERLINK("https://wa.me/" &amp; VLOOKUP(A436, 'Master Roster'!$A:$F, 6, FALSE) &amp; "?text=" &amp; ENCODEURL("Hello " &amp; IFERROR(IF(VLOOKUP(A436, 'Master Roster'!$A:$J, 10, FALSE)="Male", "Mr. ", "Ms. "), "") &amp; B436 &amp; ", payment of K" &amp; F436 &amp; " received for " &amp; period &amp; ". Receipt No: " &amp; N436), "Send Receipt")))</f>
        <v/>
      </c>
    </row>
    <row r="437">
      <c r="A437" s="29"/>
      <c r="B437" s="29" t="s">
        <v>175</v>
      </c>
      <c r="C437" s="76"/>
      <c r="D437" s="29"/>
      <c r="E437" s="29"/>
      <c r="F437" s="29"/>
      <c r="G437" s="29"/>
      <c r="H437" s="29" t="str">
        <f t="shared" si="1"/>
        <v/>
      </c>
      <c r="I437" s="29" t="str">
        <f t="shared" si="2"/>
        <v/>
      </c>
      <c r="J437" s="29" t="str">
        <f>IF(A437="", "", IFERROR(VLOOKUP(A437, 'Master Roster'!A:H, 8, FALSE) - F437, ""))</f>
        <v/>
      </c>
      <c r="K437" s="29" t="s">
        <v>175</v>
      </c>
      <c r="L437" s="29" t="b">
        <v>0</v>
      </c>
      <c r="M437" s="29"/>
      <c r="N437" s="29" t="s">
        <v>175</v>
      </c>
      <c r="O437" s="29" t="str">
        <f>IF(ISBLANK(A437), "", LET(entry_day, VLOOKUP(A437, 'Master Roster'!$A:$G, 7, FALSE), start_date, DATE(E437, MONTH(D437&amp;" 1"), entry_day), end_date, EDATE(start_date, 1), period, TEXT(start_date, "mmm d, yyyy") &amp; " - " &amp; TEXT(end_date, "mmm d, yyyy"), HYPERLINK("https://wa.me/" &amp; VLOOKUP(A437, 'Master Roster'!$A:$F, 6, FALSE) &amp; "?text=" &amp; ENCODEURL("Hello " &amp; IFERROR(IF(VLOOKUP(A437, 'Master Roster'!$A:$J, 10, FALSE)="Male", "Mr. ", "Ms. "), "") &amp; B437 &amp; ", payment of K" &amp; F437 &amp; " received for " &amp; period &amp; ". Receipt No: " &amp; N437), "Send Receipt")))</f>
        <v/>
      </c>
    </row>
    <row r="438">
      <c r="A438" s="29"/>
      <c r="B438" s="29" t="s">
        <v>175</v>
      </c>
      <c r="C438" s="76"/>
      <c r="D438" s="29"/>
      <c r="E438" s="29"/>
      <c r="F438" s="29"/>
      <c r="G438" s="29"/>
      <c r="H438" s="29" t="str">
        <f t="shared" si="1"/>
        <v/>
      </c>
      <c r="I438" s="29" t="str">
        <f t="shared" si="2"/>
        <v/>
      </c>
      <c r="J438" s="29" t="str">
        <f>IF(A438="", "", IFERROR(VLOOKUP(A438, 'Master Roster'!A:H, 8, FALSE) - F438, ""))</f>
        <v/>
      </c>
      <c r="K438" s="29" t="s">
        <v>175</v>
      </c>
      <c r="L438" s="29" t="b">
        <v>0</v>
      </c>
      <c r="M438" s="29"/>
      <c r="N438" s="29" t="s">
        <v>175</v>
      </c>
      <c r="O438" s="29" t="str">
        <f>IF(ISBLANK(A438), "", LET(entry_day, VLOOKUP(A438, 'Master Roster'!$A:$G, 7, FALSE), start_date, DATE(E438, MONTH(D438&amp;" 1"), entry_day), end_date, EDATE(start_date, 1), period, TEXT(start_date, "mmm d, yyyy") &amp; " - " &amp; TEXT(end_date, "mmm d, yyyy"), HYPERLINK("https://wa.me/" &amp; VLOOKUP(A438, 'Master Roster'!$A:$F, 6, FALSE) &amp; "?text=" &amp; ENCODEURL("Hello " &amp; IFERROR(IF(VLOOKUP(A438, 'Master Roster'!$A:$J, 10, FALSE)="Male", "Mr. ", "Ms. "), "") &amp; B438 &amp; ", payment of K" &amp; F438 &amp; " received for " &amp; period &amp; ". Receipt No: " &amp; N438), "Send Receipt")))</f>
        <v/>
      </c>
    </row>
    <row r="439">
      <c r="A439" s="29"/>
      <c r="B439" s="29" t="s">
        <v>175</v>
      </c>
      <c r="C439" s="76"/>
      <c r="D439" s="29"/>
      <c r="E439" s="29"/>
      <c r="F439" s="29"/>
      <c r="G439" s="29"/>
      <c r="H439" s="29" t="str">
        <f t="shared" si="1"/>
        <v/>
      </c>
      <c r="I439" s="29" t="str">
        <f t="shared" si="2"/>
        <v/>
      </c>
      <c r="J439" s="29" t="str">
        <f>IF(A439="", "", IFERROR(VLOOKUP(A439, 'Master Roster'!A:H, 8, FALSE) - F439, ""))</f>
        <v/>
      </c>
      <c r="K439" s="29" t="s">
        <v>175</v>
      </c>
      <c r="L439" s="29" t="b">
        <v>0</v>
      </c>
      <c r="M439" s="29"/>
      <c r="N439" s="29" t="s">
        <v>175</v>
      </c>
      <c r="O439" s="29" t="str">
        <f>IF(ISBLANK(A439), "", LET(entry_day, VLOOKUP(A439, 'Master Roster'!$A:$G, 7, FALSE), start_date, DATE(E439, MONTH(D439&amp;" 1"), entry_day), end_date, EDATE(start_date, 1), period, TEXT(start_date, "mmm d, yyyy") &amp; " - " &amp; TEXT(end_date, "mmm d, yyyy"), HYPERLINK("https://wa.me/" &amp; VLOOKUP(A439, 'Master Roster'!$A:$F, 6, FALSE) &amp; "?text=" &amp; ENCODEURL("Hello " &amp; IFERROR(IF(VLOOKUP(A439, 'Master Roster'!$A:$J, 10, FALSE)="Male", "Mr. ", "Ms. "), "") &amp; B439 &amp; ", payment of K" &amp; F439 &amp; " received for " &amp; period &amp; ". Receipt No: " &amp; N439), "Send Receipt")))</f>
        <v/>
      </c>
    </row>
    <row r="440">
      <c r="A440" s="29"/>
      <c r="B440" s="29" t="s">
        <v>175</v>
      </c>
      <c r="C440" s="76"/>
      <c r="D440" s="29"/>
      <c r="E440" s="29"/>
      <c r="F440" s="29"/>
      <c r="G440" s="29"/>
      <c r="H440" s="29" t="str">
        <f t="shared" si="1"/>
        <v/>
      </c>
      <c r="I440" s="29" t="str">
        <f t="shared" si="2"/>
        <v/>
      </c>
      <c r="J440" s="29" t="str">
        <f>IF(A440="", "", IFERROR(VLOOKUP(A440, 'Master Roster'!A:H, 8, FALSE) - F440, ""))</f>
        <v/>
      </c>
      <c r="K440" s="29" t="s">
        <v>175</v>
      </c>
      <c r="L440" s="29" t="b">
        <v>0</v>
      </c>
      <c r="M440" s="29"/>
      <c r="N440" s="29" t="s">
        <v>175</v>
      </c>
      <c r="O440" s="29" t="str">
        <f>IF(ISBLANK(A440), "", LET(entry_day, VLOOKUP(A440, 'Master Roster'!$A:$G, 7, FALSE), start_date, DATE(E440, MONTH(D440&amp;" 1"), entry_day), end_date, EDATE(start_date, 1), period, TEXT(start_date, "mmm d, yyyy") &amp; " - " &amp; TEXT(end_date, "mmm d, yyyy"), HYPERLINK("https://wa.me/" &amp; VLOOKUP(A440, 'Master Roster'!$A:$F, 6, FALSE) &amp; "?text=" &amp; ENCODEURL("Hello " &amp; IFERROR(IF(VLOOKUP(A440, 'Master Roster'!$A:$J, 10, FALSE)="Male", "Mr. ", "Ms. "), "") &amp; B440 &amp; ", payment of K" &amp; F440 &amp; " received for " &amp; period &amp; ". Receipt No: " &amp; N440), "Send Receipt")))</f>
        <v/>
      </c>
    </row>
    <row r="441">
      <c r="A441" s="29"/>
      <c r="B441" s="29" t="s">
        <v>175</v>
      </c>
      <c r="C441" s="76"/>
      <c r="D441" s="29"/>
      <c r="E441" s="29"/>
      <c r="F441" s="29"/>
      <c r="G441" s="29"/>
      <c r="H441" s="29" t="str">
        <f t="shared" si="1"/>
        <v/>
      </c>
      <c r="I441" s="29" t="str">
        <f t="shared" si="2"/>
        <v/>
      </c>
      <c r="J441" s="29" t="str">
        <f>IF(A441="", "", IFERROR(VLOOKUP(A441, 'Master Roster'!A:H, 8, FALSE) - F441, ""))</f>
        <v/>
      </c>
      <c r="K441" s="29" t="s">
        <v>175</v>
      </c>
      <c r="L441" s="29" t="b">
        <v>0</v>
      </c>
      <c r="M441" s="29"/>
      <c r="N441" s="29" t="s">
        <v>175</v>
      </c>
      <c r="O441" s="29" t="str">
        <f>IF(ISBLANK(A441), "", LET(entry_day, VLOOKUP(A441, 'Master Roster'!$A:$G, 7, FALSE), start_date, DATE(E441, MONTH(D441&amp;" 1"), entry_day), end_date, EDATE(start_date, 1), period, TEXT(start_date, "mmm d, yyyy") &amp; " - " &amp; TEXT(end_date, "mmm d, yyyy"), HYPERLINK("https://wa.me/" &amp; VLOOKUP(A441, 'Master Roster'!$A:$F, 6, FALSE) &amp; "?text=" &amp; ENCODEURL("Hello " &amp; IFERROR(IF(VLOOKUP(A441, 'Master Roster'!$A:$J, 10, FALSE)="Male", "Mr. ", "Ms. "), "") &amp; B441 &amp; ", payment of K" &amp; F441 &amp; " received for " &amp; period &amp; ". Receipt No: " &amp; N441), "Send Receipt")))</f>
        <v/>
      </c>
    </row>
    <row r="442">
      <c r="A442" s="29"/>
      <c r="B442" s="29" t="s">
        <v>175</v>
      </c>
      <c r="C442" s="76"/>
      <c r="D442" s="29"/>
      <c r="E442" s="29"/>
      <c r="F442" s="29"/>
      <c r="G442" s="29"/>
      <c r="H442" s="29" t="str">
        <f t="shared" si="1"/>
        <v/>
      </c>
      <c r="I442" s="29" t="str">
        <f t="shared" si="2"/>
        <v/>
      </c>
      <c r="J442" s="29" t="str">
        <f>IF(A442="", "", IFERROR(VLOOKUP(A442, 'Master Roster'!A:H, 8, FALSE) - F442, ""))</f>
        <v/>
      </c>
      <c r="K442" s="29" t="s">
        <v>175</v>
      </c>
      <c r="L442" s="29" t="b">
        <v>0</v>
      </c>
      <c r="M442" s="29"/>
      <c r="N442" s="29" t="s">
        <v>175</v>
      </c>
      <c r="O442" s="29" t="str">
        <f>IF(ISBLANK(A442), "", LET(entry_day, VLOOKUP(A442, 'Master Roster'!$A:$G, 7, FALSE), start_date, DATE(E442, MONTH(D442&amp;" 1"), entry_day), end_date, EDATE(start_date, 1), period, TEXT(start_date, "mmm d, yyyy") &amp; " - " &amp; TEXT(end_date, "mmm d, yyyy"), HYPERLINK("https://wa.me/" &amp; VLOOKUP(A442, 'Master Roster'!$A:$F, 6, FALSE) &amp; "?text=" &amp; ENCODEURL("Hello " &amp; IFERROR(IF(VLOOKUP(A442, 'Master Roster'!$A:$J, 10, FALSE)="Male", "Mr. ", "Ms. "), "") &amp; B442 &amp; ", payment of K" &amp; F442 &amp; " received for " &amp; period &amp; ". Receipt No: " &amp; N442), "Send Receipt")))</f>
        <v/>
      </c>
    </row>
    <row r="443">
      <c r="A443" s="29"/>
      <c r="B443" s="29" t="s">
        <v>175</v>
      </c>
      <c r="C443" s="76"/>
      <c r="D443" s="29"/>
      <c r="E443" s="29"/>
      <c r="F443" s="29"/>
      <c r="G443" s="29"/>
      <c r="H443" s="29" t="str">
        <f t="shared" si="1"/>
        <v/>
      </c>
      <c r="I443" s="29" t="str">
        <f t="shared" si="2"/>
        <v/>
      </c>
      <c r="J443" s="29" t="str">
        <f>IF(A443="", "", IFERROR(VLOOKUP(A443, 'Master Roster'!A:H, 8, FALSE) - F443, ""))</f>
        <v/>
      </c>
      <c r="K443" s="29" t="s">
        <v>175</v>
      </c>
      <c r="L443" s="29" t="b">
        <v>0</v>
      </c>
      <c r="M443" s="29"/>
      <c r="N443" s="29" t="s">
        <v>175</v>
      </c>
      <c r="O443" s="29" t="str">
        <f>IF(ISBLANK(A443), "", LET(entry_day, VLOOKUP(A443, 'Master Roster'!$A:$G, 7, FALSE), start_date, DATE(E443, MONTH(D443&amp;" 1"), entry_day), end_date, EDATE(start_date, 1), period, TEXT(start_date, "mmm d, yyyy") &amp; " - " &amp; TEXT(end_date, "mmm d, yyyy"), HYPERLINK("https://wa.me/" &amp; VLOOKUP(A443, 'Master Roster'!$A:$F, 6, FALSE) &amp; "?text=" &amp; ENCODEURL("Hello " &amp; IFERROR(IF(VLOOKUP(A443, 'Master Roster'!$A:$J, 10, FALSE)="Male", "Mr. ", "Ms. "), "") &amp; B443 &amp; ", payment of K" &amp; F443 &amp; " received for " &amp; period &amp; ". Receipt No: " &amp; N443), "Send Receipt")))</f>
        <v/>
      </c>
    </row>
    <row r="444">
      <c r="A444" s="29"/>
      <c r="B444" s="29" t="s">
        <v>175</v>
      </c>
      <c r="C444" s="76"/>
      <c r="D444" s="29"/>
      <c r="E444" s="29"/>
      <c r="F444" s="29"/>
      <c r="G444" s="29"/>
      <c r="H444" s="29" t="str">
        <f t="shared" si="1"/>
        <v/>
      </c>
      <c r="I444" s="29" t="str">
        <f t="shared" si="2"/>
        <v/>
      </c>
      <c r="J444" s="29" t="str">
        <f>IF(A444="", "", IFERROR(VLOOKUP(A444, 'Master Roster'!A:H, 8, FALSE) - F444, ""))</f>
        <v/>
      </c>
      <c r="K444" s="29" t="s">
        <v>175</v>
      </c>
      <c r="L444" s="29" t="b">
        <v>0</v>
      </c>
      <c r="M444" s="29"/>
      <c r="N444" s="29" t="s">
        <v>175</v>
      </c>
      <c r="O444" s="29" t="str">
        <f>IF(ISBLANK(A444), "", LET(entry_day, VLOOKUP(A444, 'Master Roster'!$A:$G, 7, FALSE), start_date, DATE(E444, MONTH(D444&amp;" 1"), entry_day), end_date, EDATE(start_date, 1), period, TEXT(start_date, "mmm d, yyyy") &amp; " - " &amp; TEXT(end_date, "mmm d, yyyy"), HYPERLINK("https://wa.me/" &amp; VLOOKUP(A444, 'Master Roster'!$A:$F, 6, FALSE) &amp; "?text=" &amp; ENCODEURL("Hello " &amp; IFERROR(IF(VLOOKUP(A444, 'Master Roster'!$A:$J, 10, FALSE)="Male", "Mr. ", "Ms. "), "") &amp; B444 &amp; ", payment of K" &amp; F444 &amp; " received for " &amp; period &amp; ". Receipt No: " &amp; N444), "Send Receipt")))</f>
        <v/>
      </c>
    </row>
    <row r="445">
      <c r="A445" s="29"/>
      <c r="B445" s="29" t="s">
        <v>175</v>
      </c>
      <c r="C445" s="76"/>
      <c r="D445" s="29"/>
      <c r="E445" s="29"/>
      <c r="F445" s="29"/>
      <c r="G445" s="29"/>
      <c r="H445" s="29" t="str">
        <f t="shared" si="1"/>
        <v/>
      </c>
      <c r="I445" s="29" t="str">
        <f t="shared" si="2"/>
        <v/>
      </c>
      <c r="J445" s="29" t="str">
        <f>IF(A445="", "", IFERROR(VLOOKUP(A445, 'Master Roster'!A:H, 8, FALSE) - F445, ""))</f>
        <v/>
      </c>
      <c r="K445" s="29" t="s">
        <v>175</v>
      </c>
      <c r="L445" s="29" t="b">
        <v>0</v>
      </c>
      <c r="M445" s="29"/>
      <c r="N445" s="29" t="s">
        <v>175</v>
      </c>
      <c r="O445" s="29" t="str">
        <f>IF(ISBLANK(A445), "", LET(entry_day, VLOOKUP(A445, 'Master Roster'!$A:$G, 7, FALSE), start_date, DATE(E445, MONTH(D445&amp;" 1"), entry_day), end_date, EDATE(start_date, 1), period, TEXT(start_date, "mmm d, yyyy") &amp; " - " &amp; TEXT(end_date, "mmm d, yyyy"), HYPERLINK("https://wa.me/" &amp; VLOOKUP(A445, 'Master Roster'!$A:$F, 6, FALSE) &amp; "?text=" &amp; ENCODEURL("Hello " &amp; IFERROR(IF(VLOOKUP(A445, 'Master Roster'!$A:$J, 10, FALSE)="Male", "Mr. ", "Ms. "), "") &amp; B445 &amp; ", payment of K" &amp; F445 &amp; " received for " &amp; period &amp; ". Receipt No: " &amp; N445), "Send Receipt")))</f>
        <v/>
      </c>
    </row>
    <row r="446">
      <c r="A446" s="29"/>
      <c r="B446" s="29" t="s">
        <v>175</v>
      </c>
      <c r="C446" s="76"/>
      <c r="D446" s="29"/>
      <c r="E446" s="29"/>
      <c r="F446" s="29"/>
      <c r="G446" s="29"/>
      <c r="H446" s="29" t="str">
        <f t="shared" si="1"/>
        <v/>
      </c>
      <c r="I446" s="29" t="str">
        <f t="shared" si="2"/>
        <v/>
      </c>
      <c r="J446" s="29" t="str">
        <f>IF(A446="", "", IFERROR(VLOOKUP(A446, 'Master Roster'!A:H, 8, FALSE) - F446, ""))</f>
        <v/>
      </c>
      <c r="K446" s="29" t="s">
        <v>175</v>
      </c>
      <c r="L446" s="29" t="b">
        <v>0</v>
      </c>
      <c r="M446" s="29"/>
      <c r="N446" s="29" t="s">
        <v>175</v>
      </c>
      <c r="O446" s="29" t="str">
        <f>IF(ISBLANK(A446), "", LET(entry_day, VLOOKUP(A446, 'Master Roster'!$A:$G, 7, FALSE), start_date, DATE(E446, MONTH(D446&amp;" 1"), entry_day), end_date, EDATE(start_date, 1), period, TEXT(start_date, "mmm d, yyyy") &amp; " - " &amp; TEXT(end_date, "mmm d, yyyy"), HYPERLINK("https://wa.me/" &amp; VLOOKUP(A446, 'Master Roster'!$A:$F, 6, FALSE) &amp; "?text=" &amp; ENCODEURL("Hello " &amp; IFERROR(IF(VLOOKUP(A446, 'Master Roster'!$A:$J, 10, FALSE)="Male", "Mr. ", "Ms. "), "") &amp; B446 &amp; ", payment of K" &amp; F446 &amp; " received for " &amp; period &amp; ". Receipt No: " &amp; N446), "Send Receipt")))</f>
        <v/>
      </c>
    </row>
    <row r="447">
      <c r="A447" s="29"/>
      <c r="B447" s="29" t="s">
        <v>175</v>
      </c>
      <c r="C447" s="76"/>
      <c r="D447" s="29"/>
      <c r="E447" s="29"/>
      <c r="F447" s="29"/>
      <c r="G447" s="29"/>
      <c r="H447" s="29" t="str">
        <f t="shared" si="1"/>
        <v/>
      </c>
      <c r="I447" s="29" t="str">
        <f t="shared" si="2"/>
        <v/>
      </c>
      <c r="J447" s="29" t="str">
        <f>IF(A447="", "", IFERROR(VLOOKUP(A447, 'Master Roster'!A:H, 8, FALSE) - F447, ""))</f>
        <v/>
      </c>
      <c r="K447" s="29" t="s">
        <v>175</v>
      </c>
      <c r="L447" s="29" t="b">
        <v>0</v>
      </c>
      <c r="M447" s="29"/>
      <c r="N447" s="29" t="s">
        <v>175</v>
      </c>
      <c r="O447" s="29" t="str">
        <f>IF(ISBLANK(A447), "", LET(entry_day, VLOOKUP(A447, 'Master Roster'!$A:$G, 7, FALSE), start_date, DATE(E447, MONTH(D447&amp;" 1"), entry_day), end_date, EDATE(start_date, 1), period, TEXT(start_date, "mmm d, yyyy") &amp; " - " &amp; TEXT(end_date, "mmm d, yyyy"), HYPERLINK("https://wa.me/" &amp; VLOOKUP(A447, 'Master Roster'!$A:$F, 6, FALSE) &amp; "?text=" &amp; ENCODEURL("Hello " &amp; IFERROR(IF(VLOOKUP(A447, 'Master Roster'!$A:$J, 10, FALSE)="Male", "Mr. ", "Ms. "), "") &amp; B447 &amp; ", payment of K" &amp; F447 &amp; " received for " &amp; period &amp; ". Receipt No: " &amp; N447), "Send Receipt")))</f>
        <v/>
      </c>
    </row>
    <row r="448">
      <c r="A448" s="29"/>
      <c r="B448" s="29" t="s">
        <v>175</v>
      </c>
      <c r="C448" s="76"/>
      <c r="D448" s="29"/>
      <c r="E448" s="29"/>
      <c r="F448" s="29"/>
      <c r="G448" s="29"/>
      <c r="H448" s="29" t="str">
        <f t="shared" si="1"/>
        <v/>
      </c>
      <c r="I448" s="29" t="str">
        <f t="shared" si="2"/>
        <v/>
      </c>
      <c r="J448" s="29" t="str">
        <f>IF(A448="", "", IFERROR(VLOOKUP(A448, 'Master Roster'!A:H, 8, FALSE) - F448, ""))</f>
        <v/>
      </c>
      <c r="K448" s="29" t="s">
        <v>175</v>
      </c>
      <c r="L448" s="29" t="b">
        <v>0</v>
      </c>
      <c r="M448" s="29"/>
      <c r="N448" s="29" t="s">
        <v>175</v>
      </c>
      <c r="O448" s="29" t="str">
        <f>IF(ISBLANK(A448), "", LET(entry_day, VLOOKUP(A448, 'Master Roster'!$A:$G, 7, FALSE), start_date, DATE(E448, MONTH(D448&amp;" 1"), entry_day), end_date, EDATE(start_date, 1), period, TEXT(start_date, "mmm d, yyyy") &amp; " - " &amp; TEXT(end_date, "mmm d, yyyy"), HYPERLINK("https://wa.me/" &amp; VLOOKUP(A448, 'Master Roster'!$A:$F, 6, FALSE) &amp; "?text=" &amp; ENCODEURL("Hello " &amp; IFERROR(IF(VLOOKUP(A448, 'Master Roster'!$A:$J, 10, FALSE)="Male", "Mr. ", "Ms. "), "") &amp; B448 &amp; ", payment of K" &amp; F448 &amp; " received for " &amp; period &amp; ". Receipt No: " &amp; N448), "Send Receipt")))</f>
        <v/>
      </c>
    </row>
    <row r="449">
      <c r="A449" s="29"/>
      <c r="B449" s="29" t="s">
        <v>175</v>
      </c>
      <c r="C449" s="76"/>
      <c r="D449" s="29"/>
      <c r="E449" s="29"/>
      <c r="F449" s="29"/>
      <c r="G449" s="29"/>
      <c r="H449" s="29" t="str">
        <f t="shared" si="1"/>
        <v/>
      </c>
      <c r="I449" s="29" t="str">
        <f t="shared" si="2"/>
        <v/>
      </c>
      <c r="J449" s="29" t="str">
        <f>IF(A449="", "", IFERROR(VLOOKUP(A449, 'Master Roster'!A:H, 8, FALSE) - F449, ""))</f>
        <v/>
      </c>
      <c r="K449" s="29" t="s">
        <v>175</v>
      </c>
      <c r="L449" s="29" t="b">
        <v>0</v>
      </c>
      <c r="M449" s="29"/>
      <c r="N449" s="29" t="s">
        <v>175</v>
      </c>
      <c r="O449" s="29" t="str">
        <f>IF(ISBLANK(A449), "", LET(entry_day, VLOOKUP(A449, 'Master Roster'!$A:$G, 7, FALSE), start_date, DATE(E449, MONTH(D449&amp;" 1"), entry_day), end_date, EDATE(start_date, 1), period, TEXT(start_date, "mmm d, yyyy") &amp; " - " &amp; TEXT(end_date, "mmm d, yyyy"), HYPERLINK("https://wa.me/" &amp; VLOOKUP(A449, 'Master Roster'!$A:$F, 6, FALSE) &amp; "?text=" &amp; ENCODEURL("Hello " &amp; IFERROR(IF(VLOOKUP(A449, 'Master Roster'!$A:$J, 10, FALSE)="Male", "Mr. ", "Ms. "), "") &amp; B449 &amp; ", payment of K" &amp; F449 &amp; " received for " &amp; period &amp; ". Receipt No: " &amp; N449), "Send Receipt")))</f>
        <v/>
      </c>
    </row>
    <row r="450">
      <c r="A450" s="29"/>
      <c r="B450" s="29" t="s">
        <v>175</v>
      </c>
      <c r="C450" s="76"/>
      <c r="D450" s="29"/>
      <c r="E450" s="29"/>
      <c r="F450" s="29"/>
      <c r="G450" s="29"/>
      <c r="H450" s="29" t="str">
        <f t="shared" si="1"/>
        <v/>
      </c>
      <c r="I450" s="29" t="str">
        <f t="shared" si="2"/>
        <v/>
      </c>
      <c r="J450" s="29" t="str">
        <f>IF(A450="", "", IFERROR(VLOOKUP(A450, 'Master Roster'!A:H, 8, FALSE) - F450, ""))</f>
        <v/>
      </c>
      <c r="K450" s="29" t="s">
        <v>175</v>
      </c>
      <c r="L450" s="29" t="b">
        <v>0</v>
      </c>
      <c r="M450" s="29"/>
      <c r="N450" s="29" t="s">
        <v>175</v>
      </c>
      <c r="O450" s="29" t="str">
        <f>IF(ISBLANK(A450), "", LET(entry_day, VLOOKUP(A450, 'Master Roster'!$A:$G, 7, FALSE), start_date, DATE(E450, MONTH(D450&amp;" 1"), entry_day), end_date, EDATE(start_date, 1), period, TEXT(start_date, "mmm d, yyyy") &amp; " - " &amp; TEXT(end_date, "mmm d, yyyy"), HYPERLINK("https://wa.me/" &amp; VLOOKUP(A450, 'Master Roster'!$A:$F, 6, FALSE) &amp; "?text=" &amp; ENCODEURL("Hello " &amp; IFERROR(IF(VLOOKUP(A450, 'Master Roster'!$A:$J, 10, FALSE)="Male", "Mr. ", "Ms. "), "") &amp; B450 &amp; ", payment of K" &amp; F450 &amp; " received for " &amp; period &amp; ". Receipt No: " &amp; N450), "Send Receipt")))</f>
        <v/>
      </c>
    </row>
    <row r="451">
      <c r="A451" s="29"/>
      <c r="B451" s="29" t="s">
        <v>175</v>
      </c>
      <c r="C451" s="76"/>
      <c r="D451" s="29"/>
      <c r="E451" s="29"/>
      <c r="F451" s="29"/>
      <c r="G451" s="29"/>
      <c r="H451" s="29" t="str">
        <f t="shared" si="1"/>
        <v/>
      </c>
      <c r="I451" s="29" t="str">
        <f t="shared" si="2"/>
        <v/>
      </c>
      <c r="J451" s="29" t="str">
        <f>IF(A451="", "", IFERROR(VLOOKUP(A451, 'Master Roster'!A:H, 8, FALSE) - F451, ""))</f>
        <v/>
      </c>
      <c r="K451" s="29" t="s">
        <v>175</v>
      </c>
      <c r="L451" s="29" t="b">
        <v>0</v>
      </c>
      <c r="M451" s="29"/>
      <c r="N451" s="29" t="s">
        <v>175</v>
      </c>
      <c r="O451" s="29" t="str">
        <f>IF(ISBLANK(A451), "", LET(entry_day, VLOOKUP(A451, 'Master Roster'!$A:$G, 7, FALSE), start_date, DATE(E451, MONTH(D451&amp;" 1"), entry_day), end_date, EDATE(start_date, 1), period, TEXT(start_date, "mmm d, yyyy") &amp; " - " &amp; TEXT(end_date, "mmm d, yyyy"), HYPERLINK("https://wa.me/" &amp; VLOOKUP(A451, 'Master Roster'!$A:$F, 6, FALSE) &amp; "?text=" &amp; ENCODEURL("Hello " &amp; IFERROR(IF(VLOOKUP(A451, 'Master Roster'!$A:$J, 10, FALSE)="Male", "Mr. ", "Ms. "), "") &amp; B451 &amp; ", payment of K" &amp; F451 &amp; " received for " &amp; period &amp; ". Receipt No: " &amp; N451), "Send Receipt")))</f>
        <v/>
      </c>
    </row>
    <row r="452">
      <c r="A452" s="29"/>
      <c r="B452" s="29" t="s">
        <v>175</v>
      </c>
      <c r="C452" s="76"/>
      <c r="D452" s="29"/>
      <c r="E452" s="29"/>
      <c r="F452" s="29"/>
      <c r="G452" s="29"/>
      <c r="H452" s="29" t="str">
        <f t="shared" si="1"/>
        <v/>
      </c>
      <c r="I452" s="29" t="str">
        <f t="shared" si="2"/>
        <v/>
      </c>
      <c r="J452" s="29" t="str">
        <f>IF(A452="", "", IFERROR(VLOOKUP(A452, 'Master Roster'!A:H, 8, FALSE) - F452, ""))</f>
        <v/>
      </c>
      <c r="K452" s="29" t="s">
        <v>175</v>
      </c>
      <c r="L452" s="29" t="b">
        <v>0</v>
      </c>
      <c r="M452" s="29"/>
      <c r="N452" s="29" t="s">
        <v>175</v>
      </c>
      <c r="O452" s="29" t="str">
        <f>IF(ISBLANK(A452), "", LET(entry_day, VLOOKUP(A452, 'Master Roster'!$A:$G, 7, FALSE), start_date, DATE(E452, MONTH(D452&amp;" 1"), entry_day), end_date, EDATE(start_date, 1), period, TEXT(start_date, "mmm d, yyyy") &amp; " - " &amp; TEXT(end_date, "mmm d, yyyy"), HYPERLINK("https://wa.me/" &amp; VLOOKUP(A452, 'Master Roster'!$A:$F, 6, FALSE) &amp; "?text=" &amp; ENCODEURL("Hello " &amp; IFERROR(IF(VLOOKUP(A452, 'Master Roster'!$A:$J, 10, FALSE)="Male", "Mr. ", "Ms. "), "") &amp; B452 &amp; ", payment of K" &amp; F452 &amp; " received for " &amp; period &amp; ". Receipt No: " &amp; N452), "Send Receipt")))</f>
        <v/>
      </c>
    </row>
    <row r="453">
      <c r="A453" s="29"/>
      <c r="B453" s="29" t="s">
        <v>175</v>
      </c>
      <c r="C453" s="76"/>
      <c r="D453" s="29"/>
      <c r="E453" s="29"/>
      <c r="F453" s="29"/>
      <c r="G453" s="29"/>
      <c r="H453" s="29" t="str">
        <f t="shared" si="1"/>
        <v/>
      </c>
      <c r="I453" s="29" t="str">
        <f t="shared" si="2"/>
        <v/>
      </c>
      <c r="J453" s="29" t="str">
        <f>IF(A453="", "", IFERROR(VLOOKUP(A453, 'Master Roster'!A:H, 8, FALSE) - F453, ""))</f>
        <v/>
      </c>
      <c r="K453" s="29" t="s">
        <v>175</v>
      </c>
      <c r="L453" s="29" t="b">
        <v>0</v>
      </c>
      <c r="M453" s="29"/>
      <c r="N453" s="29" t="s">
        <v>175</v>
      </c>
      <c r="O453" s="29" t="str">
        <f>IF(ISBLANK(A453), "", LET(entry_day, VLOOKUP(A453, 'Master Roster'!$A:$G, 7, FALSE), start_date, DATE(E453, MONTH(D453&amp;" 1"), entry_day), end_date, EDATE(start_date, 1), period, TEXT(start_date, "mmm d, yyyy") &amp; " - " &amp; TEXT(end_date, "mmm d, yyyy"), HYPERLINK("https://wa.me/" &amp; VLOOKUP(A453, 'Master Roster'!$A:$F, 6, FALSE) &amp; "?text=" &amp; ENCODEURL("Hello " &amp; IFERROR(IF(VLOOKUP(A453, 'Master Roster'!$A:$J, 10, FALSE)="Male", "Mr. ", "Ms. "), "") &amp; B453 &amp; ", payment of K" &amp; F453 &amp; " received for " &amp; period &amp; ". Receipt No: " &amp; N453), "Send Receipt")))</f>
        <v/>
      </c>
    </row>
    <row r="454">
      <c r="A454" s="29"/>
      <c r="B454" s="29" t="s">
        <v>175</v>
      </c>
      <c r="C454" s="76"/>
      <c r="D454" s="29"/>
      <c r="E454" s="29"/>
      <c r="F454" s="29"/>
      <c r="G454" s="29"/>
      <c r="H454" s="29" t="str">
        <f t="shared" si="1"/>
        <v/>
      </c>
      <c r="I454" s="29" t="str">
        <f t="shared" si="2"/>
        <v/>
      </c>
      <c r="J454" s="29" t="str">
        <f>IF(A454="", "", IFERROR(VLOOKUP(A454, 'Master Roster'!A:H, 8, FALSE) - F454, ""))</f>
        <v/>
      </c>
      <c r="K454" s="29" t="s">
        <v>175</v>
      </c>
      <c r="L454" s="29" t="b">
        <v>0</v>
      </c>
      <c r="M454" s="29"/>
      <c r="N454" s="29" t="s">
        <v>175</v>
      </c>
      <c r="O454" s="29" t="str">
        <f>IF(ISBLANK(A454), "", LET(entry_day, VLOOKUP(A454, 'Master Roster'!$A:$G, 7, FALSE), start_date, DATE(E454, MONTH(D454&amp;" 1"), entry_day), end_date, EDATE(start_date, 1), period, TEXT(start_date, "mmm d, yyyy") &amp; " - " &amp; TEXT(end_date, "mmm d, yyyy"), HYPERLINK("https://wa.me/" &amp; VLOOKUP(A454, 'Master Roster'!$A:$F, 6, FALSE) &amp; "?text=" &amp; ENCODEURL("Hello " &amp; IFERROR(IF(VLOOKUP(A454, 'Master Roster'!$A:$J, 10, FALSE)="Male", "Mr. ", "Ms. "), "") &amp; B454 &amp; ", payment of K" &amp; F454 &amp; " received for " &amp; period &amp; ". Receipt No: " &amp; N454), "Send Receipt")))</f>
        <v/>
      </c>
    </row>
    <row r="455">
      <c r="A455" s="29"/>
      <c r="B455" s="29" t="s">
        <v>175</v>
      </c>
      <c r="C455" s="76"/>
      <c r="D455" s="29"/>
      <c r="E455" s="29"/>
      <c r="F455" s="29"/>
      <c r="G455" s="29"/>
      <c r="H455" s="29" t="str">
        <f t="shared" si="1"/>
        <v/>
      </c>
      <c r="I455" s="29" t="str">
        <f t="shared" si="2"/>
        <v/>
      </c>
      <c r="J455" s="29" t="str">
        <f>IF(A455="", "", IFERROR(VLOOKUP(A455, 'Master Roster'!A:H, 8, FALSE) - F455, ""))</f>
        <v/>
      </c>
      <c r="K455" s="29" t="s">
        <v>175</v>
      </c>
      <c r="L455" s="29" t="b">
        <v>0</v>
      </c>
      <c r="M455" s="29"/>
      <c r="N455" s="29" t="s">
        <v>175</v>
      </c>
      <c r="O455" s="29" t="str">
        <f>IF(ISBLANK(A455), "", LET(entry_day, VLOOKUP(A455, 'Master Roster'!$A:$G, 7, FALSE), start_date, DATE(E455, MONTH(D455&amp;" 1"), entry_day), end_date, EDATE(start_date, 1), period, TEXT(start_date, "mmm d, yyyy") &amp; " - " &amp; TEXT(end_date, "mmm d, yyyy"), HYPERLINK("https://wa.me/" &amp; VLOOKUP(A455, 'Master Roster'!$A:$F, 6, FALSE) &amp; "?text=" &amp; ENCODEURL("Hello " &amp; IFERROR(IF(VLOOKUP(A455, 'Master Roster'!$A:$J, 10, FALSE)="Male", "Mr. ", "Ms. "), "") &amp; B455 &amp; ", payment of K" &amp; F455 &amp; " received for " &amp; period &amp; ". Receipt No: " &amp; N455), "Send Receipt")))</f>
        <v/>
      </c>
    </row>
    <row r="456">
      <c r="A456" s="29"/>
      <c r="B456" s="29" t="s">
        <v>175</v>
      </c>
      <c r="C456" s="76"/>
      <c r="D456" s="29"/>
      <c r="E456" s="29"/>
      <c r="F456" s="29"/>
      <c r="G456" s="29"/>
      <c r="H456" s="29" t="str">
        <f t="shared" si="1"/>
        <v/>
      </c>
      <c r="I456" s="29" t="str">
        <f t="shared" si="2"/>
        <v/>
      </c>
      <c r="J456" s="29" t="str">
        <f>IF(A456="", "", IFERROR(VLOOKUP(A456, 'Master Roster'!A:H, 8, FALSE) - F456, ""))</f>
        <v/>
      </c>
      <c r="K456" s="29" t="s">
        <v>175</v>
      </c>
      <c r="L456" s="29" t="b">
        <v>0</v>
      </c>
      <c r="M456" s="29"/>
      <c r="N456" s="29" t="s">
        <v>175</v>
      </c>
      <c r="O456" s="29" t="str">
        <f>IF(ISBLANK(A456), "", LET(entry_day, VLOOKUP(A456, 'Master Roster'!$A:$G, 7, FALSE), start_date, DATE(E456, MONTH(D456&amp;" 1"), entry_day), end_date, EDATE(start_date, 1), period, TEXT(start_date, "mmm d, yyyy") &amp; " - " &amp; TEXT(end_date, "mmm d, yyyy"), HYPERLINK("https://wa.me/" &amp; VLOOKUP(A456, 'Master Roster'!$A:$F, 6, FALSE) &amp; "?text=" &amp; ENCODEURL("Hello " &amp; IFERROR(IF(VLOOKUP(A456, 'Master Roster'!$A:$J, 10, FALSE)="Male", "Mr. ", "Ms. "), "") &amp; B456 &amp; ", payment of K" &amp; F456 &amp; " received for " &amp; period &amp; ". Receipt No: " &amp; N456), "Send Receipt")))</f>
        <v/>
      </c>
    </row>
    <row r="457">
      <c r="A457" s="29"/>
      <c r="B457" s="29" t="s">
        <v>175</v>
      </c>
      <c r="C457" s="76"/>
      <c r="D457" s="29"/>
      <c r="E457" s="29"/>
      <c r="F457" s="29"/>
      <c r="G457" s="29"/>
      <c r="H457" s="29" t="str">
        <f t="shared" si="1"/>
        <v/>
      </c>
      <c r="I457" s="29" t="str">
        <f t="shared" si="2"/>
        <v/>
      </c>
      <c r="J457" s="29" t="str">
        <f>IF(A457="", "", IFERROR(VLOOKUP(A457, 'Master Roster'!A:H, 8, FALSE) - F457, ""))</f>
        <v/>
      </c>
      <c r="K457" s="29" t="s">
        <v>175</v>
      </c>
      <c r="L457" s="29" t="b">
        <v>0</v>
      </c>
      <c r="M457" s="29"/>
      <c r="N457" s="29" t="s">
        <v>175</v>
      </c>
      <c r="O457" s="29" t="str">
        <f>IF(ISBLANK(A457), "", LET(entry_day, VLOOKUP(A457, 'Master Roster'!$A:$G, 7, FALSE), start_date, DATE(E457, MONTH(D457&amp;" 1"), entry_day), end_date, EDATE(start_date, 1), period, TEXT(start_date, "mmm d, yyyy") &amp; " - " &amp; TEXT(end_date, "mmm d, yyyy"), HYPERLINK("https://wa.me/" &amp; VLOOKUP(A457, 'Master Roster'!$A:$F, 6, FALSE) &amp; "?text=" &amp; ENCODEURL("Hello " &amp; IFERROR(IF(VLOOKUP(A457, 'Master Roster'!$A:$J, 10, FALSE)="Male", "Mr. ", "Ms. "), "") &amp; B457 &amp; ", payment of K" &amp; F457 &amp; " received for " &amp; period &amp; ". Receipt No: " &amp; N457), "Send Receipt")))</f>
        <v/>
      </c>
    </row>
    <row r="458">
      <c r="A458" s="29"/>
      <c r="B458" s="29" t="s">
        <v>175</v>
      </c>
      <c r="C458" s="76"/>
      <c r="D458" s="29"/>
      <c r="E458" s="29"/>
      <c r="F458" s="29"/>
      <c r="G458" s="29"/>
      <c r="H458" s="29" t="str">
        <f t="shared" si="1"/>
        <v/>
      </c>
      <c r="I458" s="29" t="str">
        <f t="shared" si="2"/>
        <v/>
      </c>
      <c r="J458" s="29" t="str">
        <f>IF(A458="", "", IFERROR(VLOOKUP(A458, 'Master Roster'!A:H, 8, FALSE) - F458, ""))</f>
        <v/>
      </c>
      <c r="K458" s="29" t="s">
        <v>175</v>
      </c>
      <c r="L458" s="29" t="b">
        <v>0</v>
      </c>
      <c r="M458" s="29"/>
      <c r="N458" s="29" t="s">
        <v>175</v>
      </c>
      <c r="O458" s="29" t="str">
        <f>IF(ISBLANK(A458), "", LET(entry_day, VLOOKUP(A458, 'Master Roster'!$A:$G, 7, FALSE), start_date, DATE(E458, MONTH(D458&amp;" 1"), entry_day), end_date, EDATE(start_date, 1), period, TEXT(start_date, "mmm d, yyyy") &amp; " - " &amp; TEXT(end_date, "mmm d, yyyy"), HYPERLINK("https://wa.me/" &amp; VLOOKUP(A458, 'Master Roster'!$A:$F, 6, FALSE) &amp; "?text=" &amp; ENCODEURL("Hello " &amp; IFERROR(IF(VLOOKUP(A458, 'Master Roster'!$A:$J, 10, FALSE)="Male", "Mr. ", "Ms. "), "") &amp; B458 &amp; ", payment of K" &amp; F458 &amp; " received for " &amp; period &amp; ". Receipt No: " &amp; N458), "Send Receipt")))</f>
        <v/>
      </c>
    </row>
    <row r="459">
      <c r="A459" s="29"/>
      <c r="B459" s="29" t="s">
        <v>175</v>
      </c>
      <c r="C459" s="76"/>
      <c r="D459" s="29"/>
      <c r="E459" s="29"/>
      <c r="F459" s="29"/>
      <c r="G459" s="29"/>
      <c r="H459" s="29" t="str">
        <f t="shared" si="1"/>
        <v/>
      </c>
      <c r="I459" s="29" t="str">
        <f t="shared" si="2"/>
        <v/>
      </c>
      <c r="J459" s="29" t="str">
        <f>IF(A459="", "", IFERROR(VLOOKUP(A459, 'Master Roster'!A:H, 8, FALSE) - F459, ""))</f>
        <v/>
      </c>
      <c r="K459" s="29" t="s">
        <v>175</v>
      </c>
      <c r="L459" s="29" t="b">
        <v>0</v>
      </c>
      <c r="M459" s="29"/>
      <c r="N459" s="29" t="s">
        <v>175</v>
      </c>
      <c r="O459" s="29" t="str">
        <f>IF(ISBLANK(A459), "", LET(entry_day, VLOOKUP(A459, 'Master Roster'!$A:$G, 7, FALSE), start_date, DATE(E459, MONTH(D459&amp;" 1"), entry_day), end_date, EDATE(start_date, 1), period, TEXT(start_date, "mmm d, yyyy") &amp; " - " &amp; TEXT(end_date, "mmm d, yyyy"), HYPERLINK("https://wa.me/" &amp; VLOOKUP(A459, 'Master Roster'!$A:$F, 6, FALSE) &amp; "?text=" &amp; ENCODEURL("Hello " &amp; IFERROR(IF(VLOOKUP(A459, 'Master Roster'!$A:$J, 10, FALSE)="Male", "Mr. ", "Ms. "), "") &amp; B459 &amp; ", payment of K" &amp; F459 &amp; " received for " &amp; period &amp; ". Receipt No: " &amp; N459), "Send Receipt")))</f>
        <v/>
      </c>
    </row>
    <row r="460">
      <c r="A460" s="29"/>
      <c r="B460" s="29" t="s">
        <v>175</v>
      </c>
      <c r="C460" s="76"/>
      <c r="D460" s="29"/>
      <c r="E460" s="29"/>
      <c r="F460" s="29"/>
      <c r="G460" s="29"/>
      <c r="H460" s="29" t="str">
        <f t="shared" si="1"/>
        <v/>
      </c>
      <c r="I460" s="29" t="str">
        <f t="shared" si="2"/>
        <v/>
      </c>
      <c r="J460" s="29" t="str">
        <f>IF(A460="", "", IFERROR(VLOOKUP(A460, 'Master Roster'!A:H, 8, FALSE) - F460, ""))</f>
        <v/>
      </c>
      <c r="K460" s="29" t="s">
        <v>175</v>
      </c>
      <c r="L460" s="29" t="b">
        <v>0</v>
      </c>
      <c r="M460" s="29"/>
      <c r="N460" s="29" t="s">
        <v>175</v>
      </c>
      <c r="O460" s="29" t="str">
        <f>IF(ISBLANK(A460), "", LET(entry_day, VLOOKUP(A460, 'Master Roster'!$A:$G, 7, FALSE), start_date, DATE(E460, MONTH(D460&amp;" 1"), entry_day), end_date, EDATE(start_date, 1), period, TEXT(start_date, "mmm d, yyyy") &amp; " - " &amp; TEXT(end_date, "mmm d, yyyy"), HYPERLINK("https://wa.me/" &amp; VLOOKUP(A460, 'Master Roster'!$A:$F, 6, FALSE) &amp; "?text=" &amp; ENCODEURL("Hello " &amp; IFERROR(IF(VLOOKUP(A460, 'Master Roster'!$A:$J, 10, FALSE)="Male", "Mr. ", "Ms. "), "") &amp; B460 &amp; ", payment of K" &amp; F460 &amp; " received for " &amp; period &amp; ". Receipt No: " &amp; N460), "Send Receipt")))</f>
        <v/>
      </c>
    </row>
    <row r="461">
      <c r="A461" s="29"/>
      <c r="B461" s="29" t="s">
        <v>175</v>
      </c>
      <c r="C461" s="76"/>
      <c r="D461" s="29"/>
      <c r="E461" s="29"/>
      <c r="F461" s="29"/>
      <c r="G461" s="29"/>
      <c r="H461" s="29" t="str">
        <f t="shared" si="1"/>
        <v/>
      </c>
      <c r="I461" s="29" t="str">
        <f t="shared" si="2"/>
        <v/>
      </c>
      <c r="J461" s="29" t="str">
        <f>IF(A461="", "", IFERROR(VLOOKUP(A461, 'Master Roster'!A:H, 8, FALSE) - F461, ""))</f>
        <v/>
      </c>
      <c r="K461" s="29" t="s">
        <v>175</v>
      </c>
      <c r="L461" s="29" t="b">
        <v>0</v>
      </c>
      <c r="M461" s="29"/>
      <c r="N461" s="29" t="s">
        <v>175</v>
      </c>
      <c r="O461" s="29" t="str">
        <f>IF(ISBLANK(A461), "", LET(entry_day, VLOOKUP(A461, 'Master Roster'!$A:$G, 7, FALSE), start_date, DATE(E461, MONTH(D461&amp;" 1"), entry_day), end_date, EDATE(start_date, 1), period, TEXT(start_date, "mmm d, yyyy") &amp; " - " &amp; TEXT(end_date, "mmm d, yyyy"), HYPERLINK("https://wa.me/" &amp; VLOOKUP(A461, 'Master Roster'!$A:$F, 6, FALSE) &amp; "?text=" &amp; ENCODEURL("Hello " &amp; IFERROR(IF(VLOOKUP(A461, 'Master Roster'!$A:$J, 10, FALSE)="Male", "Mr. ", "Ms. "), "") &amp; B461 &amp; ", payment of K" &amp; F461 &amp; " received for " &amp; period &amp; ". Receipt No: " &amp; N461), "Send Receipt")))</f>
        <v/>
      </c>
    </row>
    <row r="462">
      <c r="A462" s="29"/>
      <c r="B462" s="29" t="s">
        <v>175</v>
      </c>
      <c r="C462" s="76"/>
      <c r="D462" s="29"/>
      <c r="E462" s="29"/>
      <c r="F462" s="29"/>
      <c r="G462" s="29"/>
      <c r="H462" s="29" t="str">
        <f t="shared" si="1"/>
        <v/>
      </c>
      <c r="I462" s="29" t="str">
        <f t="shared" si="2"/>
        <v/>
      </c>
      <c r="J462" s="29" t="str">
        <f>IF(A462="", "", IFERROR(VLOOKUP(A462, 'Master Roster'!A:H, 8, FALSE) - F462, ""))</f>
        <v/>
      </c>
      <c r="K462" s="29" t="s">
        <v>175</v>
      </c>
      <c r="L462" s="29" t="b">
        <v>0</v>
      </c>
      <c r="M462" s="29"/>
      <c r="N462" s="29" t="s">
        <v>175</v>
      </c>
      <c r="O462" s="29" t="str">
        <f>IF(ISBLANK(A462), "", LET(entry_day, VLOOKUP(A462, 'Master Roster'!$A:$G, 7, FALSE), start_date, DATE(E462, MONTH(D462&amp;" 1"), entry_day), end_date, EDATE(start_date, 1), period, TEXT(start_date, "mmm d, yyyy") &amp; " - " &amp; TEXT(end_date, "mmm d, yyyy"), HYPERLINK("https://wa.me/" &amp; VLOOKUP(A462, 'Master Roster'!$A:$F, 6, FALSE) &amp; "?text=" &amp; ENCODEURL("Hello " &amp; IFERROR(IF(VLOOKUP(A462, 'Master Roster'!$A:$J, 10, FALSE)="Male", "Mr. ", "Ms. "), "") &amp; B462 &amp; ", payment of K" &amp; F462 &amp; " received for " &amp; period &amp; ". Receipt No: " &amp; N462), "Send Receipt")))</f>
        <v/>
      </c>
    </row>
    <row r="463">
      <c r="A463" s="29"/>
      <c r="B463" s="29" t="s">
        <v>175</v>
      </c>
      <c r="C463" s="76"/>
      <c r="D463" s="29"/>
      <c r="E463" s="29"/>
      <c r="F463" s="29"/>
      <c r="G463" s="29"/>
      <c r="H463" s="29" t="str">
        <f t="shared" si="1"/>
        <v/>
      </c>
      <c r="I463" s="29" t="str">
        <f t="shared" si="2"/>
        <v/>
      </c>
      <c r="J463" s="29" t="str">
        <f>IF(A463="", "", IFERROR(VLOOKUP(A463, 'Master Roster'!A:H, 8, FALSE) - F463, ""))</f>
        <v/>
      </c>
      <c r="K463" s="29" t="s">
        <v>175</v>
      </c>
      <c r="L463" s="29" t="b">
        <v>0</v>
      </c>
      <c r="M463" s="29"/>
      <c r="N463" s="29" t="s">
        <v>175</v>
      </c>
      <c r="O463" s="29" t="str">
        <f>IF(ISBLANK(A463), "", LET(entry_day, VLOOKUP(A463, 'Master Roster'!$A:$G, 7, FALSE), start_date, DATE(E463, MONTH(D463&amp;" 1"), entry_day), end_date, EDATE(start_date, 1), period, TEXT(start_date, "mmm d, yyyy") &amp; " - " &amp; TEXT(end_date, "mmm d, yyyy"), HYPERLINK("https://wa.me/" &amp; VLOOKUP(A463, 'Master Roster'!$A:$F, 6, FALSE) &amp; "?text=" &amp; ENCODEURL("Hello " &amp; IFERROR(IF(VLOOKUP(A463, 'Master Roster'!$A:$J, 10, FALSE)="Male", "Mr. ", "Ms. "), "") &amp; B463 &amp; ", payment of K" &amp; F463 &amp; " received for " &amp; period &amp; ". Receipt No: " &amp; N463), "Send Receipt")))</f>
        <v/>
      </c>
    </row>
    <row r="464">
      <c r="A464" s="29"/>
      <c r="B464" s="29" t="s">
        <v>175</v>
      </c>
      <c r="C464" s="76"/>
      <c r="D464" s="29"/>
      <c r="E464" s="29"/>
      <c r="F464" s="29"/>
      <c r="G464" s="29"/>
      <c r="H464" s="29" t="str">
        <f t="shared" si="1"/>
        <v/>
      </c>
      <c r="I464" s="29" t="str">
        <f t="shared" si="2"/>
        <v/>
      </c>
      <c r="J464" s="29" t="str">
        <f>IF(A464="", "", IFERROR(VLOOKUP(A464, 'Master Roster'!A:H, 8, FALSE) - F464, ""))</f>
        <v/>
      </c>
      <c r="K464" s="29" t="s">
        <v>175</v>
      </c>
      <c r="L464" s="29" t="b">
        <v>0</v>
      </c>
      <c r="M464" s="29"/>
      <c r="N464" s="29" t="s">
        <v>175</v>
      </c>
      <c r="O464" s="29" t="str">
        <f>IF(ISBLANK(A464), "", LET(entry_day, VLOOKUP(A464, 'Master Roster'!$A:$G, 7, FALSE), start_date, DATE(E464, MONTH(D464&amp;" 1"), entry_day), end_date, EDATE(start_date, 1), period, TEXT(start_date, "mmm d, yyyy") &amp; " - " &amp; TEXT(end_date, "mmm d, yyyy"), HYPERLINK("https://wa.me/" &amp; VLOOKUP(A464, 'Master Roster'!$A:$F, 6, FALSE) &amp; "?text=" &amp; ENCODEURL("Hello " &amp; IFERROR(IF(VLOOKUP(A464, 'Master Roster'!$A:$J, 10, FALSE)="Male", "Mr. ", "Ms. "), "") &amp; B464 &amp; ", payment of K" &amp; F464 &amp; " received for " &amp; period &amp; ". Receipt No: " &amp; N464), "Send Receipt")))</f>
        <v/>
      </c>
    </row>
    <row r="465">
      <c r="A465" s="29"/>
      <c r="B465" s="29" t="s">
        <v>175</v>
      </c>
      <c r="C465" s="76"/>
      <c r="D465" s="29"/>
      <c r="E465" s="29"/>
      <c r="F465" s="29"/>
      <c r="G465" s="29"/>
      <c r="H465" s="29" t="str">
        <f t="shared" si="1"/>
        <v/>
      </c>
      <c r="I465" s="29" t="str">
        <f t="shared" si="2"/>
        <v/>
      </c>
      <c r="J465" s="29" t="str">
        <f>IF(A465="", "", IFERROR(VLOOKUP(A465, 'Master Roster'!A:H, 8, FALSE) - F465, ""))</f>
        <v/>
      </c>
      <c r="K465" s="29" t="s">
        <v>175</v>
      </c>
      <c r="L465" s="29" t="b">
        <v>0</v>
      </c>
      <c r="M465" s="29"/>
      <c r="N465" s="29" t="s">
        <v>175</v>
      </c>
      <c r="O465" s="29" t="str">
        <f>IF(ISBLANK(A465), "", LET(entry_day, VLOOKUP(A465, 'Master Roster'!$A:$G, 7, FALSE), start_date, DATE(E465, MONTH(D465&amp;" 1"), entry_day), end_date, EDATE(start_date, 1), period, TEXT(start_date, "mmm d, yyyy") &amp; " - " &amp; TEXT(end_date, "mmm d, yyyy"), HYPERLINK("https://wa.me/" &amp; VLOOKUP(A465, 'Master Roster'!$A:$F, 6, FALSE) &amp; "?text=" &amp; ENCODEURL("Hello " &amp; IFERROR(IF(VLOOKUP(A465, 'Master Roster'!$A:$J, 10, FALSE)="Male", "Mr. ", "Ms. "), "") &amp; B465 &amp; ", payment of K" &amp; F465 &amp; " received for " &amp; period &amp; ". Receipt No: " &amp; N465), "Send Receipt")))</f>
        <v/>
      </c>
    </row>
    <row r="466">
      <c r="A466" s="29"/>
      <c r="B466" s="29" t="s">
        <v>175</v>
      </c>
      <c r="C466" s="76"/>
      <c r="D466" s="29"/>
      <c r="E466" s="29"/>
      <c r="F466" s="29"/>
      <c r="G466" s="29"/>
      <c r="H466" s="29" t="str">
        <f t="shared" si="1"/>
        <v/>
      </c>
      <c r="I466" s="29" t="str">
        <f t="shared" si="2"/>
        <v/>
      </c>
      <c r="J466" s="29" t="str">
        <f>IF(A466="", "", IFERROR(VLOOKUP(A466, 'Master Roster'!A:H, 8, FALSE) - F466, ""))</f>
        <v/>
      </c>
      <c r="K466" s="29" t="s">
        <v>175</v>
      </c>
      <c r="L466" s="29" t="b">
        <v>0</v>
      </c>
      <c r="M466" s="29"/>
      <c r="N466" s="29" t="s">
        <v>175</v>
      </c>
      <c r="O466" s="29" t="str">
        <f>IF(ISBLANK(A466), "", LET(entry_day, VLOOKUP(A466, 'Master Roster'!$A:$G, 7, FALSE), start_date, DATE(E466, MONTH(D466&amp;" 1"), entry_day), end_date, EDATE(start_date, 1), period, TEXT(start_date, "mmm d, yyyy") &amp; " - " &amp; TEXT(end_date, "mmm d, yyyy"), HYPERLINK("https://wa.me/" &amp; VLOOKUP(A466, 'Master Roster'!$A:$F, 6, FALSE) &amp; "?text=" &amp; ENCODEURL("Hello " &amp; IFERROR(IF(VLOOKUP(A466, 'Master Roster'!$A:$J, 10, FALSE)="Male", "Mr. ", "Ms. "), "") &amp; B466 &amp; ", payment of K" &amp; F466 &amp; " received for " &amp; period &amp; ". Receipt No: " &amp; N466), "Send Receipt")))</f>
        <v/>
      </c>
    </row>
    <row r="467">
      <c r="A467" s="29"/>
      <c r="B467" s="29" t="s">
        <v>175</v>
      </c>
      <c r="C467" s="76"/>
      <c r="D467" s="29"/>
      <c r="E467" s="29"/>
      <c r="F467" s="29"/>
      <c r="G467" s="29"/>
      <c r="H467" s="29" t="str">
        <f t="shared" si="1"/>
        <v/>
      </c>
      <c r="I467" s="29" t="str">
        <f t="shared" si="2"/>
        <v/>
      </c>
      <c r="J467" s="29" t="str">
        <f>IF(A467="", "", IFERROR(VLOOKUP(A467, 'Master Roster'!A:H, 8, FALSE) - F467, ""))</f>
        <v/>
      </c>
      <c r="K467" s="29" t="s">
        <v>175</v>
      </c>
      <c r="L467" s="29" t="b">
        <v>0</v>
      </c>
      <c r="M467" s="29"/>
      <c r="N467" s="29" t="s">
        <v>175</v>
      </c>
      <c r="O467" s="29" t="str">
        <f>IF(ISBLANK(A467), "", LET(entry_day, VLOOKUP(A467, 'Master Roster'!$A:$G, 7, FALSE), start_date, DATE(E467, MONTH(D467&amp;" 1"), entry_day), end_date, EDATE(start_date, 1), period, TEXT(start_date, "mmm d, yyyy") &amp; " - " &amp; TEXT(end_date, "mmm d, yyyy"), HYPERLINK("https://wa.me/" &amp; VLOOKUP(A467, 'Master Roster'!$A:$F, 6, FALSE) &amp; "?text=" &amp; ENCODEURL("Hello " &amp; IFERROR(IF(VLOOKUP(A467, 'Master Roster'!$A:$J, 10, FALSE)="Male", "Mr. ", "Ms. "), "") &amp; B467 &amp; ", payment of K" &amp; F467 &amp; " received for " &amp; period &amp; ". Receipt No: " &amp; N467), "Send Receipt")))</f>
        <v/>
      </c>
    </row>
    <row r="468">
      <c r="A468" s="29"/>
      <c r="B468" s="29" t="s">
        <v>175</v>
      </c>
      <c r="C468" s="76"/>
      <c r="D468" s="29"/>
      <c r="E468" s="29"/>
      <c r="F468" s="29"/>
      <c r="G468" s="29"/>
      <c r="H468" s="29" t="str">
        <f t="shared" si="1"/>
        <v/>
      </c>
      <c r="I468" s="29" t="str">
        <f t="shared" si="2"/>
        <v/>
      </c>
      <c r="J468" s="29" t="str">
        <f>IF(A468="", "", IFERROR(VLOOKUP(A468, 'Master Roster'!A:H, 8, FALSE) - F468, ""))</f>
        <v/>
      </c>
      <c r="K468" s="29" t="s">
        <v>175</v>
      </c>
      <c r="L468" s="29" t="b">
        <v>0</v>
      </c>
      <c r="M468" s="29"/>
      <c r="N468" s="29" t="s">
        <v>175</v>
      </c>
      <c r="O468" s="29" t="str">
        <f>IF(ISBLANK(A468), "", LET(entry_day, VLOOKUP(A468, 'Master Roster'!$A:$G, 7, FALSE), start_date, DATE(E468, MONTH(D468&amp;" 1"), entry_day), end_date, EDATE(start_date, 1), period, TEXT(start_date, "mmm d, yyyy") &amp; " - " &amp; TEXT(end_date, "mmm d, yyyy"), HYPERLINK("https://wa.me/" &amp; VLOOKUP(A468, 'Master Roster'!$A:$F, 6, FALSE) &amp; "?text=" &amp; ENCODEURL("Hello " &amp; IFERROR(IF(VLOOKUP(A468, 'Master Roster'!$A:$J, 10, FALSE)="Male", "Mr. ", "Ms. "), "") &amp; B468 &amp; ", payment of K" &amp; F468 &amp; " received for " &amp; period &amp; ". Receipt No: " &amp; N468), "Send Receipt")))</f>
        <v/>
      </c>
    </row>
    <row r="469">
      <c r="A469" s="29"/>
      <c r="B469" s="29" t="s">
        <v>175</v>
      </c>
      <c r="C469" s="76"/>
      <c r="D469" s="29"/>
      <c r="E469" s="29"/>
      <c r="F469" s="29"/>
      <c r="G469" s="29"/>
      <c r="H469" s="29" t="str">
        <f t="shared" si="1"/>
        <v/>
      </c>
      <c r="I469" s="29" t="str">
        <f t="shared" si="2"/>
        <v/>
      </c>
      <c r="J469" s="29" t="str">
        <f>IF(A469="", "", IFERROR(VLOOKUP(A469, 'Master Roster'!A:H, 8, FALSE) - F469, ""))</f>
        <v/>
      </c>
      <c r="K469" s="29" t="s">
        <v>175</v>
      </c>
      <c r="L469" s="29" t="b">
        <v>0</v>
      </c>
      <c r="M469" s="29"/>
      <c r="N469" s="29" t="s">
        <v>175</v>
      </c>
      <c r="O469" s="29" t="str">
        <f>IF(ISBLANK(A469), "", LET(entry_day, VLOOKUP(A469, 'Master Roster'!$A:$G, 7, FALSE), start_date, DATE(E469, MONTH(D469&amp;" 1"), entry_day), end_date, EDATE(start_date, 1), period, TEXT(start_date, "mmm d, yyyy") &amp; " - " &amp; TEXT(end_date, "mmm d, yyyy"), HYPERLINK("https://wa.me/" &amp; VLOOKUP(A469, 'Master Roster'!$A:$F, 6, FALSE) &amp; "?text=" &amp; ENCODEURL("Hello " &amp; IFERROR(IF(VLOOKUP(A469, 'Master Roster'!$A:$J, 10, FALSE)="Male", "Mr. ", "Ms. "), "") &amp; B469 &amp; ", payment of K" &amp; F469 &amp; " received for " &amp; period &amp; ". Receipt No: " &amp; N469), "Send Receipt")))</f>
        <v/>
      </c>
    </row>
    <row r="470">
      <c r="A470" s="29"/>
      <c r="B470" s="29" t="s">
        <v>175</v>
      </c>
      <c r="C470" s="76"/>
      <c r="D470" s="29"/>
      <c r="E470" s="29"/>
      <c r="F470" s="29"/>
      <c r="G470" s="29"/>
      <c r="H470" s="29" t="str">
        <f t="shared" si="1"/>
        <v/>
      </c>
      <c r="I470" s="29" t="str">
        <f t="shared" si="2"/>
        <v/>
      </c>
      <c r="J470" s="29" t="str">
        <f>IF(A470="", "", IFERROR(VLOOKUP(A470, 'Master Roster'!A:H, 8, FALSE) - F470, ""))</f>
        <v/>
      </c>
      <c r="K470" s="29" t="s">
        <v>175</v>
      </c>
      <c r="L470" s="29" t="b">
        <v>0</v>
      </c>
      <c r="M470" s="29"/>
      <c r="N470" s="29" t="s">
        <v>175</v>
      </c>
      <c r="O470" s="29" t="str">
        <f>IF(ISBLANK(A470), "", LET(entry_day, VLOOKUP(A470, 'Master Roster'!$A:$G, 7, FALSE), start_date, DATE(E470, MONTH(D470&amp;" 1"), entry_day), end_date, EDATE(start_date, 1), period, TEXT(start_date, "mmm d, yyyy") &amp; " - " &amp; TEXT(end_date, "mmm d, yyyy"), HYPERLINK("https://wa.me/" &amp; VLOOKUP(A470, 'Master Roster'!$A:$F, 6, FALSE) &amp; "?text=" &amp; ENCODEURL("Hello " &amp; IFERROR(IF(VLOOKUP(A470, 'Master Roster'!$A:$J, 10, FALSE)="Male", "Mr. ", "Ms. "), "") &amp; B470 &amp; ", payment of K" &amp; F470 &amp; " received for " &amp; period &amp; ". Receipt No: " &amp; N470), "Send Receipt")))</f>
        <v/>
      </c>
    </row>
    <row r="471">
      <c r="A471" s="29"/>
      <c r="B471" s="29" t="s">
        <v>175</v>
      </c>
      <c r="C471" s="76"/>
      <c r="D471" s="29"/>
      <c r="E471" s="29"/>
      <c r="F471" s="29"/>
      <c r="G471" s="29"/>
      <c r="H471" s="29" t="str">
        <f t="shared" si="1"/>
        <v/>
      </c>
      <c r="I471" s="29" t="str">
        <f t="shared" si="2"/>
        <v/>
      </c>
      <c r="J471" s="29" t="str">
        <f>IF(A471="", "", IFERROR(VLOOKUP(A471, 'Master Roster'!A:H, 8, FALSE) - F471, ""))</f>
        <v/>
      </c>
      <c r="K471" s="29" t="s">
        <v>175</v>
      </c>
      <c r="L471" s="29" t="b">
        <v>0</v>
      </c>
      <c r="M471" s="29"/>
      <c r="N471" s="29" t="s">
        <v>175</v>
      </c>
      <c r="O471" s="29" t="str">
        <f>IF(ISBLANK(A471), "", LET(entry_day, VLOOKUP(A471, 'Master Roster'!$A:$G, 7, FALSE), start_date, DATE(E471, MONTH(D471&amp;" 1"), entry_day), end_date, EDATE(start_date, 1), period, TEXT(start_date, "mmm d, yyyy") &amp; " - " &amp; TEXT(end_date, "mmm d, yyyy"), HYPERLINK("https://wa.me/" &amp; VLOOKUP(A471, 'Master Roster'!$A:$F, 6, FALSE) &amp; "?text=" &amp; ENCODEURL("Hello " &amp; IFERROR(IF(VLOOKUP(A471, 'Master Roster'!$A:$J, 10, FALSE)="Male", "Mr. ", "Ms. "), "") &amp; B471 &amp; ", payment of K" &amp; F471 &amp; " received for " &amp; period &amp; ". Receipt No: " &amp; N471), "Send Receipt")))</f>
        <v/>
      </c>
    </row>
    <row r="472">
      <c r="A472" s="29"/>
      <c r="B472" s="29" t="s">
        <v>175</v>
      </c>
      <c r="C472" s="76"/>
      <c r="D472" s="29"/>
      <c r="E472" s="29"/>
      <c r="F472" s="29"/>
      <c r="G472" s="29"/>
      <c r="H472" s="29" t="str">
        <f t="shared" si="1"/>
        <v/>
      </c>
      <c r="I472" s="29" t="str">
        <f t="shared" si="2"/>
        <v/>
      </c>
      <c r="J472" s="29" t="str">
        <f>IF(A472="", "", IFERROR(VLOOKUP(A472, 'Master Roster'!A:H, 8, FALSE) - F472, ""))</f>
        <v/>
      </c>
      <c r="K472" s="29" t="s">
        <v>175</v>
      </c>
      <c r="L472" s="29" t="b">
        <v>0</v>
      </c>
      <c r="M472" s="29"/>
      <c r="N472" s="29" t="s">
        <v>175</v>
      </c>
      <c r="O472" s="29" t="str">
        <f>IF(ISBLANK(A472), "", LET(entry_day, VLOOKUP(A472, 'Master Roster'!$A:$G, 7, FALSE), start_date, DATE(E472, MONTH(D472&amp;" 1"), entry_day), end_date, EDATE(start_date, 1), period, TEXT(start_date, "mmm d, yyyy") &amp; " - " &amp; TEXT(end_date, "mmm d, yyyy"), HYPERLINK("https://wa.me/" &amp; VLOOKUP(A472, 'Master Roster'!$A:$F, 6, FALSE) &amp; "?text=" &amp; ENCODEURL("Hello " &amp; IFERROR(IF(VLOOKUP(A472, 'Master Roster'!$A:$J, 10, FALSE)="Male", "Mr. ", "Ms. "), "") &amp; B472 &amp; ", payment of K" &amp; F472 &amp; " received for " &amp; period &amp; ". Receipt No: " &amp; N472), "Send Receipt")))</f>
        <v/>
      </c>
    </row>
    <row r="473">
      <c r="A473" s="29"/>
      <c r="B473" s="29" t="s">
        <v>175</v>
      </c>
      <c r="C473" s="76"/>
      <c r="D473" s="29"/>
      <c r="E473" s="29"/>
      <c r="F473" s="29"/>
      <c r="G473" s="29"/>
      <c r="H473" s="29" t="str">
        <f t="shared" si="1"/>
        <v/>
      </c>
      <c r="I473" s="29" t="str">
        <f t="shared" si="2"/>
        <v/>
      </c>
      <c r="J473" s="29" t="str">
        <f>IF(A473="", "", IFERROR(VLOOKUP(A473, 'Master Roster'!A:H, 8, FALSE) - F473, ""))</f>
        <v/>
      </c>
      <c r="K473" s="29" t="s">
        <v>175</v>
      </c>
      <c r="L473" s="29" t="b">
        <v>0</v>
      </c>
      <c r="M473" s="29"/>
      <c r="N473" s="29" t="s">
        <v>175</v>
      </c>
      <c r="O473" s="29" t="str">
        <f>IF(ISBLANK(A473), "", LET(entry_day, VLOOKUP(A473, 'Master Roster'!$A:$G, 7, FALSE), start_date, DATE(E473, MONTH(D473&amp;" 1"), entry_day), end_date, EDATE(start_date, 1), period, TEXT(start_date, "mmm d, yyyy") &amp; " - " &amp; TEXT(end_date, "mmm d, yyyy"), HYPERLINK("https://wa.me/" &amp; VLOOKUP(A473, 'Master Roster'!$A:$F, 6, FALSE) &amp; "?text=" &amp; ENCODEURL("Hello " &amp; IFERROR(IF(VLOOKUP(A473, 'Master Roster'!$A:$J, 10, FALSE)="Male", "Mr. ", "Ms. "), "") &amp; B473 &amp; ", payment of K" &amp; F473 &amp; " received for " &amp; period &amp; ". Receipt No: " &amp; N473), "Send Receipt")))</f>
        <v/>
      </c>
    </row>
    <row r="474">
      <c r="A474" s="29"/>
      <c r="B474" s="29" t="s">
        <v>175</v>
      </c>
      <c r="C474" s="76"/>
      <c r="D474" s="29"/>
      <c r="E474" s="29"/>
      <c r="F474" s="29"/>
      <c r="G474" s="29"/>
      <c r="H474" s="29" t="str">
        <f t="shared" si="1"/>
        <v/>
      </c>
      <c r="I474" s="29" t="str">
        <f t="shared" si="2"/>
        <v/>
      </c>
      <c r="J474" s="29" t="str">
        <f>IF(A474="", "", IFERROR(VLOOKUP(A474, 'Master Roster'!A:H, 8, FALSE) - F474, ""))</f>
        <v/>
      </c>
      <c r="K474" s="29" t="s">
        <v>175</v>
      </c>
      <c r="L474" s="29" t="b">
        <v>0</v>
      </c>
      <c r="M474" s="29"/>
      <c r="N474" s="29" t="s">
        <v>175</v>
      </c>
      <c r="O474" s="29" t="str">
        <f>IF(ISBLANK(A474), "", LET(entry_day, VLOOKUP(A474, 'Master Roster'!$A:$G, 7, FALSE), start_date, DATE(E474, MONTH(D474&amp;" 1"), entry_day), end_date, EDATE(start_date, 1), period, TEXT(start_date, "mmm d, yyyy") &amp; " - " &amp; TEXT(end_date, "mmm d, yyyy"), HYPERLINK("https://wa.me/" &amp; VLOOKUP(A474, 'Master Roster'!$A:$F, 6, FALSE) &amp; "?text=" &amp; ENCODEURL("Hello " &amp; IFERROR(IF(VLOOKUP(A474, 'Master Roster'!$A:$J, 10, FALSE)="Male", "Mr. ", "Ms. "), "") &amp; B474 &amp; ", payment of K" &amp; F474 &amp; " received for " &amp; period &amp; ". Receipt No: " &amp; N474), "Send Receipt")))</f>
        <v/>
      </c>
    </row>
    <row r="475">
      <c r="A475" s="29"/>
      <c r="B475" s="29" t="s">
        <v>175</v>
      </c>
      <c r="C475" s="76"/>
      <c r="D475" s="29"/>
      <c r="E475" s="29"/>
      <c r="F475" s="29"/>
      <c r="G475" s="29"/>
      <c r="H475" s="29" t="str">
        <f t="shared" si="1"/>
        <v/>
      </c>
      <c r="I475" s="29" t="str">
        <f t="shared" si="2"/>
        <v/>
      </c>
      <c r="J475" s="29" t="str">
        <f>IF(A475="", "", IFERROR(VLOOKUP(A475, 'Master Roster'!A:H, 8, FALSE) - F475, ""))</f>
        <v/>
      </c>
      <c r="K475" s="29" t="s">
        <v>175</v>
      </c>
      <c r="L475" s="29" t="b">
        <v>0</v>
      </c>
      <c r="M475" s="29"/>
      <c r="N475" s="29" t="s">
        <v>175</v>
      </c>
      <c r="O475" s="29" t="str">
        <f>IF(ISBLANK(A475), "", LET(entry_day, VLOOKUP(A475, 'Master Roster'!$A:$G, 7, FALSE), start_date, DATE(E475, MONTH(D475&amp;" 1"), entry_day), end_date, EDATE(start_date, 1), period, TEXT(start_date, "mmm d, yyyy") &amp; " - " &amp; TEXT(end_date, "mmm d, yyyy"), HYPERLINK("https://wa.me/" &amp; VLOOKUP(A475, 'Master Roster'!$A:$F, 6, FALSE) &amp; "?text=" &amp; ENCODEURL("Hello " &amp; IFERROR(IF(VLOOKUP(A475, 'Master Roster'!$A:$J, 10, FALSE)="Male", "Mr. ", "Ms. "), "") &amp; B475 &amp; ", payment of K" &amp; F475 &amp; " received for " &amp; period &amp; ". Receipt No: " &amp; N475), "Send Receipt")))</f>
        <v/>
      </c>
    </row>
    <row r="476">
      <c r="A476" s="29"/>
      <c r="B476" s="29" t="s">
        <v>175</v>
      </c>
      <c r="C476" s="76"/>
      <c r="D476" s="29"/>
      <c r="E476" s="29"/>
      <c r="F476" s="29"/>
      <c r="G476" s="29"/>
      <c r="H476" s="29" t="str">
        <f t="shared" si="1"/>
        <v/>
      </c>
      <c r="I476" s="29" t="str">
        <f t="shared" si="2"/>
        <v/>
      </c>
      <c r="J476" s="29" t="str">
        <f>IF(A476="", "", IFERROR(VLOOKUP(A476, 'Master Roster'!A:H, 8, FALSE) - F476, ""))</f>
        <v/>
      </c>
      <c r="K476" s="29" t="s">
        <v>175</v>
      </c>
      <c r="L476" s="29" t="b">
        <v>0</v>
      </c>
      <c r="M476" s="29"/>
      <c r="N476" s="29" t="s">
        <v>175</v>
      </c>
      <c r="O476" s="29" t="str">
        <f>IF(ISBLANK(A476), "", LET(entry_day, VLOOKUP(A476, 'Master Roster'!$A:$G, 7, FALSE), start_date, DATE(E476, MONTH(D476&amp;" 1"), entry_day), end_date, EDATE(start_date, 1), period, TEXT(start_date, "mmm d, yyyy") &amp; " - " &amp; TEXT(end_date, "mmm d, yyyy"), HYPERLINK("https://wa.me/" &amp; VLOOKUP(A476, 'Master Roster'!$A:$F, 6, FALSE) &amp; "?text=" &amp; ENCODEURL("Hello " &amp; IFERROR(IF(VLOOKUP(A476, 'Master Roster'!$A:$J, 10, FALSE)="Male", "Mr. ", "Ms. "), "") &amp; B476 &amp; ", payment of K" &amp; F476 &amp; " received for " &amp; period &amp; ". Receipt No: " &amp; N476), "Send Receipt")))</f>
        <v/>
      </c>
    </row>
    <row r="477">
      <c r="A477" s="29"/>
      <c r="B477" s="29" t="s">
        <v>175</v>
      </c>
      <c r="C477" s="76"/>
      <c r="D477" s="29"/>
      <c r="E477" s="29"/>
      <c r="F477" s="29"/>
      <c r="G477" s="29"/>
      <c r="H477" s="29" t="str">
        <f t="shared" si="1"/>
        <v/>
      </c>
      <c r="I477" s="29" t="str">
        <f t="shared" si="2"/>
        <v/>
      </c>
      <c r="J477" s="29" t="str">
        <f>IF(A477="", "", IFERROR(VLOOKUP(A477, 'Master Roster'!A:H, 8, FALSE) - F477, ""))</f>
        <v/>
      </c>
      <c r="K477" s="29" t="s">
        <v>175</v>
      </c>
      <c r="L477" s="29" t="b">
        <v>0</v>
      </c>
      <c r="M477" s="29"/>
      <c r="N477" s="29" t="s">
        <v>175</v>
      </c>
      <c r="O477" s="29" t="str">
        <f>IF(ISBLANK(A477), "", LET(entry_day, VLOOKUP(A477, 'Master Roster'!$A:$G, 7, FALSE), start_date, DATE(E477, MONTH(D477&amp;" 1"), entry_day), end_date, EDATE(start_date, 1), period, TEXT(start_date, "mmm d, yyyy") &amp; " - " &amp; TEXT(end_date, "mmm d, yyyy"), HYPERLINK("https://wa.me/" &amp; VLOOKUP(A477, 'Master Roster'!$A:$F, 6, FALSE) &amp; "?text=" &amp; ENCODEURL("Hello " &amp; IFERROR(IF(VLOOKUP(A477, 'Master Roster'!$A:$J, 10, FALSE)="Male", "Mr. ", "Ms. "), "") &amp; B477 &amp; ", payment of K" &amp; F477 &amp; " received for " &amp; period &amp; ". Receipt No: " &amp; N477), "Send Receipt")))</f>
        <v/>
      </c>
    </row>
    <row r="478">
      <c r="A478" s="29"/>
      <c r="B478" s="29" t="s">
        <v>175</v>
      </c>
      <c r="C478" s="76"/>
      <c r="D478" s="29"/>
      <c r="E478" s="29"/>
      <c r="F478" s="29"/>
      <c r="G478" s="29"/>
      <c r="H478" s="29" t="str">
        <f t="shared" si="1"/>
        <v/>
      </c>
      <c r="I478" s="29" t="str">
        <f t="shared" si="2"/>
        <v/>
      </c>
      <c r="J478" s="29" t="str">
        <f>IF(A478="", "", IFERROR(VLOOKUP(A478, 'Master Roster'!A:H, 8, FALSE) - F478, ""))</f>
        <v/>
      </c>
      <c r="K478" s="29" t="s">
        <v>175</v>
      </c>
      <c r="L478" s="29" t="b">
        <v>0</v>
      </c>
      <c r="M478" s="29"/>
      <c r="N478" s="29" t="s">
        <v>175</v>
      </c>
      <c r="O478" s="29" t="str">
        <f>IF(ISBLANK(A478), "", LET(entry_day, VLOOKUP(A478, 'Master Roster'!$A:$G, 7, FALSE), start_date, DATE(E478, MONTH(D478&amp;" 1"), entry_day), end_date, EDATE(start_date, 1), period, TEXT(start_date, "mmm d, yyyy") &amp; " - " &amp; TEXT(end_date, "mmm d, yyyy"), HYPERLINK("https://wa.me/" &amp; VLOOKUP(A478, 'Master Roster'!$A:$F, 6, FALSE) &amp; "?text=" &amp; ENCODEURL("Hello " &amp; IFERROR(IF(VLOOKUP(A478, 'Master Roster'!$A:$J, 10, FALSE)="Male", "Mr. ", "Ms. "), "") &amp; B478 &amp; ", payment of K" &amp; F478 &amp; " received for " &amp; period &amp; ". Receipt No: " &amp; N478), "Send Receipt")))</f>
        <v/>
      </c>
    </row>
    <row r="479">
      <c r="A479" s="29"/>
      <c r="B479" s="29" t="s">
        <v>175</v>
      </c>
      <c r="C479" s="76"/>
      <c r="D479" s="29"/>
      <c r="E479" s="29"/>
      <c r="F479" s="29"/>
      <c r="G479" s="29"/>
      <c r="H479" s="29" t="str">
        <f t="shared" si="1"/>
        <v/>
      </c>
      <c r="I479" s="29" t="str">
        <f t="shared" si="2"/>
        <v/>
      </c>
      <c r="J479" s="29" t="str">
        <f>IF(A479="", "", IFERROR(VLOOKUP(A479, 'Master Roster'!A:H, 8, FALSE) - F479, ""))</f>
        <v/>
      </c>
      <c r="K479" s="29" t="s">
        <v>175</v>
      </c>
      <c r="L479" s="29" t="b">
        <v>0</v>
      </c>
      <c r="M479" s="29"/>
      <c r="N479" s="29" t="s">
        <v>175</v>
      </c>
      <c r="O479" s="29" t="str">
        <f>IF(ISBLANK(A479), "", LET(entry_day, VLOOKUP(A479, 'Master Roster'!$A:$G, 7, FALSE), start_date, DATE(E479, MONTH(D479&amp;" 1"), entry_day), end_date, EDATE(start_date, 1), period, TEXT(start_date, "mmm d, yyyy") &amp; " - " &amp; TEXT(end_date, "mmm d, yyyy"), HYPERLINK("https://wa.me/" &amp; VLOOKUP(A479, 'Master Roster'!$A:$F, 6, FALSE) &amp; "?text=" &amp; ENCODEURL("Hello " &amp; IFERROR(IF(VLOOKUP(A479, 'Master Roster'!$A:$J, 10, FALSE)="Male", "Mr. ", "Ms. "), "") &amp; B479 &amp; ", payment of K" &amp; F479 &amp; " received for " &amp; period &amp; ". Receipt No: " &amp; N479), "Send Receipt")))</f>
        <v/>
      </c>
    </row>
    <row r="480">
      <c r="A480" s="29"/>
      <c r="B480" s="29" t="s">
        <v>175</v>
      </c>
      <c r="C480" s="76"/>
      <c r="D480" s="29"/>
      <c r="E480" s="29"/>
      <c r="F480" s="29"/>
      <c r="G480" s="29"/>
      <c r="H480" s="29" t="str">
        <f t="shared" si="1"/>
        <v/>
      </c>
      <c r="I480" s="29" t="str">
        <f t="shared" si="2"/>
        <v/>
      </c>
      <c r="J480" s="29" t="str">
        <f>IF(A480="", "", IFERROR(VLOOKUP(A480, 'Master Roster'!A:H, 8, FALSE) - F480, ""))</f>
        <v/>
      </c>
      <c r="K480" s="29" t="s">
        <v>175</v>
      </c>
      <c r="L480" s="29" t="b">
        <v>0</v>
      </c>
      <c r="M480" s="29"/>
      <c r="N480" s="29" t="s">
        <v>175</v>
      </c>
      <c r="O480" s="29" t="str">
        <f>IF(ISBLANK(A480), "", LET(entry_day, VLOOKUP(A480, 'Master Roster'!$A:$G, 7, FALSE), start_date, DATE(E480, MONTH(D480&amp;" 1"), entry_day), end_date, EDATE(start_date, 1), period, TEXT(start_date, "mmm d, yyyy") &amp; " - " &amp; TEXT(end_date, "mmm d, yyyy"), HYPERLINK("https://wa.me/" &amp; VLOOKUP(A480, 'Master Roster'!$A:$F, 6, FALSE) &amp; "?text=" &amp; ENCODEURL("Hello " &amp; IFERROR(IF(VLOOKUP(A480, 'Master Roster'!$A:$J, 10, FALSE)="Male", "Mr. ", "Ms. "), "") &amp; B480 &amp; ", payment of K" &amp; F480 &amp; " received for " &amp; period &amp; ". Receipt No: " &amp; N480), "Send Receipt")))</f>
        <v/>
      </c>
    </row>
    <row r="481">
      <c r="A481" s="29"/>
      <c r="B481" s="29" t="s">
        <v>175</v>
      </c>
      <c r="C481" s="76"/>
      <c r="D481" s="29"/>
      <c r="E481" s="29"/>
      <c r="F481" s="29"/>
      <c r="G481" s="29"/>
      <c r="H481" s="29" t="str">
        <f t="shared" si="1"/>
        <v/>
      </c>
      <c r="I481" s="29" t="str">
        <f t="shared" si="2"/>
        <v/>
      </c>
      <c r="J481" s="29" t="str">
        <f>IF(A481="", "", IFERROR(VLOOKUP(A481, 'Master Roster'!A:H, 8, FALSE) - F481, ""))</f>
        <v/>
      </c>
      <c r="K481" s="29" t="s">
        <v>175</v>
      </c>
      <c r="L481" s="29" t="b">
        <v>0</v>
      </c>
      <c r="M481" s="29"/>
      <c r="N481" s="29" t="s">
        <v>175</v>
      </c>
      <c r="O481" s="29" t="str">
        <f>IF(ISBLANK(A481), "", LET(entry_day, VLOOKUP(A481, 'Master Roster'!$A:$G, 7, FALSE), start_date, DATE(E481, MONTH(D481&amp;" 1"), entry_day), end_date, EDATE(start_date, 1), period, TEXT(start_date, "mmm d, yyyy") &amp; " - " &amp; TEXT(end_date, "mmm d, yyyy"), HYPERLINK("https://wa.me/" &amp; VLOOKUP(A481, 'Master Roster'!$A:$F, 6, FALSE) &amp; "?text=" &amp; ENCODEURL("Hello " &amp; IFERROR(IF(VLOOKUP(A481, 'Master Roster'!$A:$J, 10, FALSE)="Male", "Mr. ", "Ms. "), "") &amp; B481 &amp; ", payment of K" &amp; F481 &amp; " received for " &amp; period &amp; ". Receipt No: " &amp; N481), "Send Receipt")))</f>
        <v/>
      </c>
    </row>
    <row r="482">
      <c r="A482" s="29"/>
      <c r="B482" s="29" t="s">
        <v>175</v>
      </c>
      <c r="C482" s="76"/>
      <c r="D482" s="29"/>
      <c r="E482" s="29"/>
      <c r="F482" s="29"/>
      <c r="G482" s="29"/>
      <c r="H482" s="29" t="str">
        <f t="shared" si="1"/>
        <v/>
      </c>
      <c r="I482" s="29" t="str">
        <f t="shared" si="2"/>
        <v/>
      </c>
      <c r="J482" s="29" t="str">
        <f>IF(A482="", "", IFERROR(VLOOKUP(A482, 'Master Roster'!A:H, 8, FALSE) - F482, ""))</f>
        <v/>
      </c>
      <c r="K482" s="29" t="s">
        <v>175</v>
      </c>
      <c r="L482" s="29" t="b">
        <v>0</v>
      </c>
      <c r="M482" s="29"/>
      <c r="N482" s="29" t="s">
        <v>175</v>
      </c>
      <c r="O482" s="29" t="str">
        <f>IF(ISBLANK(A482), "", LET(entry_day, VLOOKUP(A482, 'Master Roster'!$A:$G, 7, FALSE), start_date, DATE(E482, MONTH(D482&amp;" 1"), entry_day), end_date, EDATE(start_date, 1), period, TEXT(start_date, "mmm d, yyyy") &amp; " - " &amp; TEXT(end_date, "mmm d, yyyy"), HYPERLINK("https://wa.me/" &amp; VLOOKUP(A482, 'Master Roster'!$A:$F, 6, FALSE) &amp; "?text=" &amp; ENCODEURL("Hello " &amp; IFERROR(IF(VLOOKUP(A482, 'Master Roster'!$A:$J, 10, FALSE)="Male", "Mr. ", "Ms. "), "") &amp; B482 &amp; ", payment of K" &amp; F482 &amp; " received for " &amp; period &amp; ". Receipt No: " &amp; N482), "Send Receipt")))</f>
        <v/>
      </c>
    </row>
    <row r="483">
      <c r="A483" s="29"/>
      <c r="B483" s="29" t="s">
        <v>175</v>
      </c>
      <c r="C483" s="76"/>
      <c r="D483" s="29"/>
      <c r="E483" s="29"/>
      <c r="F483" s="29"/>
      <c r="G483" s="29"/>
      <c r="H483" s="29" t="str">
        <f t="shared" si="1"/>
        <v/>
      </c>
      <c r="I483" s="29" t="str">
        <f t="shared" si="2"/>
        <v/>
      </c>
      <c r="J483" s="29" t="str">
        <f>IF(A483="", "", IFERROR(VLOOKUP(A483, 'Master Roster'!A:H, 8, FALSE) - F483, ""))</f>
        <v/>
      </c>
      <c r="K483" s="29" t="s">
        <v>175</v>
      </c>
      <c r="L483" s="29" t="b">
        <v>0</v>
      </c>
      <c r="M483" s="29"/>
      <c r="N483" s="29" t="s">
        <v>175</v>
      </c>
      <c r="O483" s="29" t="str">
        <f>IF(ISBLANK(A483), "", LET(entry_day, VLOOKUP(A483, 'Master Roster'!$A:$G, 7, FALSE), start_date, DATE(E483, MONTH(D483&amp;" 1"), entry_day), end_date, EDATE(start_date, 1), period, TEXT(start_date, "mmm d, yyyy") &amp; " - " &amp; TEXT(end_date, "mmm d, yyyy"), HYPERLINK("https://wa.me/" &amp; VLOOKUP(A483, 'Master Roster'!$A:$F, 6, FALSE) &amp; "?text=" &amp; ENCODEURL("Hello " &amp; IFERROR(IF(VLOOKUP(A483, 'Master Roster'!$A:$J, 10, FALSE)="Male", "Mr. ", "Ms. "), "") &amp; B483 &amp; ", payment of K" &amp; F483 &amp; " received for " &amp; period &amp; ". Receipt No: " &amp; N483), "Send Receipt")))</f>
        <v/>
      </c>
    </row>
    <row r="484">
      <c r="A484" s="29"/>
      <c r="B484" s="29" t="s">
        <v>175</v>
      </c>
      <c r="C484" s="76"/>
      <c r="D484" s="29"/>
      <c r="E484" s="29"/>
      <c r="F484" s="29"/>
      <c r="G484" s="29"/>
      <c r="H484" s="29" t="str">
        <f t="shared" si="1"/>
        <v/>
      </c>
      <c r="I484" s="29" t="str">
        <f t="shared" si="2"/>
        <v/>
      </c>
      <c r="J484" s="29" t="str">
        <f>IF(A484="", "", IFERROR(VLOOKUP(A484, 'Master Roster'!A:H, 8, FALSE) - F484, ""))</f>
        <v/>
      </c>
      <c r="K484" s="29" t="s">
        <v>175</v>
      </c>
      <c r="L484" s="29" t="b">
        <v>0</v>
      </c>
      <c r="M484" s="29"/>
      <c r="N484" s="29" t="s">
        <v>175</v>
      </c>
      <c r="O484" s="29" t="str">
        <f>IF(ISBLANK(A484), "", LET(entry_day, VLOOKUP(A484, 'Master Roster'!$A:$G, 7, FALSE), start_date, DATE(E484, MONTH(D484&amp;" 1"), entry_day), end_date, EDATE(start_date, 1), period, TEXT(start_date, "mmm d, yyyy") &amp; " - " &amp; TEXT(end_date, "mmm d, yyyy"), HYPERLINK("https://wa.me/" &amp; VLOOKUP(A484, 'Master Roster'!$A:$F, 6, FALSE) &amp; "?text=" &amp; ENCODEURL("Hello " &amp; IFERROR(IF(VLOOKUP(A484, 'Master Roster'!$A:$J, 10, FALSE)="Male", "Mr. ", "Ms. "), "") &amp; B484 &amp; ", payment of K" &amp; F484 &amp; " received for " &amp; period &amp; ". Receipt No: " &amp; N484), "Send Receipt")))</f>
        <v/>
      </c>
    </row>
    <row r="485">
      <c r="A485" s="29"/>
      <c r="B485" s="29" t="s">
        <v>175</v>
      </c>
      <c r="C485" s="76"/>
      <c r="D485" s="29"/>
      <c r="E485" s="29"/>
      <c r="F485" s="29"/>
      <c r="G485" s="29"/>
      <c r="H485" s="29" t="str">
        <f t="shared" si="1"/>
        <v/>
      </c>
      <c r="I485" s="29" t="str">
        <f t="shared" si="2"/>
        <v/>
      </c>
      <c r="J485" s="29" t="str">
        <f>IF(A485="", "", IFERROR(VLOOKUP(A485, 'Master Roster'!A:H, 8, FALSE) - F485, ""))</f>
        <v/>
      </c>
      <c r="K485" s="29" t="s">
        <v>175</v>
      </c>
      <c r="L485" s="29" t="b">
        <v>0</v>
      </c>
      <c r="M485" s="29"/>
      <c r="N485" s="29" t="s">
        <v>175</v>
      </c>
      <c r="O485" s="29" t="str">
        <f>IF(ISBLANK(A485), "", LET(entry_day, VLOOKUP(A485, 'Master Roster'!$A:$G, 7, FALSE), start_date, DATE(E485, MONTH(D485&amp;" 1"), entry_day), end_date, EDATE(start_date, 1), period, TEXT(start_date, "mmm d, yyyy") &amp; " - " &amp; TEXT(end_date, "mmm d, yyyy"), HYPERLINK("https://wa.me/" &amp; VLOOKUP(A485, 'Master Roster'!$A:$F, 6, FALSE) &amp; "?text=" &amp; ENCODEURL("Hello " &amp; IFERROR(IF(VLOOKUP(A485, 'Master Roster'!$A:$J, 10, FALSE)="Male", "Mr. ", "Ms. "), "") &amp; B485 &amp; ", payment of K" &amp; F485 &amp; " received for " &amp; period &amp; ". Receipt No: " &amp; N485), "Send Receipt")))</f>
        <v/>
      </c>
    </row>
    <row r="486">
      <c r="A486" s="29"/>
      <c r="B486" s="29" t="s">
        <v>175</v>
      </c>
      <c r="C486" s="76"/>
      <c r="D486" s="29"/>
      <c r="E486" s="29"/>
      <c r="F486" s="29"/>
      <c r="G486" s="29"/>
      <c r="H486" s="29" t="str">
        <f t="shared" si="1"/>
        <v/>
      </c>
      <c r="I486" s="29" t="str">
        <f t="shared" si="2"/>
        <v/>
      </c>
      <c r="J486" s="29" t="str">
        <f>IF(A486="", "", IFERROR(VLOOKUP(A486, 'Master Roster'!A:H, 8, FALSE) - F486, ""))</f>
        <v/>
      </c>
      <c r="K486" s="29" t="s">
        <v>175</v>
      </c>
      <c r="L486" s="29" t="b">
        <v>0</v>
      </c>
      <c r="M486" s="29"/>
      <c r="N486" s="29" t="s">
        <v>175</v>
      </c>
      <c r="O486" s="29" t="str">
        <f>IF(ISBLANK(A486), "", LET(entry_day, VLOOKUP(A486, 'Master Roster'!$A:$G, 7, FALSE), start_date, DATE(E486, MONTH(D486&amp;" 1"), entry_day), end_date, EDATE(start_date, 1), period, TEXT(start_date, "mmm d, yyyy") &amp; " - " &amp; TEXT(end_date, "mmm d, yyyy"), HYPERLINK("https://wa.me/" &amp; VLOOKUP(A486, 'Master Roster'!$A:$F, 6, FALSE) &amp; "?text=" &amp; ENCODEURL("Hello " &amp; IFERROR(IF(VLOOKUP(A486, 'Master Roster'!$A:$J, 10, FALSE)="Male", "Mr. ", "Ms. "), "") &amp; B486 &amp; ", payment of K" &amp; F486 &amp; " received for " &amp; period &amp; ". Receipt No: " &amp; N486), "Send Receipt")))</f>
        <v/>
      </c>
    </row>
    <row r="487">
      <c r="A487" s="29"/>
      <c r="B487" s="29" t="s">
        <v>175</v>
      </c>
      <c r="C487" s="76"/>
      <c r="D487" s="29"/>
      <c r="E487" s="29"/>
      <c r="F487" s="29"/>
      <c r="G487" s="29"/>
      <c r="H487" s="29" t="str">
        <f t="shared" si="1"/>
        <v/>
      </c>
      <c r="I487" s="29" t="str">
        <f t="shared" si="2"/>
        <v/>
      </c>
      <c r="J487" s="29" t="str">
        <f>IF(A487="", "", IFERROR(VLOOKUP(A487, 'Master Roster'!A:H, 8, FALSE) - F487, ""))</f>
        <v/>
      </c>
      <c r="K487" s="29" t="s">
        <v>175</v>
      </c>
      <c r="L487" s="29" t="b">
        <v>0</v>
      </c>
      <c r="M487" s="29"/>
      <c r="N487" s="29" t="s">
        <v>175</v>
      </c>
      <c r="O487" s="29" t="str">
        <f>IF(ISBLANK(A487), "", LET(entry_day, VLOOKUP(A487, 'Master Roster'!$A:$G, 7, FALSE), start_date, DATE(E487, MONTH(D487&amp;" 1"), entry_day), end_date, EDATE(start_date, 1), period, TEXT(start_date, "mmm d, yyyy") &amp; " - " &amp; TEXT(end_date, "mmm d, yyyy"), HYPERLINK("https://wa.me/" &amp; VLOOKUP(A487, 'Master Roster'!$A:$F, 6, FALSE) &amp; "?text=" &amp; ENCODEURL("Hello " &amp; IFERROR(IF(VLOOKUP(A487, 'Master Roster'!$A:$J, 10, FALSE)="Male", "Mr. ", "Ms. "), "") &amp; B487 &amp; ", payment of K" &amp; F487 &amp; " received for " &amp; period &amp; ". Receipt No: " &amp; N487), "Send Receipt")))</f>
        <v/>
      </c>
    </row>
    <row r="488">
      <c r="A488" s="29"/>
      <c r="B488" s="29" t="s">
        <v>175</v>
      </c>
      <c r="C488" s="76"/>
      <c r="D488" s="29"/>
      <c r="E488" s="29"/>
      <c r="F488" s="29"/>
      <c r="G488" s="29"/>
      <c r="H488" s="29" t="str">
        <f t="shared" si="1"/>
        <v/>
      </c>
      <c r="I488" s="29" t="str">
        <f t="shared" si="2"/>
        <v/>
      </c>
      <c r="J488" s="29" t="str">
        <f>IF(A488="", "", IFERROR(VLOOKUP(A488, 'Master Roster'!A:H, 8, FALSE) - F488, ""))</f>
        <v/>
      </c>
      <c r="K488" s="29" t="s">
        <v>175</v>
      </c>
      <c r="L488" s="29" t="b">
        <v>0</v>
      </c>
      <c r="M488" s="29"/>
      <c r="N488" s="29" t="s">
        <v>175</v>
      </c>
      <c r="O488" s="29" t="str">
        <f>IF(ISBLANK(A488), "", LET(entry_day, VLOOKUP(A488, 'Master Roster'!$A:$G, 7, FALSE), start_date, DATE(E488, MONTH(D488&amp;" 1"), entry_day), end_date, EDATE(start_date, 1), period, TEXT(start_date, "mmm d, yyyy") &amp; " - " &amp; TEXT(end_date, "mmm d, yyyy"), HYPERLINK("https://wa.me/" &amp; VLOOKUP(A488, 'Master Roster'!$A:$F, 6, FALSE) &amp; "?text=" &amp; ENCODEURL("Hello " &amp; IFERROR(IF(VLOOKUP(A488, 'Master Roster'!$A:$J, 10, FALSE)="Male", "Mr. ", "Ms. "), "") &amp; B488 &amp; ", payment of K" &amp; F488 &amp; " received for " &amp; period &amp; ". Receipt No: " &amp; N488), "Send Receipt")))</f>
        <v/>
      </c>
    </row>
    <row r="489">
      <c r="A489" s="29"/>
      <c r="B489" s="29" t="s">
        <v>175</v>
      </c>
      <c r="C489" s="76"/>
      <c r="D489" s="29"/>
      <c r="E489" s="29"/>
      <c r="F489" s="29"/>
      <c r="G489" s="29"/>
      <c r="H489" s="29" t="str">
        <f t="shared" si="1"/>
        <v/>
      </c>
      <c r="I489" s="29" t="str">
        <f t="shared" si="2"/>
        <v/>
      </c>
      <c r="J489" s="29" t="str">
        <f>IF(A489="", "", IFERROR(VLOOKUP(A489, 'Master Roster'!A:H, 8, FALSE) - F489, ""))</f>
        <v/>
      </c>
      <c r="K489" s="29" t="s">
        <v>175</v>
      </c>
      <c r="L489" s="29" t="b">
        <v>0</v>
      </c>
      <c r="M489" s="29"/>
      <c r="N489" s="29" t="s">
        <v>175</v>
      </c>
      <c r="O489" s="29" t="str">
        <f>IF(ISBLANK(A489), "", LET(entry_day, VLOOKUP(A489, 'Master Roster'!$A:$G, 7, FALSE), start_date, DATE(E489, MONTH(D489&amp;" 1"), entry_day), end_date, EDATE(start_date, 1), period, TEXT(start_date, "mmm d, yyyy") &amp; " - " &amp; TEXT(end_date, "mmm d, yyyy"), HYPERLINK("https://wa.me/" &amp; VLOOKUP(A489, 'Master Roster'!$A:$F, 6, FALSE) &amp; "?text=" &amp; ENCODEURL("Hello " &amp; IFERROR(IF(VLOOKUP(A489, 'Master Roster'!$A:$J, 10, FALSE)="Male", "Mr. ", "Ms. "), "") &amp; B489 &amp; ", payment of K" &amp; F489 &amp; " received for " &amp; period &amp; ". Receipt No: " &amp; N489), "Send Receipt")))</f>
        <v/>
      </c>
    </row>
    <row r="490">
      <c r="A490" s="29"/>
      <c r="B490" s="29" t="s">
        <v>175</v>
      </c>
      <c r="C490" s="76"/>
      <c r="D490" s="29"/>
      <c r="E490" s="29"/>
      <c r="F490" s="29"/>
      <c r="G490" s="29"/>
      <c r="H490" s="29" t="str">
        <f t="shared" si="1"/>
        <v/>
      </c>
      <c r="I490" s="29" t="str">
        <f t="shared" si="2"/>
        <v/>
      </c>
      <c r="J490" s="29" t="str">
        <f>IF(A490="", "", IFERROR(VLOOKUP(A490, 'Master Roster'!A:H, 8, FALSE) - F490, ""))</f>
        <v/>
      </c>
      <c r="K490" s="29" t="s">
        <v>175</v>
      </c>
      <c r="L490" s="29" t="b">
        <v>0</v>
      </c>
      <c r="M490" s="29"/>
      <c r="N490" s="29" t="s">
        <v>175</v>
      </c>
      <c r="O490" s="29" t="str">
        <f>IF(ISBLANK(A490), "", LET(entry_day, VLOOKUP(A490, 'Master Roster'!$A:$G, 7, FALSE), start_date, DATE(E490, MONTH(D490&amp;" 1"), entry_day), end_date, EDATE(start_date, 1), period, TEXT(start_date, "mmm d, yyyy") &amp; " - " &amp; TEXT(end_date, "mmm d, yyyy"), HYPERLINK("https://wa.me/" &amp; VLOOKUP(A490, 'Master Roster'!$A:$F, 6, FALSE) &amp; "?text=" &amp; ENCODEURL("Hello " &amp; IFERROR(IF(VLOOKUP(A490, 'Master Roster'!$A:$J, 10, FALSE)="Male", "Mr. ", "Ms. "), "") &amp; B490 &amp; ", payment of K" &amp; F490 &amp; " received for " &amp; period &amp; ". Receipt No: " &amp; N490), "Send Receipt")))</f>
        <v/>
      </c>
    </row>
    <row r="491">
      <c r="A491" s="29"/>
      <c r="B491" s="29" t="s">
        <v>175</v>
      </c>
      <c r="C491" s="76"/>
      <c r="D491" s="29"/>
      <c r="E491" s="29"/>
      <c r="F491" s="29"/>
      <c r="G491" s="29"/>
      <c r="H491" s="29" t="str">
        <f t="shared" si="1"/>
        <v/>
      </c>
      <c r="I491" s="29" t="str">
        <f t="shared" si="2"/>
        <v/>
      </c>
      <c r="J491" s="29" t="str">
        <f>IF(A491="", "", IFERROR(VLOOKUP(A491, 'Master Roster'!A:H, 8, FALSE) - F491, ""))</f>
        <v/>
      </c>
      <c r="K491" s="29" t="s">
        <v>175</v>
      </c>
      <c r="L491" s="29" t="b">
        <v>0</v>
      </c>
      <c r="M491" s="29"/>
      <c r="N491" s="29" t="s">
        <v>175</v>
      </c>
      <c r="O491" s="29" t="str">
        <f>IF(ISBLANK(A491), "", LET(entry_day, VLOOKUP(A491, 'Master Roster'!$A:$G, 7, FALSE), start_date, DATE(E491, MONTH(D491&amp;" 1"), entry_day), end_date, EDATE(start_date, 1), period, TEXT(start_date, "mmm d, yyyy") &amp; " - " &amp; TEXT(end_date, "mmm d, yyyy"), HYPERLINK("https://wa.me/" &amp; VLOOKUP(A491, 'Master Roster'!$A:$F, 6, FALSE) &amp; "?text=" &amp; ENCODEURL("Hello " &amp; IFERROR(IF(VLOOKUP(A491, 'Master Roster'!$A:$J, 10, FALSE)="Male", "Mr. ", "Ms. "), "") &amp; B491 &amp; ", payment of K" &amp; F491 &amp; " received for " &amp; period &amp; ". Receipt No: " &amp; N491), "Send Receipt")))</f>
        <v/>
      </c>
    </row>
    <row r="492">
      <c r="A492" s="29"/>
      <c r="B492" s="29" t="s">
        <v>175</v>
      </c>
      <c r="C492" s="76"/>
      <c r="D492" s="29"/>
      <c r="E492" s="29"/>
      <c r="F492" s="29"/>
      <c r="G492" s="29"/>
      <c r="H492" s="29" t="str">
        <f t="shared" si="1"/>
        <v/>
      </c>
      <c r="I492" s="29" t="str">
        <f t="shared" si="2"/>
        <v/>
      </c>
      <c r="J492" s="29" t="str">
        <f>IF(A492="", "", IFERROR(VLOOKUP(A492, 'Master Roster'!A:H, 8, FALSE) - F492, ""))</f>
        <v/>
      </c>
      <c r="K492" s="29" t="s">
        <v>175</v>
      </c>
      <c r="L492" s="29" t="b">
        <v>0</v>
      </c>
      <c r="M492" s="29"/>
      <c r="N492" s="29" t="s">
        <v>175</v>
      </c>
      <c r="O492" s="29" t="str">
        <f>IF(ISBLANK(A492), "", LET(entry_day, VLOOKUP(A492, 'Master Roster'!$A:$G, 7, FALSE), start_date, DATE(E492, MONTH(D492&amp;" 1"), entry_day), end_date, EDATE(start_date, 1), period, TEXT(start_date, "mmm d, yyyy") &amp; " - " &amp; TEXT(end_date, "mmm d, yyyy"), HYPERLINK("https://wa.me/" &amp; VLOOKUP(A492, 'Master Roster'!$A:$F, 6, FALSE) &amp; "?text=" &amp; ENCODEURL("Hello " &amp; IFERROR(IF(VLOOKUP(A492, 'Master Roster'!$A:$J, 10, FALSE)="Male", "Mr. ", "Ms. "), "") &amp; B492 &amp; ", payment of K" &amp; F492 &amp; " received for " &amp; period &amp; ". Receipt No: " &amp; N492), "Send Receipt")))</f>
        <v/>
      </c>
    </row>
    <row r="493">
      <c r="A493" s="29"/>
      <c r="B493" s="29" t="s">
        <v>175</v>
      </c>
      <c r="C493" s="76"/>
      <c r="D493" s="29"/>
      <c r="E493" s="29"/>
      <c r="F493" s="29"/>
      <c r="G493" s="29"/>
      <c r="H493" s="29" t="str">
        <f t="shared" si="1"/>
        <v/>
      </c>
      <c r="I493" s="29" t="str">
        <f t="shared" si="2"/>
        <v/>
      </c>
      <c r="J493" s="29" t="str">
        <f>IF(A493="", "", IFERROR(VLOOKUP(A493, 'Master Roster'!A:H, 8, FALSE) - F493, ""))</f>
        <v/>
      </c>
      <c r="K493" s="29" t="s">
        <v>175</v>
      </c>
      <c r="L493" s="29" t="b">
        <v>0</v>
      </c>
      <c r="M493" s="29"/>
      <c r="N493" s="29" t="s">
        <v>175</v>
      </c>
      <c r="O493" s="29" t="str">
        <f>IF(ISBLANK(A493), "", LET(entry_day, VLOOKUP(A493, 'Master Roster'!$A:$G, 7, FALSE), start_date, DATE(E493, MONTH(D493&amp;" 1"), entry_day), end_date, EDATE(start_date, 1), period, TEXT(start_date, "mmm d, yyyy") &amp; " - " &amp; TEXT(end_date, "mmm d, yyyy"), HYPERLINK("https://wa.me/" &amp; VLOOKUP(A493, 'Master Roster'!$A:$F, 6, FALSE) &amp; "?text=" &amp; ENCODEURL("Hello " &amp; IFERROR(IF(VLOOKUP(A493, 'Master Roster'!$A:$J, 10, FALSE)="Male", "Mr. ", "Ms. "), "") &amp; B493 &amp; ", payment of K" &amp; F493 &amp; " received for " &amp; period &amp; ". Receipt No: " &amp; N493), "Send Receipt")))</f>
        <v/>
      </c>
    </row>
    <row r="494">
      <c r="A494" s="29"/>
      <c r="B494" s="29" t="s">
        <v>175</v>
      </c>
      <c r="C494" s="76"/>
      <c r="D494" s="29"/>
      <c r="E494" s="29"/>
      <c r="F494" s="29"/>
      <c r="G494" s="29"/>
      <c r="H494" s="29" t="str">
        <f t="shared" si="1"/>
        <v/>
      </c>
      <c r="I494" s="29" t="str">
        <f t="shared" si="2"/>
        <v/>
      </c>
      <c r="J494" s="29" t="str">
        <f>IF(A494="", "", IFERROR(VLOOKUP(A494, 'Master Roster'!A:H, 8, FALSE) - F494, ""))</f>
        <v/>
      </c>
      <c r="K494" s="29" t="s">
        <v>175</v>
      </c>
      <c r="L494" s="29" t="b">
        <v>0</v>
      </c>
      <c r="M494" s="29"/>
      <c r="N494" s="29" t="s">
        <v>175</v>
      </c>
      <c r="O494" s="29" t="str">
        <f>IF(ISBLANK(A494), "", LET(entry_day, VLOOKUP(A494, 'Master Roster'!$A:$G, 7, FALSE), start_date, DATE(E494, MONTH(D494&amp;" 1"), entry_day), end_date, EDATE(start_date, 1), period, TEXT(start_date, "mmm d, yyyy") &amp; " - " &amp; TEXT(end_date, "mmm d, yyyy"), HYPERLINK("https://wa.me/" &amp; VLOOKUP(A494, 'Master Roster'!$A:$F, 6, FALSE) &amp; "?text=" &amp; ENCODEURL("Hello " &amp; IFERROR(IF(VLOOKUP(A494, 'Master Roster'!$A:$J, 10, FALSE)="Male", "Mr. ", "Ms. "), "") &amp; B494 &amp; ", payment of K" &amp; F494 &amp; " received for " &amp; period &amp; ". Receipt No: " &amp; N494), "Send Receipt")))</f>
        <v/>
      </c>
    </row>
    <row r="495">
      <c r="A495" s="29"/>
      <c r="B495" s="29" t="s">
        <v>175</v>
      </c>
      <c r="C495" s="76"/>
      <c r="D495" s="29"/>
      <c r="E495" s="29"/>
      <c r="F495" s="29"/>
      <c r="G495" s="29"/>
      <c r="H495" s="29" t="str">
        <f t="shared" si="1"/>
        <v/>
      </c>
      <c r="I495" s="29" t="str">
        <f t="shared" si="2"/>
        <v/>
      </c>
      <c r="J495" s="29" t="str">
        <f>IF(A495="", "", IFERROR(VLOOKUP(A495, 'Master Roster'!A:H, 8, FALSE) - F495, ""))</f>
        <v/>
      </c>
      <c r="K495" s="29" t="s">
        <v>175</v>
      </c>
      <c r="L495" s="29" t="b">
        <v>0</v>
      </c>
      <c r="M495" s="29"/>
      <c r="N495" s="29" t="s">
        <v>175</v>
      </c>
      <c r="O495" s="29" t="str">
        <f>IF(ISBLANK(A495), "", LET(entry_day, VLOOKUP(A495, 'Master Roster'!$A:$G, 7, FALSE), start_date, DATE(E495, MONTH(D495&amp;" 1"), entry_day), end_date, EDATE(start_date, 1), period, TEXT(start_date, "mmm d, yyyy") &amp; " - " &amp; TEXT(end_date, "mmm d, yyyy"), HYPERLINK("https://wa.me/" &amp; VLOOKUP(A495, 'Master Roster'!$A:$F, 6, FALSE) &amp; "?text=" &amp; ENCODEURL("Hello " &amp; IFERROR(IF(VLOOKUP(A495, 'Master Roster'!$A:$J, 10, FALSE)="Male", "Mr. ", "Ms. "), "") &amp; B495 &amp; ", payment of K" &amp; F495 &amp; " received for " &amp; period &amp; ". Receipt No: " &amp; N495), "Send Receipt")))</f>
        <v/>
      </c>
    </row>
    <row r="496">
      <c r="A496" s="29"/>
      <c r="B496" s="29" t="s">
        <v>175</v>
      </c>
      <c r="C496" s="76"/>
      <c r="D496" s="29"/>
      <c r="E496" s="29"/>
      <c r="F496" s="29"/>
      <c r="G496" s="29"/>
      <c r="H496" s="29" t="str">
        <f t="shared" si="1"/>
        <v/>
      </c>
      <c r="I496" s="29" t="str">
        <f t="shared" si="2"/>
        <v/>
      </c>
      <c r="J496" s="29" t="str">
        <f>IF(A496="", "", IFERROR(VLOOKUP(A496, 'Master Roster'!A:H, 8, FALSE) - F496, ""))</f>
        <v/>
      </c>
      <c r="K496" s="29" t="s">
        <v>175</v>
      </c>
      <c r="L496" s="29" t="b">
        <v>0</v>
      </c>
      <c r="M496" s="29"/>
      <c r="N496" s="29" t="s">
        <v>175</v>
      </c>
      <c r="O496" s="29" t="str">
        <f>IF(ISBLANK(A496), "", LET(entry_day, VLOOKUP(A496, 'Master Roster'!$A:$G, 7, FALSE), start_date, DATE(E496, MONTH(D496&amp;" 1"), entry_day), end_date, EDATE(start_date, 1), period, TEXT(start_date, "mmm d, yyyy") &amp; " - " &amp; TEXT(end_date, "mmm d, yyyy"), HYPERLINK("https://wa.me/" &amp; VLOOKUP(A496, 'Master Roster'!$A:$F, 6, FALSE) &amp; "?text=" &amp; ENCODEURL("Hello " &amp; IFERROR(IF(VLOOKUP(A496, 'Master Roster'!$A:$J, 10, FALSE)="Male", "Mr. ", "Ms. "), "") &amp; B496 &amp; ", payment of K" &amp; F496 &amp; " received for " &amp; period &amp; ". Receipt No: " &amp; N496), "Send Receipt")))</f>
        <v/>
      </c>
    </row>
    <row r="497">
      <c r="A497" s="29"/>
      <c r="B497" s="29" t="s">
        <v>175</v>
      </c>
      <c r="C497" s="76"/>
      <c r="D497" s="29"/>
      <c r="E497" s="29"/>
      <c r="F497" s="29"/>
      <c r="G497" s="29"/>
      <c r="H497" s="29" t="str">
        <f t="shared" si="1"/>
        <v/>
      </c>
      <c r="I497" s="29" t="str">
        <f t="shared" si="2"/>
        <v/>
      </c>
      <c r="J497" s="29" t="str">
        <f>IF(A497="", "", IFERROR(VLOOKUP(A497, 'Master Roster'!A:H, 8, FALSE) - F497, ""))</f>
        <v/>
      </c>
      <c r="K497" s="29" t="s">
        <v>175</v>
      </c>
      <c r="L497" s="29" t="b">
        <v>0</v>
      </c>
      <c r="M497" s="29"/>
      <c r="N497" s="29" t="s">
        <v>175</v>
      </c>
      <c r="O497" s="29" t="str">
        <f>IF(ISBLANK(A497), "", LET(entry_day, VLOOKUP(A497, 'Master Roster'!$A:$G, 7, FALSE), start_date, DATE(E497, MONTH(D497&amp;" 1"), entry_day), end_date, EDATE(start_date, 1), period, TEXT(start_date, "mmm d, yyyy") &amp; " - " &amp; TEXT(end_date, "mmm d, yyyy"), HYPERLINK("https://wa.me/" &amp; VLOOKUP(A497, 'Master Roster'!$A:$F, 6, FALSE) &amp; "?text=" &amp; ENCODEURL("Hello " &amp; IFERROR(IF(VLOOKUP(A497, 'Master Roster'!$A:$J, 10, FALSE)="Male", "Mr. ", "Ms. "), "") &amp; B497 &amp; ", payment of K" &amp; F497 &amp; " received for " &amp; period &amp; ". Receipt No: " &amp; N497), "Send Receipt")))</f>
        <v/>
      </c>
    </row>
    <row r="498">
      <c r="A498" s="29"/>
      <c r="B498" s="29" t="s">
        <v>175</v>
      </c>
      <c r="C498" s="76"/>
      <c r="D498" s="29"/>
      <c r="E498" s="29"/>
      <c r="F498" s="29"/>
      <c r="G498" s="29"/>
      <c r="H498" s="29" t="str">
        <f t="shared" si="1"/>
        <v/>
      </c>
      <c r="I498" s="29" t="str">
        <f t="shared" si="2"/>
        <v/>
      </c>
      <c r="J498" s="29" t="str">
        <f>IF(A498="", "", IFERROR(VLOOKUP(A498, 'Master Roster'!A:H, 8, FALSE) - F498, ""))</f>
        <v/>
      </c>
      <c r="K498" s="29" t="s">
        <v>175</v>
      </c>
      <c r="L498" s="29" t="b">
        <v>0</v>
      </c>
      <c r="M498" s="29"/>
      <c r="N498" s="29" t="s">
        <v>175</v>
      </c>
      <c r="O498" s="29" t="str">
        <f>IF(ISBLANK(A498), "", LET(entry_day, VLOOKUP(A498, 'Master Roster'!$A:$G, 7, FALSE), start_date, DATE(E498, MONTH(D498&amp;" 1"), entry_day), end_date, EDATE(start_date, 1), period, TEXT(start_date, "mmm d, yyyy") &amp; " - " &amp; TEXT(end_date, "mmm d, yyyy"), HYPERLINK("https://wa.me/" &amp; VLOOKUP(A498, 'Master Roster'!$A:$F, 6, FALSE) &amp; "?text=" &amp; ENCODEURL("Hello " &amp; IFERROR(IF(VLOOKUP(A498, 'Master Roster'!$A:$J, 10, FALSE)="Male", "Mr. ", "Ms. "), "") &amp; B498 &amp; ", payment of K" &amp; F498 &amp; " received for " &amp; period &amp; ". Receipt No: " &amp; N498), "Send Receipt")))</f>
        <v/>
      </c>
    </row>
    <row r="499">
      <c r="A499" s="29"/>
      <c r="B499" s="29" t="s">
        <v>175</v>
      </c>
      <c r="C499" s="76"/>
      <c r="D499" s="29"/>
      <c r="E499" s="29"/>
      <c r="F499" s="29"/>
      <c r="G499" s="29"/>
      <c r="H499" s="29" t="str">
        <f t="shared" si="1"/>
        <v/>
      </c>
      <c r="I499" s="29" t="str">
        <f t="shared" si="2"/>
        <v/>
      </c>
      <c r="J499" s="29" t="str">
        <f>IF(A499="", "", IFERROR(VLOOKUP(A499, 'Master Roster'!A:H, 8, FALSE) - F499, ""))</f>
        <v/>
      </c>
      <c r="K499" s="29" t="s">
        <v>175</v>
      </c>
      <c r="L499" s="29" t="b">
        <v>0</v>
      </c>
      <c r="M499" s="29"/>
      <c r="N499" s="29" t="s">
        <v>175</v>
      </c>
      <c r="O499" s="29" t="str">
        <f>IF(ISBLANK(A499), "", LET(entry_day, VLOOKUP(A499, 'Master Roster'!$A:$G, 7, FALSE), start_date, DATE(E499, MONTH(D499&amp;" 1"), entry_day), end_date, EDATE(start_date, 1), period, TEXT(start_date, "mmm d, yyyy") &amp; " - " &amp; TEXT(end_date, "mmm d, yyyy"), HYPERLINK("https://wa.me/" &amp; VLOOKUP(A499, 'Master Roster'!$A:$F, 6, FALSE) &amp; "?text=" &amp; ENCODEURL("Hello " &amp; IFERROR(IF(VLOOKUP(A499, 'Master Roster'!$A:$J, 10, FALSE)="Male", "Mr. ", "Ms. "), "") &amp; B499 &amp; ", payment of K" &amp; F499 &amp; " received for " &amp; period &amp; ". Receipt No: " &amp; N499), "Send Receipt")))</f>
        <v/>
      </c>
    </row>
    <row r="500">
      <c r="A500" s="29"/>
      <c r="B500" s="29" t="s">
        <v>175</v>
      </c>
      <c r="C500" s="76"/>
      <c r="D500" s="29"/>
      <c r="E500" s="29"/>
      <c r="F500" s="29"/>
      <c r="G500" s="29"/>
      <c r="H500" s="29" t="str">
        <f t="shared" si="1"/>
        <v/>
      </c>
      <c r="I500" s="29" t="str">
        <f t="shared" si="2"/>
        <v/>
      </c>
      <c r="J500" s="29" t="str">
        <f>IF(A500="", "", IFERROR(VLOOKUP(A500, 'Master Roster'!A:H, 8, FALSE) - F500, ""))</f>
        <v/>
      </c>
      <c r="K500" s="29" t="s">
        <v>175</v>
      </c>
      <c r="L500" s="29" t="b">
        <v>0</v>
      </c>
      <c r="M500" s="29"/>
      <c r="N500" s="29" t="s">
        <v>175</v>
      </c>
      <c r="O500" s="29" t="str">
        <f>IF(ISBLANK(A500), "", LET(entry_day, VLOOKUP(A500, 'Master Roster'!$A:$G, 7, FALSE), start_date, DATE(E500, MONTH(D500&amp;" 1"), entry_day), end_date, EDATE(start_date, 1), period, TEXT(start_date, "mmm d, yyyy") &amp; " - " &amp; TEXT(end_date, "mmm d, yyyy"), HYPERLINK("https://wa.me/" &amp; VLOOKUP(A500, 'Master Roster'!$A:$F, 6, FALSE) &amp; "?text=" &amp; ENCODEURL("Hello " &amp; IFERROR(IF(VLOOKUP(A500, 'Master Roster'!$A:$J, 10, FALSE)="Male", "Mr. ", "Ms. "), "") &amp; B500 &amp; ", payment of K" &amp; F500 &amp; " received for " &amp; period &amp; ". Receipt No: " &amp; N500), "Send Receipt")))</f>
        <v/>
      </c>
    </row>
    <row r="501">
      <c r="A501" s="29"/>
      <c r="B501" s="29" t="s">
        <v>175</v>
      </c>
      <c r="C501" s="76"/>
      <c r="D501" s="29"/>
      <c r="E501" s="29"/>
      <c r="F501" s="29"/>
      <c r="G501" s="29"/>
      <c r="H501" s="29" t="str">
        <f t="shared" si="1"/>
        <v/>
      </c>
      <c r="I501" s="29" t="str">
        <f t="shared" si="2"/>
        <v/>
      </c>
      <c r="J501" s="29" t="str">
        <f>IF(A501="", "", IFERROR(VLOOKUP(A501, 'Master Roster'!A:H, 8, FALSE) - F501, ""))</f>
        <v/>
      </c>
      <c r="K501" s="29" t="s">
        <v>175</v>
      </c>
      <c r="L501" s="29" t="b">
        <v>0</v>
      </c>
      <c r="M501" s="29"/>
      <c r="N501" s="29" t="s">
        <v>175</v>
      </c>
      <c r="O501" s="29" t="str">
        <f>IF(ISBLANK(A501), "", LET(entry_day, VLOOKUP(A501, 'Master Roster'!$A:$G, 7, FALSE), start_date, DATE(E501, MONTH(D501&amp;" 1"), entry_day), end_date, EDATE(start_date, 1), period, TEXT(start_date, "mmm d, yyyy") &amp; " - " &amp; TEXT(end_date, "mmm d, yyyy"), HYPERLINK("https://wa.me/" &amp; VLOOKUP(A501, 'Master Roster'!$A:$F, 6, FALSE) &amp; "?text=" &amp; ENCODEURL("Hello " &amp; IFERROR(IF(VLOOKUP(A501, 'Master Roster'!$A:$J, 10, FALSE)="Male", "Mr. ", "Ms. "), "") &amp; B501 &amp; ", payment of K" &amp; F501 &amp; " received for " &amp; period &amp; ". Receipt No: " &amp; N501), "Send Receipt")))</f>
        <v/>
      </c>
    </row>
    <row r="502">
      <c r="A502" s="29"/>
      <c r="B502" s="29" t="s">
        <v>175</v>
      </c>
      <c r="C502" s="76"/>
      <c r="D502" s="29"/>
      <c r="E502" s="29"/>
      <c r="F502" s="29"/>
      <c r="G502" s="29"/>
      <c r="H502" s="29" t="str">
        <f t="shared" si="1"/>
        <v/>
      </c>
      <c r="I502" s="29" t="str">
        <f t="shared" si="2"/>
        <v/>
      </c>
      <c r="J502" s="29" t="str">
        <f>IF(A502="", "", IFERROR(VLOOKUP(A502, 'Master Roster'!A:H, 8, FALSE) - F502, ""))</f>
        <v/>
      </c>
      <c r="K502" s="29" t="s">
        <v>175</v>
      </c>
      <c r="L502" s="29" t="b">
        <v>0</v>
      </c>
      <c r="M502" s="29"/>
      <c r="N502" s="29" t="s">
        <v>175</v>
      </c>
      <c r="O502" s="29" t="str">
        <f>IF(ISBLANK(A502), "", LET(entry_day, VLOOKUP(A502, 'Master Roster'!$A:$G, 7, FALSE), start_date, DATE(E502, MONTH(D502&amp;" 1"), entry_day), end_date, EDATE(start_date, 1), period, TEXT(start_date, "mmm d, yyyy") &amp; " - " &amp; TEXT(end_date, "mmm d, yyyy"), HYPERLINK("https://wa.me/" &amp; VLOOKUP(A502, 'Master Roster'!$A:$F, 6, FALSE) &amp; "?text=" &amp; ENCODEURL("Hello " &amp; IFERROR(IF(VLOOKUP(A502, 'Master Roster'!$A:$J, 10, FALSE)="Male", "Mr. ", "Ms. "), "") &amp; B502 &amp; ", payment of K" &amp; F502 &amp; " received for " &amp; period &amp; ". Receipt No: " &amp; N502), "Send Receipt")))</f>
        <v/>
      </c>
    </row>
    <row r="503">
      <c r="A503" s="29"/>
      <c r="B503" s="29" t="s">
        <v>175</v>
      </c>
      <c r="C503" s="76"/>
      <c r="D503" s="29"/>
      <c r="E503" s="29"/>
      <c r="F503" s="29"/>
      <c r="G503" s="29"/>
      <c r="H503" s="29" t="str">
        <f t="shared" si="1"/>
        <v/>
      </c>
      <c r="I503" s="29" t="str">
        <f t="shared" si="2"/>
        <v/>
      </c>
      <c r="J503" s="29" t="str">
        <f>IF(A503="", "", IFERROR(VLOOKUP(A503, 'Master Roster'!A:H, 8, FALSE) - F503, ""))</f>
        <v/>
      </c>
      <c r="K503" s="29" t="s">
        <v>175</v>
      </c>
      <c r="L503" s="29" t="b">
        <v>0</v>
      </c>
      <c r="M503" s="29"/>
      <c r="N503" s="29" t="s">
        <v>175</v>
      </c>
      <c r="O503" s="29" t="str">
        <f>IF(ISBLANK(A503), "", LET(entry_day, VLOOKUP(A503, 'Master Roster'!$A:$G, 7, FALSE), start_date, DATE(E503, MONTH(D503&amp;" 1"), entry_day), end_date, EDATE(start_date, 1), period, TEXT(start_date, "mmm d, yyyy") &amp; " - " &amp; TEXT(end_date, "mmm d, yyyy"), HYPERLINK("https://wa.me/" &amp; VLOOKUP(A503, 'Master Roster'!$A:$F, 6, FALSE) &amp; "?text=" &amp; ENCODEURL("Hello " &amp; IFERROR(IF(VLOOKUP(A503, 'Master Roster'!$A:$J, 10, FALSE)="Male", "Mr. ", "Ms. "), "") &amp; B503 &amp; ", payment of K" &amp; F503 &amp; " received for " &amp; period &amp; ". Receipt No: " &amp; N503), "Send Receipt")))</f>
        <v/>
      </c>
    </row>
    <row r="504">
      <c r="A504" s="29"/>
      <c r="B504" s="29" t="s">
        <v>175</v>
      </c>
      <c r="C504" s="76"/>
      <c r="D504" s="29"/>
      <c r="E504" s="29"/>
      <c r="F504" s="29"/>
      <c r="G504" s="29"/>
      <c r="H504" s="29" t="str">
        <f t="shared" si="1"/>
        <v/>
      </c>
      <c r="I504" s="29" t="str">
        <f t="shared" si="2"/>
        <v/>
      </c>
      <c r="J504" s="29" t="str">
        <f>IF(A504="", "", IFERROR(VLOOKUP(A504, 'Master Roster'!A:H, 8, FALSE) - F504, ""))</f>
        <v/>
      </c>
      <c r="K504" s="29" t="s">
        <v>175</v>
      </c>
      <c r="L504" s="29" t="b">
        <v>0</v>
      </c>
      <c r="M504" s="29"/>
      <c r="N504" s="29" t="s">
        <v>175</v>
      </c>
      <c r="O504" s="29" t="str">
        <f>IF(ISBLANK(A504), "", LET(entry_day, VLOOKUP(A504, 'Master Roster'!$A:$G, 7, FALSE), start_date, DATE(E504, MONTH(D504&amp;" 1"), entry_day), end_date, EDATE(start_date, 1), period, TEXT(start_date, "mmm d, yyyy") &amp; " - " &amp; TEXT(end_date, "mmm d, yyyy"), HYPERLINK("https://wa.me/" &amp; VLOOKUP(A504, 'Master Roster'!$A:$F, 6, FALSE) &amp; "?text=" &amp; ENCODEURL("Hello " &amp; IFERROR(IF(VLOOKUP(A504, 'Master Roster'!$A:$J, 10, FALSE)="Male", "Mr. ", "Ms. "), "") &amp; B504 &amp; ", payment of K" &amp; F504 &amp; " received for " &amp; period &amp; ". Receipt No: " &amp; N504), "Send Receipt")))</f>
        <v/>
      </c>
    </row>
    <row r="505">
      <c r="A505" s="29"/>
      <c r="B505" s="29" t="s">
        <v>175</v>
      </c>
      <c r="C505" s="76"/>
      <c r="D505" s="29"/>
      <c r="E505" s="29"/>
      <c r="F505" s="29"/>
      <c r="G505" s="29"/>
      <c r="H505" s="29" t="str">
        <f t="shared" si="1"/>
        <v/>
      </c>
      <c r="I505" s="29" t="str">
        <f t="shared" si="2"/>
        <v/>
      </c>
      <c r="J505" s="29" t="str">
        <f>IF(A505="", "", IFERROR(VLOOKUP(A505, 'Master Roster'!A:H, 8, FALSE) - F505, ""))</f>
        <v/>
      </c>
      <c r="K505" s="29" t="s">
        <v>175</v>
      </c>
      <c r="L505" s="29" t="b">
        <v>0</v>
      </c>
      <c r="M505" s="29"/>
      <c r="N505" s="29" t="s">
        <v>175</v>
      </c>
      <c r="O505" s="29" t="str">
        <f>IF(ISBLANK(A505), "", LET(entry_day, VLOOKUP(A505, 'Master Roster'!$A:$G, 7, FALSE), start_date, DATE(E505, MONTH(D505&amp;" 1"), entry_day), end_date, EDATE(start_date, 1), period, TEXT(start_date, "mmm d, yyyy") &amp; " - " &amp; TEXT(end_date, "mmm d, yyyy"), HYPERLINK("https://wa.me/" &amp; VLOOKUP(A505, 'Master Roster'!$A:$F, 6, FALSE) &amp; "?text=" &amp; ENCODEURL("Hello " &amp; IFERROR(IF(VLOOKUP(A505, 'Master Roster'!$A:$J, 10, FALSE)="Male", "Mr. ", "Ms. "), "") &amp; B505 &amp; ", payment of K" &amp; F505 &amp; " received for " &amp; period &amp; ". Receipt No: " &amp; N505), "Send Receipt")))</f>
        <v/>
      </c>
    </row>
    <row r="506">
      <c r="A506" s="29"/>
      <c r="B506" s="29" t="s">
        <v>175</v>
      </c>
      <c r="C506" s="76"/>
      <c r="D506" s="29"/>
      <c r="E506" s="29"/>
      <c r="F506" s="29"/>
      <c r="G506" s="29"/>
      <c r="H506" s="29" t="str">
        <f t="shared" si="1"/>
        <v/>
      </c>
      <c r="I506" s="29" t="str">
        <f t="shared" si="2"/>
        <v/>
      </c>
      <c r="J506" s="29" t="str">
        <f>IF(A506="", "", IFERROR(VLOOKUP(A506, 'Master Roster'!A:H, 8, FALSE) - F506, ""))</f>
        <v/>
      </c>
      <c r="K506" s="29" t="s">
        <v>175</v>
      </c>
      <c r="L506" s="29" t="b">
        <v>0</v>
      </c>
      <c r="M506" s="29"/>
      <c r="N506" s="29" t="s">
        <v>175</v>
      </c>
      <c r="O506" s="29" t="str">
        <f>IF(ISBLANK(A506), "", LET(entry_day, VLOOKUP(A506, 'Master Roster'!$A:$G, 7, FALSE), start_date, DATE(E506, MONTH(D506&amp;" 1"), entry_day), end_date, EDATE(start_date, 1), period, TEXT(start_date, "mmm d, yyyy") &amp; " - " &amp; TEXT(end_date, "mmm d, yyyy"), HYPERLINK("https://wa.me/" &amp; VLOOKUP(A506, 'Master Roster'!$A:$F, 6, FALSE) &amp; "?text=" &amp; ENCODEURL("Hello " &amp; IFERROR(IF(VLOOKUP(A506, 'Master Roster'!$A:$J, 10, FALSE)="Male", "Mr. ", "Ms. "), "") &amp; B506 &amp; ", payment of K" &amp; F506 &amp; " received for " &amp; period &amp; ". Receipt No: " &amp; N506), "Send Receipt")))</f>
        <v/>
      </c>
    </row>
    <row r="507">
      <c r="A507" s="29"/>
      <c r="B507" s="29" t="s">
        <v>175</v>
      </c>
      <c r="C507" s="76"/>
      <c r="D507" s="29"/>
      <c r="E507" s="29"/>
      <c r="F507" s="29"/>
      <c r="G507" s="29"/>
      <c r="H507" s="29" t="str">
        <f t="shared" si="1"/>
        <v/>
      </c>
      <c r="I507" s="29" t="str">
        <f t="shared" si="2"/>
        <v/>
      </c>
      <c r="J507" s="29" t="str">
        <f>IF(A507="", "", IFERROR(VLOOKUP(A507, 'Master Roster'!A:H, 8, FALSE) - F507, ""))</f>
        <v/>
      </c>
      <c r="K507" s="29" t="s">
        <v>175</v>
      </c>
      <c r="L507" s="29" t="b">
        <v>0</v>
      </c>
      <c r="M507" s="29"/>
      <c r="N507" s="29" t="s">
        <v>175</v>
      </c>
      <c r="O507" s="29" t="str">
        <f>IF(ISBLANK(A507), "", LET(entry_day, VLOOKUP(A507, 'Master Roster'!$A:$G, 7, FALSE), start_date, DATE(E507, MONTH(D507&amp;" 1"), entry_day), end_date, EDATE(start_date, 1), period, TEXT(start_date, "mmm d, yyyy") &amp; " - " &amp; TEXT(end_date, "mmm d, yyyy"), HYPERLINK("https://wa.me/" &amp; VLOOKUP(A507, 'Master Roster'!$A:$F, 6, FALSE) &amp; "?text=" &amp; ENCODEURL("Hello " &amp; IFERROR(IF(VLOOKUP(A507, 'Master Roster'!$A:$J, 10, FALSE)="Male", "Mr. ", "Ms. "), "") &amp; B507 &amp; ", payment of K" &amp; F507 &amp; " received for " &amp; period &amp; ". Receipt No: " &amp; N507), "Send Receipt")))</f>
        <v/>
      </c>
    </row>
    <row r="508">
      <c r="A508" s="29"/>
      <c r="B508" s="29" t="s">
        <v>175</v>
      </c>
      <c r="C508" s="76"/>
      <c r="D508" s="29"/>
      <c r="E508" s="29"/>
      <c r="F508" s="29"/>
      <c r="G508" s="29"/>
      <c r="H508" s="29" t="str">
        <f t="shared" si="1"/>
        <v/>
      </c>
      <c r="I508" s="29" t="str">
        <f t="shared" si="2"/>
        <v/>
      </c>
      <c r="J508" s="29" t="str">
        <f>IF(A508="", "", IFERROR(VLOOKUP(A508, 'Master Roster'!A:H, 8, FALSE) - F508, ""))</f>
        <v/>
      </c>
      <c r="K508" s="29" t="s">
        <v>175</v>
      </c>
      <c r="L508" s="29" t="b">
        <v>0</v>
      </c>
      <c r="M508" s="29"/>
      <c r="N508" s="29" t="s">
        <v>175</v>
      </c>
      <c r="O508" s="29" t="str">
        <f>IF(ISBLANK(A508), "", LET(entry_day, VLOOKUP(A508, 'Master Roster'!$A:$G, 7, FALSE), start_date, DATE(E508, MONTH(D508&amp;" 1"), entry_day), end_date, EDATE(start_date, 1), period, TEXT(start_date, "mmm d, yyyy") &amp; " - " &amp; TEXT(end_date, "mmm d, yyyy"), HYPERLINK("https://wa.me/" &amp; VLOOKUP(A508, 'Master Roster'!$A:$F, 6, FALSE) &amp; "?text=" &amp; ENCODEURL("Hello " &amp; IFERROR(IF(VLOOKUP(A508, 'Master Roster'!$A:$J, 10, FALSE)="Male", "Mr. ", "Ms. "), "") &amp; B508 &amp; ", payment of K" &amp; F508 &amp; " received for " &amp; period &amp; ". Receipt No: " &amp; N508), "Send Receipt")))</f>
        <v/>
      </c>
    </row>
    <row r="509">
      <c r="A509" s="29"/>
      <c r="B509" s="29" t="s">
        <v>175</v>
      </c>
      <c r="C509" s="76"/>
      <c r="D509" s="29"/>
      <c r="E509" s="29"/>
      <c r="F509" s="29"/>
      <c r="G509" s="29"/>
      <c r="H509" s="29" t="str">
        <f t="shared" si="1"/>
        <v/>
      </c>
      <c r="I509" s="29" t="str">
        <f t="shared" si="2"/>
        <v/>
      </c>
      <c r="J509" s="29" t="str">
        <f>IF(A509="", "", IFERROR(VLOOKUP(A509, 'Master Roster'!A:H, 8, FALSE) - F509, ""))</f>
        <v/>
      </c>
      <c r="K509" s="29" t="s">
        <v>175</v>
      </c>
      <c r="L509" s="29" t="b">
        <v>0</v>
      </c>
      <c r="M509" s="29"/>
      <c r="N509" s="29" t="s">
        <v>175</v>
      </c>
      <c r="O509" s="29" t="str">
        <f>IF(ISBLANK(A509), "", LET(entry_day, VLOOKUP(A509, 'Master Roster'!$A:$G, 7, FALSE), start_date, DATE(E509, MONTH(D509&amp;" 1"), entry_day), end_date, EDATE(start_date, 1), period, TEXT(start_date, "mmm d, yyyy") &amp; " - " &amp; TEXT(end_date, "mmm d, yyyy"), HYPERLINK("https://wa.me/" &amp; VLOOKUP(A509, 'Master Roster'!$A:$F, 6, FALSE) &amp; "?text=" &amp; ENCODEURL("Hello " &amp; IFERROR(IF(VLOOKUP(A509, 'Master Roster'!$A:$J, 10, FALSE)="Male", "Mr. ", "Ms. "), "") &amp; B509 &amp; ", payment of K" &amp; F509 &amp; " received for " &amp; period &amp; ". Receipt No: " &amp; N509), "Send Receipt")))</f>
        <v/>
      </c>
    </row>
    <row r="510">
      <c r="A510" s="29"/>
      <c r="B510" s="29" t="s">
        <v>175</v>
      </c>
      <c r="C510" s="76"/>
      <c r="D510" s="29"/>
      <c r="E510" s="29"/>
      <c r="F510" s="29"/>
      <c r="G510" s="29"/>
      <c r="H510" s="29" t="str">
        <f t="shared" si="1"/>
        <v/>
      </c>
      <c r="I510" s="29" t="str">
        <f t="shared" si="2"/>
        <v/>
      </c>
      <c r="J510" s="29" t="str">
        <f>IF(A510="", "", IFERROR(VLOOKUP(A510, 'Master Roster'!A:H, 8, FALSE) - F510, ""))</f>
        <v/>
      </c>
      <c r="K510" s="29" t="s">
        <v>175</v>
      </c>
      <c r="L510" s="29" t="b">
        <v>0</v>
      </c>
      <c r="M510" s="29"/>
      <c r="N510" s="29" t="s">
        <v>175</v>
      </c>
      <c r="O510" s="29" t="str">
        <f>IF(ISBLANK(A510), "", LET(entry_day, VLOOKUP(A510, 'Master Roster'!$A:$G, 7, FALSE), start_date, DATE(E510, MONTH(D510&amp;" 1"), entry_day), end_date, EDATE(start_date, 1), period, TEXT(start_date, "mmm d, yyyy") &amp; " - " &amp; TEXT(end_date, "mmm d, yyyy"), HYPERLINK("https://wa.me/" &amp; VLOOKUP(A510, 'Master Roster'!$A:$F, 6, FALSE) &amp; "?text=" &amp; ENCODEURL("Hello " &amp; IFERROR(IF(VLOOKUP(A510, 'Master Roster'!$A:$J, 10, FALSE)="Male", "Mr. ", "Ms. "), "") &amp; B510 &amp; ", payment of K" &amp; F510 &amp; " received for " &amp; period &amp; ". Receipt No: " &amp; N510), "Send Receipt")))</f>
        <v/>
      </c>
    </row>
    <row r="511">
      <c r="A511" s="29"/>
      <c r="B511" s="29" t="s">
        <v>175</v>
      </c>
      <c r="C511" s="76"/>
      <c r="D511" s="29"/>
      <c r="E511" s="29"/>
      <c r="F511" s="29"/>
      <c r="G511" s="29"/>
      <c r="H511" s="29" t="str">
        <f t="shared" si="1"/>
        <v/>
      </c>
      <c r="I511" s="29" t="str">
        <f t="shared" si="2"/>
        <v/>
      </c>
      <c r="J511" s="29" t="str">
        <f>IF(A511="", "", IFERROR(VLOOKUP(A511, 'Master Roster'!A:H, 8, FALSE) - F511, ""))</f>
        <v/>
      </c>
      <c r="K511" s="29" t="s">
        <v>175</v>
      </c>
      <c r="L511" s="29" t="b">
        <v>0</v>
      </c>
      <c r="M511" s="29"/>
      <c r="N511" s="29" t="s">
        <v>175</v>
      </c>
      <c r="O511" s="29" t="str">
        <f>IF(ISBLANK(A511), "", LET(entry_day, VLOOKUP(A511, 'Master Roster'!$A:$G, 7, FALSE), start_date, DATE(E511, MONTH(D511&amp;" 1"), entry_day), end_date, EDATE(start_date, 1), period, TEXT(start_date, "mmm d, yyyy") &amp; " - " &amp; TEXT(end_date, "mmm d, yyyy"), HYPERLINK("https://wa.me/" &amp; VLOOKUP(A511, 'Master Roster'!$A:$F, 6, FALSE) &amp; "?text=" &amp; ENCODEURL("Hello " &amp; IFERROR(IF(VLOOKUP(A511, 'Master Roster'!$A:$J, 10, FALSE)="Male", "Mr. ", "Ms. "), "") &amp; B511 &amp; ", payment of K" &amp; F511 &amp; " received for " &amp; period &amp; ". Receipt No: " &amp; N511), "Send Receipt")))</f>
        <v/>
      </c>
    </row>
    <row r="512">
      <c r="A512" s="29"/>
      <c r="B512" s="29" t="s">
        <v>175</v>
      </c>
      <c r="C512" s="76"/>
      <c r="D512" s="29"/>
      <c r="E512" s="29"/>
      <c r="F512" s="29"/>
      <c r="G512" s="29"/>
      <c r="H512" s="29" t="str">
        <f t="shared" si="1"/>
        <v/>
      </c>
      <c r="I512" s="29" t="str">
        <f t="shared" si="2"/>
        <v/>
      </c>
      <c r="J512" s="29" t="str">
        <f>IF(A512="", "", IFERROR(VLOOKUP(A512, 'Master Roster'!A:H, 8, FALSE) - F512, ""))</f>
        <v/>
      </c>
      <c r="K512" s="29" t="s">
        <v>175</v>
      </c>
      <c r="L512" s="29" t="b">
        <v>0</v>
      </c>
      <c r="M512" s="29"/>
      <c r="N512" s="29" t="s">
        <v>175</v>
      </c>
      <c r="O512" s="29" t="str">
        <f>IF(ISBLANK(A512), "", LET(entry_day, VLOOKUP(A512, 'Master Roster'!$A:$G, 7, FALSE), start_date, DATE(E512, MONTH(D512&amp;" 1"), entry_day), end_date, EDATE(start_date, 1), period, TEXT(start_date, "mmm d, yyyy") &amp; " - " &amp; TEXT(end_date, "mmm d, yyyy"), HYPERLINK("https://wa.me/" &amp; VLOOKUP(A512, 'Master Roster'!$A:$F, 6, FALSE) &amp; "?text=" &amp; ENCODEURL("Hello " &amp; IFERROR(IF(VLOOKUP(A512, 'Master Roster'!$A:$J, 10, FALSE)="Male", "Mr. ", "Ms. "), "") &amp; B512 &amp; ", payment of K" &amp; F512 &amp; " received for " &amp; period &amp; ". Receipt No: " &amp; N512), "Send Receipt")))</f>
        <v/>
      </c>
    </row>
    <row r="513">
      <c r="A513" s="29"/>
      <c r="B513" s="29" t="s">
        <v>175</v>
      </c>
      <c r="C513" s="76"/>
      <c r="D513" s="29"/>
      <c r="E513" s="29"/>
      <c r="F513" s="29"/>
      <c r="G513" s="29"/>
      <c r="H513" s="29" t="str">
        <f t="shared" si="1"/>
        <v/>
      </c>
      <c r="I513" s="29" t="str">
        <f t="shared" si="2"/>
        <v/>
      </c>
      <c r="J513" s="29" t="str">
        <f>IF(A513="", "", IFERROR(VLOOKUP(A513, 'Master Roster'!A:H, 8, FALSE) - F513, ""))</f>
        <v/>
      </c>
      <c r="K513" s="29" t="s">
        <v>175</v>
      </c>
      <c r="L513" s="29" t="b">
        <v>0</v>
      </c>
      <c r="M513" s="29"/>
      <c r="N513" s="29" t="s">
        <v>175</v>
      </c>
      <c r="O513" s="29" t="str">
        <f>IF(ISBLANK(A513), "", LET(entry_day, VLOOKUP(A513, 'Master Roster'!$A:$G, 7, FALSE), start_date, DATE(E513, MONTH(D513&amp;" 1"), entry_day), end_date, EDATE(start_date, 1), period, TEXT(start_date, "mmm d, yyyy") &amp; " - " &amp; TEXT(end_date, "mmm d, yyyy"), HYPERLINK("https://wa.me/" &amp; VLOOKUP(A513, 'Master Roster'!$A:$F, 6, FALSE) &amp; "?text=" &amp; ENCODEURL("Hello " &amp; IFERROR(IF(VLOOKUP(A513, 'Master Roster'!$A:$J, 10, FALSE)="Male", "Mr. ", "Ms. "), "") &amp; B513 &amp; ", payment of K" &amp; F513 &amp; " received for " &amp; period &amp; ". Receipt No: " &amp; N513), "Send Receipt")))</f>
        <v/>
      </c>
    </row>
    <row r="514">
      <c r="A514" s="29"/>
      <c r="B514" s="29" t="s">
        <v>175</v>
      </c>
      <c r="C514" s="76"/>
      <c r="D514" s="29"/>
      <c r="E514" s="29"/>
      <c r="F514" s="29"/>
      <c r="G514" s="29"/>
      <c r="H514" s="29" t="str">
        <f t="shared" si="1"/>
        <v/>
      </c>
      <c r="I514" s="29" t="str">
        <f t="shared" si="2"/>
        <v/>
      </c>
      <c r="J514" s="29" t="str">
        <f>IF(A514="", "", IFERROR(VLOOKUP(A514, 'Master Roster'!A:H, 8, FALSE) - F514, ""))</f>
        <v/>
      </c>
      <c r="K514" s="29" t="s">
        <v>175</v>
      </c>
      <c r="L514" s="29" t="b">
        <v>0</v>
      </c>
      <c r="M514" s="29"/>
      <c r="N514" s="29" t="s">
        <v>175</v>
      </c>
      <c r="O514" s="29" t="str">
        <f>IF(ISBLANK(A514), "", LET(entry_day, VLOOKUP(A514, 'Master Roster'!$A:$G, 7, FALSE), start_date, DATE(E514, MONTH(D514&amp;" 1"), entry_day), end_date, EDATE(start_date, 1), period, TEXT(start_date, "mmm d, yyyy") &amp; " - " &amp; TEXT(end_date, "mmm d, yyyy"), HYPERLINK("https://wa.me/" &amp; VLOOKUP(A514, 'Master Roster'!$A:$F, 6, FALSE) &amp; "?text=" &amp; ENCODEURL("Hello " &amp; IFERROR(IF(VLOOKUP(A514, 'Master Roster'!$A:$J, 10, FALSE)="Male", "Mr. ", "Ms. "), "") &amp; B514 &amp; ", payment of K" &amp; F514 &amp; " received for " &amp; period &amp; ". Receipt No: " &amp; N514), "Send Receipt")))</f>
        <v/>
      </c>
    </row>
    <row r="515">
      <c r="A515" s="29"/>
      <c r="B515" s="29" t="s">
        <v>175</v>
      </c>
      <c r="C515" s="76"/>
      <c r="D515" s="29"/>
      <c r="E515" s="29"/>
      <c r="F515" s="29"/>
      <c r="G515" s="29"/>
      <c r="H515" s="29" t="str">
        <f t="shared" si="1"/>
        <v/>
      </c>
      <c r="I515" s="29" t="str">
        <f t="shared" si="2"/>
        <v/>
      </c>
      <c r="J515" s="29" t="str">
        <f>IF(A515="", "", IFERROR(VLOOKUP(A515, 'Master Roster'!A:H, 8, FALSE) - F515, ""))</f>
        <v/>
      </c>
      <c r="K515" s="29" t="s">
        <v>175</v>
      </c>
      <c r="L515" s="29" t="b">
        <v>0</v>
      </c>
      <c r="M515" s="29"/>
      <c r="N515" s="29" t="s">
        <v>175</v>
      </c>
      <c r="O515" s="29" t="str">
        <f>IF(ISBLANK(A515), "", LET(entry_day, VLOOKUP(A515, 'Master Roster'!$A:$G, 7, FALSE), start_date, DATE(E515, MONTH(D515&amp;" 1"), entry_day), end_date, EDATE(start_date, 1), period, TEXT(start_date, "mmm d, yyyy") &amp; " - " &amp; TEXT(end_date, "mmm d, yyyy"), HYPERLINK("https://wa.me/" &amp; VLOOKUP(A515, 'Master Roster'!$A:$F, 6, FALSE) &amp; "?text=" &amp; ENCODEURL("Hello " &amp; IFERROR(IF(VLOOKUP(A515, 'Master Roster'!$A:$J, 10, FALSE)="Male", "Mr. ", "Ms. "), "") &amp; B515 &amp; ", payment of K" &amp; F515 &amp; " received for " &amp; period &amp; ". Receipt No: " &amp; N515), "Send Receipt")))</f>
        <v/>
      </c>
    </row>
    <row r="516">
      <c r="A516" s="29"/>
      <c r="B516" s="29" t="s">
        <v>175</v>
      </c>
      <c r="C516" s="76"/>
      <c r="D516" s="29"/>
      <c r="E516" s="29"/>
      <c r="F516" s="29"/>
      <c r="G516" s="29"/>
      <c r="H516" s="29" t="str">
        <f t="shared" si="1"/>
        <v/>
      </c>
      <c r="I516" s="29" t="str">
        <f t="shared" si="2"/>
        <v/>
      </c>
      <c r="J516" s="29" t="str">
        <f>IF(A516="", "", IFERROR(VLOOKUP(A516, 'Master Roster'!A:H, 8, FALSE) - F516, ""))</f>
        <v/>
      </c>
      <c r="K516" s="29" t="s">
        <v>175</v>
      </c>
      <c r="L516" s="29" t="b">
        <v>0</v>
      </c>
      <c r="M516" s="29"/>
      <c r="N516" s="29" t="s">
        <v>175</v>
      </c>
      <c r="O516" s="29" t="str">
        <f>IF(ISBLANK(A516), "", LET(entry_day, VLOOKUP(A516, 'Master Roster'!$A:$G, 7, FALSE), start_date, DATE(E516, MONTH(D516&amp;" 1"), entry_day), end_date, EDATE(start_date, 1), period, TEXT(start_date, "mmm d, yyyy") &amp; " - " &amp; TEXT(end_date, "mmm d, yyyy"), HYPERLINK("https://wa.me/" &amp; VLOOKUP(A516, 'Master Roster'!$A:$F, 6, FALSE) &amp; "?text=" &amp; ENCODEURL("Hello " &amp; IFERROR(IF(VLOOKUP(A516, 'Master Roster'!$A:$J, 10, FALSE)="Male", "Mr. ", "Ms. "), "") &amp; B516 &amp; ", payment of K" &amp; F516 &amp; " received for " &amp; period &amp; ". Receipt No: " &amp; N516), "Send Receipt")))</f>
        <v/>
      </c>
    </row>
    <row r="517">
      <c r="A517" s="29"/>
      <c r="B517" s="29" t="s">
        <v>175</v>
      </c>
      <c r="C517" s="76"/>
      <c r="D517" s="29"/>
      <c r="E517" s="29"/>
      <c r="F517" s="29"/>
      <c r="G517" s="29"/>
      <c r="H517" s="29" t="str">
        <f t="shared" si="1"/>
        <v/>
      </c>
      <c r="I517" s="29" t="str">
        <f t="shared" si="2"/>
        <v/>
      </c>
      <c r="J517" s="29" t="str">
        <f>IF(A517="", "", IFERROR(VLOOKUP(A517, 'Master Roster'!A:H, 8, FALSE) - F517, ""))</f>
        <v/>
      </c>
      <c r="K517" s="29" t="s">
        <v>175</v>
      </c>
      <c r="L517" s="29" t="b">
        <v>0</v>
      </c>
      <c r="M517" s="29"/>
      <c r="N517" s="29" t="s">
        <v>175</v>
      </c>
      <c r="O517" s="29" t="str">
        <f>IF(ISBLANK(A517), "", LET(entry_day, VLOOKUP(A517, 'Master Roster'!$A:$G, 7, FALSE), start_date, DATE(E517, MONTH(D517&amp;" 1"), entry_day), end_date, EDATE(start_date, 1), period, TEXT(start_date, "mmm d, yyyy") &amp; " - " &amp; TEXT(end_date, "mmm d, yyyy"), HYPERLINK("https://wa.me/" &amp; VLOOKUP(A517, 'Master Roster'!$A:$F, 6, FALSE) &amp; "?text=" &amp; ENCODEURL("Hello " &amp; IFERROR(IF(VLOOKUP(A517, 'Master Roster'!$A:$J, 10, FALSE)="Male", "Mr. ", "Ms. "), "") &amp; B517 &amp; ", payment of K" &amp; F517 &amp; " received for " &amp; period &amp; ". Receipt No: " &amp; N517), "Send Receipt")))</f>
        <v/>
      </c>
    </row>
    <row r="518">
      <c r="A518" s="29"/>
      <c r="B518" s="29" t="s">
        <v>175</v>
      </c>
      <c r="C518" s="76"/>
      <c r="D518" s="29"/>
      <c r="E518" s="29"/>
      <c r="F518" s="29"/>
      <c r="G518" s="29"/>
      <c r="H518" s="29" t="str">
        <f t="shared" si="1"/>
        <v/>
      </c>
      <c r="I518" s="29" t="str">
        <f t="shared" si="2"/>
        <v/>
      </c>
      <c r="J518" s="29" t="str">
        <f>IF(A518="", "", IFERROR(VLOOKUP(A518, 'Master Roster'!A:H, 8, FALSE) - F518, ""))</f>
        <v/>
      </c>
      <c r="K518" s="29" t="s">
        <v>175</v>
      </c>
      <c r="L518" s="29" t="b">
        <v>0</v>
      </c>
      <c r="M518" s="29"/>
      <c r="N518" s="29" t="s">
        <v>175</v>
      </c>
      <c r="O518" s="29" t="str">
        <f>IF(ISBLANK(A518), "", LET(entry_day, VLOOKUP(A518, 'Master Roster'!$A:$G, 7, FALSE), start_date, DATE(E518, MONTH(D518&amp;" 1"), entry_day), end_date, EDATE(start_date, 1), period, TEXT(start_date, "mmm d, yyyy") &amp; " - " &amp; TEXT(end_date, "mmm d, yyyy"), HYPERLINK("https://wa.me/" &amp; VLOOKUP(A518, 'Master Roster'!$A:$F, 6, FALSE) &amp; "?text=" &amp; ENCODEURL("Hello " &amp; IFERROR(IF(VLOOKUP(A518, 'Master Roster'!$A:$J, 10, FALSE)="Male", "Mr. ", "Ms. "), "") &amp; B518 &amp; ", payment of K" &amp; F518 &amp; " received for " &amp; period &amp; ". Receipt No: " &amp; N518), "Send Receipt")))</f>
        <v/>
      </c>
    </row>
    <row r="519">
      <c r="A519" s="29"/>
      <c r="B519" s="29" t="s">
        <v>175</v>
      </c>
      <c r="C519" s="76"/>
      <c r="D519" s="29"/>
      <c r="E519" s="29"/>
      <c r="F519" s="29"/>
      <c r="G519" s="29"/>
      <c r="H519" s="29" t="str">
        <f t="shared" si="1"/>
        <v/>
      </c>
      <c r="I519" s="29" t="str">
        <f t="shared" si="2"/>
        <v/>
      </c>
      <c r="J519" s="29" t="str">
        <f>IF(A519="", "", IFERROR(VLOOKUP(A519, 'Master Roster'!A:H, 8, FALSE) - F519, ""))</f>
        <v/>
      </c>
      <c r="K519" s="29" t="s">
        <v>175</v>
      </c>
      <c r="L519" s="29" t="b">
        <v>0</v>
      </c>
      <c r="M519" s="29"/>
      <c r="N519" s="29" t="s">
        <v>175</v>
      </c>
      <c r="O519" s="29" t="str">
        <f>IF(ISBLANK(A519), "", LET(entry_day, VLOOKUP(A519, 'Master Roster'!$A:$G, 7, FALSE), start_date, DATE(E519, MONTH(D519&amp;" 1"), entry_day), end_date, EDATE(start_date, 1), period, TEXT(start_date, "mmm d, yyyy") &amp; " - " &amp; TEXT(end_date, "mmm d, yyyy"), HYPERLINK("https://wa.me/" &amp; VLOOKUP(A519, 'Master Roster'!$A:$F, 6, FALSE) &amp; "?text=" &amp; ENCODEURL("Hello " &amp; IFERROR(IF(VLOOKUP(A519, 'Master Roster'!$A:$J, 10, FALSE)="Male", "Mr. ", "Ms. "), "") &amp; B519 &amp; ", payment of K" &amp; F519 &amp; " received for " &amp; period &amp; ". Receipt No: " &amp; N519), "Send Receipt")))</f>
        <v/>
      </c>
    </row>
    <row r="520">
      <c r="A520" s="29"/>
      <c r="B520" s="29" t="s">
        <v>175</v>
      </c>
      <c r="C520" s="76"/>
      <c r="D520" s="29"/>
      <c r="E520" s="29"/>
      <c r="F520" s="29"/>
      <c r="G520" s="29"/>
      <c r="H520" s="29" t="str">
        <f t="shared" si="1"/>
        <v/>
      </c>
      <c r="I520" s="29" t="str">
        <f t="shared" si="2"/>
        <v/>
      </c>
      <c r="J520" s="29" t="str">
        <f>IF(A520="", "", IFERROR(VLOOKUP(A520, 'Master Roster'!A:H, 8, FALSE) - F520, ""))</f>
        <v/>
      </c>
      <c r="K520" s="29" t="s">
        <v>175</v>
      </c>
      <c r="L520" s="29" t="b">
        <v>0</v>
      </c>
      <c r="M520" s="29"/>
      <c r="N520" s="29" t="s">
        <v>175</v>
      </c>
      <c r="O520" s="29" t="str">
        <f>IF(ISBLANK(A520), "", LET(entry_day, VLOOKUP(A520, 'Master Roster'!$A:$G, 7, FALSE), start_date, DATE(E520, MONTH(D520&amp;" 1"), entry_day), end_date, EDATE(start_date, 1), period, TEXT(start_date, "mmm d, yyyy") &amp; " - " &amp; TEXT(end_date, "mmm d, yyyy"), HYPERLINK("https://wa.me/" &amp; VLOOKUP(A520, 'Master Roster'!$A:$F, 6, FALSE) &amp; "?text=" &amp; ENCODEURL("Hello " &amp; IFERROR(IF(VLOOKUP(A520, 'Master Roster'!$A:$J, 10, FALSE)="Male", "Mr. ", "Ms. "), "") &amp; B520 &amp; ", payment of K" &amp; F520 &amp; " received for " &amp; period &amp; ". Receipt No: " &amp; N520), "Send Receipt")))</f>
        <v/>
      </c>
    </row>
    <row r="521">
      <c r="A521" s="29"/>
      <c r="B521" s="29" t="s">
        <v>175</v>
      </c>
      <c r="C521" s="76"/>
      <c r="D521" s="29"/>
      <c r="E521" s="29"/>
      <c r="F521" s="29"/>
      <c r="G521" s="29"/>
      <c r="H521" s="29" t="str">
        <f t="shared" si="1"/>
        <v/>
      </c>
      <c r="I521" s="29" t="str">
        <f t="shared" si="2"/>
        <v/>
      </c>
      <c r="J521" s="29" t="str">
        <f>IF(A521="", "", IFERROR(VLOOKUP(A521, 'Master Roster'!A:H, 8, FALSE) - F521, ""))</f>
        <v/>
      </c>
      <c r="K521" s="29" t="s">
        <v>175</v>
      </c>
      <c r="L521" s="29" t="b">
        <v>0</v>
      </c>
      <c r="M521" s="29"/>
      <c r="N521" s="29" t="s">
        <v>175</v>
      </c>
      <c r="O521" s="29" t="str">
        <f>IF(ISBLANK(A521), "", LET(entry_day, VLOOKUP(A521, 'Master Roster'!$A:$G, 7, FALSE), start_date, DATE(E521, MONTH(D521&amp;" 1"), entry_day), end_date, EDATE(start_date, 1), period, TEXT(start_date, "mmm d, yyyy") &amp; " - " &amp; TEXT(end_date, "mmm d, yyyy"), HYPERLINK("https://wa.me/" &amp; VLOOKUP(A521, 'Master Roster'!$A:$F, 6, FALSE) &amp; "?text=" &amp; ENCODEURL("Hello " &amp; IFERROR(IF(VLOOKUP(A521, 'Master Roster'!$A:$J, 10, FALSE)="Male", "Mr. ", "Ms. "), "") &amp; B521 &amp; ", payment of K" &amp; F521 &amp; " received for " &amp; period &amp; ". Receipt No: " &amp; N521), "Send Receipt")))</f>
        <v/>
      </c>
    </row>
    <row r="522">
      <c r="A522" s="29"/>
      <c r="B522" s="29" t="s">
        <v>175</v>
      </c>
      <c r="C522" s="76"/>
      <c r="D522" s="29"/>
      <c r="E522" s="29"/>
      <c r="F522" s="29"/>
      <c r="G522" s="29"/>
      <c r="H522" s="29" t="str">
        <f t="shared" si="1"/>
        <v/>
      </c>
      <c r="I522" s="29" t="str">
        <f t="shared" si="2"/>
        <v/>
      </c>
      <c r="J522" s="29" t="str">
        <f>IF(A522="", "", IFERROR(VLOOKUP(A522, 'Master Roster'!A:H, 8, FALSE) - F522, ""))</f>
        <v/>
      </c>
      <c r="K522" s="29" t="s">
        <v>175</v>
      </c>
      <c r="L522" s="29" t="b">
        <v>0</v>
      </c>
      <c r="M522" s="29"/>
      <c r="N522" s="29" t="s">
        <v>175</v>
      </c>
      <c r="O522" s="29" t="str">
        <f>IF(ISBLANK(A522), "", LET(entry_day, VLOOKUP(A522, 'Master Roster'!$A:$G, 7, FALSE), start_date, DATE(E522, MONTH(D522&amp;" 1"), entry_day), end_date, EDATE(start_date, 1), period, TEXT(start_date, "mmm d, yyyy") &amp; " - " &amp; TEXT(end_date, "mmm d, yyyy"), HYPERLINK("https://wa.me/" &amp; VLOOKUP(A522, 'Master Roster'!$A:$F, 6, FALSE) &amp; "?text=" &amp; ENCODEURL("Hello " &amp; IFERROR(IF(VLOOKUP(A522, 'Master Roster'!$A:$J, 10, FALSE)="Male", "Mr. ", "Ms. "), "") &amp; B522 &amp; ", payment of K" &amp; F522 &amp; " received for " &amp; period &amp; ". Receipt No: " &amp; N522), "Send Receipt")))</f>
        <v/>
      </c>
    </row>
    <row r="523">
      <c r="A523" s="29"/>
      <c r="B523" s="29" t="s">
        <v>175</v>
      </c>
      <c r="C523" s="76"/>
      <c r="D523" s="29"/>
      <c r="E523" s="29"/>
      <c r="F523" s="29"/>
      <c r="G523" s="29"/>
      <c r="H523" s="29" t="str">
        <f t="shared" si="1"/>
        <v/>
      </c>
      <c r="I523" s="29" t="str">
        <f t="shared" si="2"/>
        <v/>
      </c>
      <c r="J523" s="29" t="str">
        <f>IF(A523="", "", IFERROR(VLOOKUP(A523, 'Master Roster'!A:H, 8, FALSE) - F523, ""))</f>
        <v/>
      </c>
      <c r="K523" s="29" t="s">
        <v>175</v>
      </c>
      <c r="L523" s="29" t="b">
        <v>0</v>
      </c>
      <c r="M523" s="29"/>
      <c r="N523" s="29" t="s">
        <v>175</v>
      </c>
      <c r="O523" s="29" t="str">
        <f>IF(ISBLANK(A523), "", LET(entry_day, VLOOKUP(A523, 'Master Roster'!$A:$G, 7, FALSE), start_date, DATE(E523, MONTH(D523&amp;" 1"), entry_day), end_date, EDATE(start_date, 1), period, TEXT(start_date, "mmm d, yyyy") &amp; " - " &amp; TEXT(end_date, "mmm d, yyyy"), HYPERLINK("https://wa.me/" &amp; VLOOKUP(A523, 'Master Roster'!$A:$F, 6, FALSE) &amp; "?text=" &amp; ENCODEURL("Hello " &amp; IFERROR(IF(VLOOKUP(A523, 'Master Roster'!$A:$J, 10, FALSE)="Male", "Mr. ", "Ms. "), "") &amp; B523 &amp; ", payment of K" &amp; F523 &amp; " received for " &amp; period &amp; ". Receipt No: " &amp; N523), "Send Receipt")))</f>
        <v/>
      </c>
    </row>
    <row r="524">
      <c r="A524" s="29"/>
      <c r="B524" s="29" t="s">
        <v>175</v>
      </c>
      <c r="C524" s="76"/>
      <c r="D524" s="29"/>
      <c r="E524" s="29"/>
      <c r="F524" s="29"/>
      <c r="G524" s="29"/>
      <c r="H524" s="29" t="str">
        <f t="shared" si="1"/>
        <v/>
      </c>
      <c r="I524" s="29" t="str">
        <f t="shared" si="2"/>
        <v/>
      </c>
      <c r="J524" s="29" t="str">
        <f>IF(A524="", "", IFERROR(VLOOKUP(A524, 'Master Roster'!A:H, 8, FALSE) - F524, ""))</f>
        <v/>
      </c>
      <c r="K524" s="29" t="s">
        <v>175</v>
      </c>
      <c r="L524" s="29" t="b">
        <v>0</v>
      </c>
      <c r="M524" s="29"/>
      <c r="N524" s="29" t="s">
        <v>175</v>
      </c>
      <c r="O524" s="29" t="str">
        <f>IF(ISBLANK(A524), "", LET(entry_day, VLOOKUP(A524, 'Master Roster'!$A:$G, 7, FALSE), start_date, DATE(E524, MONTH(D524&amp;" 1"), entry_day), end_date, EDATE(start_date, 1), period, TEXT(start_date, "mmm d, yyyy") &amp; " - " &amp; TEXT(end_date, "mmm d, yyyy"), HYPERLINK("https://wa.me/" &amp; VLOOKUP(A524, 'Master Roster'!$A:$F, 6, FALSE) &amp; "?text=" &amp; ENCODEURL("Hello " &amp; IFERROR(IF(VLOOKUP(A524, 'Master Roster'!$A:$J, 10, FALSE)="Male", "Mr. ", "Ms. "), "") &amp; B524 &amp; ", payment of K" &amp; F524 &amp; " received for " &amp; period &amp; ". Receipt No: " &amp; N524), "Send Receipt")))</f>
        <v/>
      </c>
    </row>
    <row r="525">
      <c r="A525" s="29"/>
      <c r="B525" s="29" t="s">
        <v>175</v>
      </c>
      <c r="C525" s="76"/>
      <c r="D525" s="29"/>
      <c r="E525" s="29"/>
      <c r="F525" s="29"/>
      <c r="G525" s="29"/>
      <c r="H525" s="29" t="str">
        <f t="shared" si="1"/>
        <v/>
      </c>
      <c r="I525" s="29" t="str">
        <f t="shared" si="2"/>
        <v/>
      </c>
      <c r="J525" s="29" t="str">
        <f>IF(A525="", "", IFERROR(VLOOKUP(A525, 'Master Roster'!A:H, 8, FALSE) - F525, ""))</f>
        <v/>
      </c>
      <c r="K525" s="29" t="s">
        <v>175</v>
      </c>
      <c r="L525" s="29" t="b">
        <v>0</v>
      </c>
      <c r="M525" s="29"/>
      <c r="N525" s="29" t="s">
        <v>175</v>
      </c>
      <c r="O525" s="29" t="str">
        <f>IF(ISBLANK(A525), "", LET(entry_day, VLOOKUP(A525, 'Master Roster'!$A:$G, 7, FALSE), start_date, DATE(E525, MONTH(D525&amp;" 1"), entry_day), end_date, EDATE(start_date, 1), period, TEXT(start_date, "mmm d, yyyy") &amp; " - " &amp; TEXT(end_date, "mmm d, yyyy"), HYPERLINK("https://wa.me/" &amp; VLOOKUP(A525, 'Master Roster'!$A:$F, 6, FALSE) &amp; "?text=" &amp; ENCODEURL("Hello " &amp; IFERROR(IF(VLOOKUP(A525, 'Master Roster'!$A:$J, 10, FALSE)="Male", "Mr. ", "Ms. "), "") &amp; B525 &amp; ", payment of K" &amp; F525 &amp; " received for " &amp; period &amp; ". Receipt No: " &amp; N525), "Send Receipt")))</f>
        <v/>
      </c>
    </row>
    <row r="526">
      <c r="A526" s="29"/>
      <c r="B526" s="29" t="s">
        <v>175</v>
      </c>
      <c r="C526" s="76"/>
      <c r="D526" s="29"/>
      <c r="E526" s="29"/>
      <c r="F526" s="29"/>
      <c r="G526" s="29"/>
      <c r="H526" s="29" t="str">
        <f t="shared" si="1"/>
        <v/>
      </c>
      <c r="I526" s="29" t="str">
        <f t="shared" si="2"/>
        <v/>
      </c>
      <c r="J526" s="29" t="str">
        <f>IF(A526="", "", IFERROR(VLOOKUP(A526, 'Master Roster'!A:H, 8, FALSE) - F526, ""))</f>
        <v/>
      </c>
      <c r="K526" s="29" t="s">
        <v>175</v>
      </c>
      <c r="L526" s="29" t="b">
        <v>0</v>
      </c>
      <c r="M526" s="29"/>
      <c r="N526" s="29" t="s">
        <v>175</v>
      </c>
      <c r="O526" s="29" t="str">
        <f>IF(ISBLANK(A526), "", LET(entry_day, VLOOKUP(A526, 'Master Roster'!$A:$G, 7, FALSE), start_date, DATE(E526, MONTH(D526&amp;" 1"), entry_day), end_date, EDATE(start_date, 1), period, TEXT(start_date, "mmm d, yyyy") &amp; " - " &amp; TEXT(end_date, "mmm d, yyyy"), HYPERLINK("https://wa.me/" &amp; VLOOKUP(A526, 'Master Roster'!$A:$F, 6, FALSE) &amp; "?text=" &amp; ENCODEURL("Hello " &amp; IFERROR(IF(VLOOKUP(A526, 'Master Roster'!$A:$J, 10, FALSE)="Male", "Mr. ", "Ms. "), "") &amp; B526 &amp; ", payment of K" &amp; F526 &amp; " received for " &amp; period &amp; ". Receipt No: " &amp; N526), "Send Receipt")))</f>
        <v/>
      </c>
    </row>
    <row r="527">
      <c r="A527" s="29"/>
      <c r="B527" s="29" t="s">
        <v>175</v>
      </c>
      <c r="C527" s="76"/>
      <c r="D527" s="29"/>
      <c r="E527" s="29"/>
      <c r="F527" s="29"/>
      <c r="G527" s="29"/>
      <c r="H527" s="29" t="str">
        <f t="shared" si="1"/>
        <v/>
      </c>
      <c r="I527" s="29" t="str">
        <f t="shared" si="2"/>
        <v/>
      </c>
      <c r="J527" s="29" t="str">
        <f>IF(A527="", "", IFERROR(VLOOKUP(A527, 'Master Roster'!A:H, 8, FALSE) - F527, ""))</f>
        <v/>
      </c>
      <c r="K527" s="29" t="s">
        <v>175</v>
      </c>
      <c r="L527" s="29" t="b">
        <v>0</v>
      </c>
      <c r="M527" s="29"/>
      <c r="N527" s="29" t="s">
        <v>175</v>
      </c>
      <c r="O527" s="29" t="str">
        <f>IF(ISBLANK(A527), "", LET(entry_day, VLOOKUP(A527, 'Master Roster'!$A:$G, 7, FALSE), start_date, DATE(E527, MONTH(D527&amp;" 1"), entry_day), end_date, EDATE(start_date, 1), period, TEXT(start_date, "mmm d, yyyy") &amp; " - " &amp; TEXT(end_date, "mmm d, yyyy"), HYPERLINK("https://wa.me/" &amp; VLOOKUP(A527, 'Master Roster'!$A:$F, 6, FALSE) &amp; "?text=" &amp; ENCODEURL("Hello " &amp; IFERROR(IF(VLOOKUP(A527, 'Master Roster'!$A:$J, 10, FALSE)="Male", "Mr. ", "Ms. "), "") &amp; B527 &amp; ", payment of K" &amp; F527 &amp; " received for " &amp; period &amp; ". Receipt No: " &amp; N527), "Send Receipt")))</f>
        <v/>
      </c>
    </row>
    <row r="528">
      <c r="A528" s="29"/>
      <c r="B528" s="29" t="s">
        <v>175</v>
      </c>
      <c r="C528" s="76"/>
      <c r="D528" s="29"/>
      <c r="E528" s="29"/>
      <c r="F528" s="29"/>
      <c r="G528" s="29"/>
      <c r="H528" s="29" t="str">
        <f t="shared" si="1"/>
        <v/>
      </c>
      <c r="I528" s="29" t="str">
        <f t="shared" si="2"/>
        <v/>
      </c>
      <c r="J528" s="29" t="str">
        <f>IF(A528="", "", IFERROR(VLOOKUP(A528, 'Master Roster'!A:H, 8, FALSE) - F528, ""))</f>
        <v/>
      </c>
      <c r="K528" s="29" t="s">
        <v>175</v>
      </c>
      <c r="L528" s="29" t="b">
        <v>0</v>
      </c>
      <c r="M528" s="29"/>
      <c r="N528" s="29" t="s">
        <v>175</v>
      </c>
      <c r="O528" s="29" t="str">
        <f>IF(ISBLANK(A528), "", LET(entry_day, VLOOKUP(A528, 'Master Roster'!$A:$G, 7, FALSE), start_date, DATE(E528, MONTH(D528&amp;" 1"), entry_day), end_date, EDATE(start_date, 1), period, TEXT(start_date, "mmm d, yyyy") &amp; " - " &amp; TEXT(end_date, "mmm d, yyyy"), HYPERLINK("https://wa.me/" &amp; VLOOKUP(A528, 'Master Roster'!$A:$F, 6, FALSE) &amp; "?text=" &amp; ENCODEURL("Hello " &amp; IFERROR(IF(VLOOKUP(A528, 'Master Roster'!$A:$J, 10, FALSE)="Male", "Mr. ", "Ms. "), "") &amp; B528 &amp; ", payment of K" &amp; F528 &amp; " received for " &amp; period &amp; ". Receipt No: " &amp; N528), "Send Receipt")))</f>
        <v/>
      </c>
    </row>
    <row r="529">
      <c r="A529" s="29"/>
      <c r="B529" s="29" t="s">
        <v>175</v>
      </c>
      <c r="C529" s="76"/>
      <c r="D529" s="29"/>
      <c r="E529" s="29"/>
      <c r="F529" s="29"/>
      <c r="G529" s="29"/>
      <c r="H529" s="29" t="str">
        <f t="shared" si="1"/>
        <v/>
      </c>
      <c r="I529" s="29" t="str">
        <f t="shared" si="2"/>
        <v/>
      </c>
      <c r="J529" s="29" t="str">
        <f>IF(A529="", "", IFERROR(VLOOKUP(A529, 'Master Roster'!A:H, 8, FALSE) - F529, ""))</f>
        <v/>
      </c>
      <c r="K529" s="29" t="s">
        <v>175</v>
      </c>
      <c r="L529" s="29" t="b">
        <v>0</v>
      </c>
      <c r="M529" s="29"/>
      <c r="N529" s="29" t="s">
        <v>175</v>
      </c>
      <c r="O529" s="29" t="str">
        <f>IF(ISBLANK(A529), "", LET(entry_day, VLOOKUP(A529, 'Master Roster'!$A:$G, 7, FALSE), start_date, DATE(E529, MONTH(D529&amp;" 1"), entry_day), end_date, EDATE(start_date, 1), period, TEXT(start_date, "mmm d, yyyy") &amp; " - " &amp; TEXT(end_date, "mmm d, yyyy"), HYPERLINK("https://wa.me/" &amp; VLOOKUP(A529, 'Master Roster'!$A:$F, 6, FALSE) &amp; "?text=" &amp; ENCODEURL("Hello " &amp; IFERROR(IF(VLOOKUP(A529, 'Master Roster'!$A:$J, 10, FALSE)="Male", "Mr. ", "Ms. "), "") &amp; B529 &amp; ", payment of K" &amp; F529 &amp; " received for " &amp; period &amp; ". Receipt No: " &amp; N529), "Send Receipt")))</f>
        <v/>
      </c>
    </row>
    <row r="530">
      <c r="A530" s="29"/>
      <c r="B530" s="29" t="s">
        <v>175</v>
      </c>
      <c r="C530" s="76"/>
      <c r="D530" s="29"/>
      <c r="E530" s="29"/>
      <c r="F530" s="29"/>
      <c r="G530" s="29"/>
      <c r="H530" s="29" t="str">
        <f t="shared" si="1"/>
        <v/>
      </c>
      <c r="I530" s="29" t="str">
        <f t="shared" si="2"/>
        <v/>
      </c>
      <c r="J530" s="29" t="str">
        <f>IF(A530="", "", IFERROR(VLOOKUP(A530, 'Master Roster'!A:H, 8, FALSE) - F530, ""))</f>
        <v/>
      </c>
      <c r="K530" s="29" t="s">
        <v>175</v>
      </c>
      <c r="L530" s="29" t="b">
        <v>0</v>
      </c>
      <c r="M530" s="29"/>
      <c r="N530" s="29" t="s">
        <v>175</v>
      </c>
      <c r="O530" s="29" t="str">
        <f>IF(ISBLANK(A530), "", LET(entry_day, VLOOKUP(A530, 'Master Roster'!$A:$G, 7, FALSE), start_date, DATE(E530, MONTH(D530&amp;" 1"), entry_day), end_date, EDATE(start_date, 1), period, TEXT(start_date, "mmm d, yyyy") &amp; " - " &amp; TEXT(end_date, "mmm d, yyyy"), HYPERLINK("https://wa.me/" &amp; VLOOKUP(A530, 'Master Roster'!$A:$F, 6, FALSE) &amp; "?text=" &amp; ENCODEURL("Hello " &amp; IFERROR(IF(VLOOKUP(A530, 'Master Roster'!$A:$J, 10, FALSE)="Male", "Mr. ", "Ms. "), "") &amp; B530 &amp; ", payment of K" &amp; F530 &amp; " received for " &amp; period &amp; ". Receipt No: " &amp; N530), "Send Receipt")))</f>
        <v/>
      </c>
    </row>
    <row r="531">
      <c r="A531" s="29"/>
      <c r="B531" s="29" t="s">
        <v>175</v>
      </c>
      <c r="C531" s="76"/>
      <c r="D531" s="29"/>
      <c r="E531" s="29"/>
      <c r="F531" s="29"/>
      <c r="G531" s="29"/>
      <c r="H531" s="29" t="str">
        <f t="shared" si="1"/>
        <v/>
      </c>
      <c r="I531" s="29" t="str">
        <f t="shared" si="2"/>
        <v/>
      </c>
      <c r="J531" s="29" t="str">
        <f>IF(A531="", "", IFERROR(VLOOKUP(A531, 'Master Roster'!A:H, 8, FALSE) - F531, ""))</f>
        <v/>
      </c>
      <c r="K531" s="29" t="s">
        <v>175</v>
      </c>
      <c r="L531" s="29" t="b">
        <v>0</v>
      </c>
      <c r="M531" s="29"/>
      <c r="N531" s="29" t="s">
        <v>175</v>
      </c>
      <c r="O531" s="29" t="str">
        <f>IF(ISBLANK(A531), "", LET(entry_day, VLOOKUP(A531, 'Master Roster'!$A:$G, 7, FALSE), start_date, DATE(E531, MONTH(D531&amp;" 1"), entry_day), end_date, EDATE(start_date, 1), period, TEXT(start_date, "mmm d, yyyy") &amp; " - " &amp; TEXT(end_date, "mmm d, yyyy"), HYPERLINK("https://wa.me/" &amp; VLOOKUP(A531, 'Master Roster'!$A:$F, 6, FALSE) &amp; "?text=" &amp; ENCODEURL("Hello " &amp; IFERROR(IF(VLOOKUP(A531, 'Master Roster'!$A:$J, 10, FALSE)="Male", "Mr. ", "Ms. "), "") &amp; B531 &amp; ", payment of K" &amp; F531 &amp; " received for " &amp; period &amp; ". Receipt No: " &amp; N531), "Send Receipt")))</f>
        <v/>
      </c>
    </row>
    <row r="532">
      <c r="A532" s="29"/>
      <c r="B532" s="29" t="s">
        <v>175</v>
      </c>
      <c r="C532" s="76"/>
      <c r="D532" s="29"/>
      <c r="E532" s="29"/>
      <c r="F532" s="29"/>
      <c r="G532" s="29"/>
      <c r="H532" s="29" t="str">
        <f t="shared" si="1"/>
        <v/>
      </c>
      <c r="I532" s="29" t="str">
        <f t="shared" si="2"/>
        <v/>
      </c>
      <c r="J532" s="29" t="str">
        <f>IF(A532="", "", IFERROR(VLOOKUP(A532, 'Master Roster'!A:H, 8, FALSE) - F532, ""))</f>
        <v/>
      </c>
      <c r="K532" s="29" t="s">
        <v>175</v>
      </c>
      <c r="L532" s="29" t="b">
        <v>0</v>
      </c>
      <c r="M532" s="29"/>
      <c r="N532" s="29" t="s">
        <v>175</v>
      </c>
      <c r="O532" s="29" t="str">
        <f>IF(ISBLANK(A532), "", LET(entry_day, VLOOKUP(A532, 'Master Roster'!$A:$G, 7, FALSE), start_date, DATE(E532, MONTH(D532&amp;" 1"), entry_day), end_date, EDATE(start_date, 1), period, TEXT(start_date, "mmm d, yyyy") &amp; " - " &amp; TEXT(end_date, "mmm d, yyyy"), HYPERLINK("https://wa.me/" &amp; VLOOKUP(A532, 'Master Roster'!$A:$F, 6, FALSE) &amp; "?text=" &amp; ENCODEURL("Hello " &amp; IFERROR(IF(VLOOKUP(A532, 'Master Roster'!$A:$J, 10, FALSE)="Male", "Mr. ", "Ms. "), "") &amp; B532 &amp; ", payment of K" &amp; F532 &amp; " received for " &amp; period &amp; ". Receipt No: " &amp; N532), "Send Receipt")))</f>
        <v/>
      </c>
    </row>
    <row r="533">
      <c r="A533" s="29"/>
      <c r="B533" s="29" t="s">
        <v>175</v>
      </c>
      <c r="C533" s="76"/>
      <c r="D533" s="29"/>
      <c r="E533" s="29"/>
      <c r="F533" s="29"/>
      <c r="G533" s="29"/>
      <c r="H533" s="29" t="str">
        <f t="shared" si="1"/>
        <v/>
      </c>
      <c r="I533" s="29" t="str">
        <f t="shared" si="2"/>
        <v/>
      </c>
      <c r="J533" s="29" t="str">
        <f>IF(A533="", "", IFERROR(VLOOKUP(A533, 'Master Roster'!A:H, 8, FALSE) - F533, ""))</f>
        <v/>
      </c>
      <c r="K533" s="29" t="s">
        <v>175</v>
      </c>
      <c r="L533" s="29" t="b">
        <v>0</v>
      </c>
      <c r="M533" s="29"/>
      <c r="N533" s="29" t="s">
        <v>175</v>
      </c>
      <c r="O533" s="29" t="str">
        <f>IF(ISBLANK(A533), "", LET(entry_day, VLOOKUP(A533, 'Master Roster'!$A:$G, 7, FALSE), start_date, DATE(E533, MONTH(D533&amp;" 1"), entry_day), end_date, EDATE(start_date, 1), period, TEXT(start_date, "mmm d, yyyy") &amp; " - " &amp; TEXT(end_date, "mmm d, yyyy"), HYPERLINK("https://wa.me/" &amp; VLOOKUP(A533, 'Master Roster'!$A:$F, 6, FALSE) &amp; "?text=" &amp; ENCODEURL("Hello " &amp; IFERROR(IF(VLOOKUP(A533, 'Master Roster'!$A:$J, 10, FALSE)="Male", "Mr. ", "Ms. "), "") &amp; B533 &amp; ", payment of K" &amp; F533 &amp; " received for " &amp; period &amp; ". Receipt No: " &amp; N533), "Send Receipt")))</f>
        <v/>
      </c>
    </row>
    <row r="534">
      <c r="A534" s="29"/>
      <c r="B534" s="29" t="s">
        <v>175</v>
      </c>
      <c r="C534" s="76"/>
      <c r="D534" s="29"/>
      <c r="E534" s="29"/>
      <c r="F534" s="29"/>
      <c r="G534" s="29"/>
      <c r="H534" s="29" t="str">
        <f t="shared" si="1"/>
        <v/>
      </c>
      <c r="I534" s="29" t="str">
        <f t="shared" si="2"/>
        <v/>
      </c>
      <c r="J534" s="29" t="str">
        <f>IF(A534="", "", IFERROR(VLOOKUP(A534, 'Master Roster'!A:H, 8, FALSE) - F534, ""))</f>
        <v/>
      </c>
      <c r="K534" s="29" t="s">
        <v>175</v>
      </c>
      <c r="L534" s="29" t="b">
        <v>0</v>
      </c>
      <c r="M534" s="29"/>
      <c r="N534" s="29" t="s">
        <v>175</v>
      </c>
      <c r="O534" s="29" t="str">
        <f>IF(ISBLANK(A534), "", LET(entry_day, VLOOKUP(A534, 'Master Roster'!$A:$G, 7, FALSE), start_date, DATE(E534, MONTH(D534&amp;" 1"), entry_day), end_date, EDATE(start_date, 1), period, TEXT(start_date, "mmm d, yyyy") &amp; " - " &amp; TEXT(end_date, "mmm d, yyyy"), HYPERLINK("https://wa.me/" &amp; VLOOKUP(A534, 'Master Roster'!$A:$F, 6, FALSE) &amp; "?text=" &amp; ENCODEURL("Hello " &amp; IFERROR(IF(VLOOKUP(A534, 'Master Roster'!$A:$J, 10, FALSE)="Male", "Mr. ", "Ms. "), "") &amp; B534 &amp; ", payment of K" &amp; F534 &amp; " received for " &amp; period &amp; ". Receipt No: " &amp; N534), "Send Receipt")))</f>
        <v/>
      </c>
    </row>
    <row r="535">
      <c r="A535" s="29"/>
      <c r="B535" s="29" t="s">
        <v>175</v>
      </c>
      <c r="C535" s="76"/>
      <c r="D535" s="29"/>
      <c r="E535" s="29"/>
      <c r="F535" s="29"/>
      <c r="G535" s="29"/>
      <c r="H535" s="29" t="str">
        <f t="shared" si="1"/>
        <v/>
      </c>
      <c r="I535" s="29" t="str">
        <f t="shared" si="2"/>
        <v/>
      </c>
      <c r="J535" s="29" t="str">
        <f>IF(A535="", "", IFERROR(VLOOKUP(A535, 'Master Roster'!A:H, 8, FALSE) - F535, ""))</f>
        <v/>
      </c>
      <c r="K535" s="29" t="s">
        <v>175</v>
      </c>
      <c r="L535" s="29" t="b">
        <v>0</v>
      </c>
      <c r="M535" s="29"/>
      <c r="N535" s="29" t="s">
        <v>175</v>
      </c>
      <c r="O535" s="29" t="str">
        <f>IF(ISBLANK(A535), "", LET(entry_day, VLOOKUP(A535, 'Master Roster'!$A:$G, 7, FALSE), start_date, DATE(E535, MONTH(D535&amp;" 1"), entry_day), end_date, EDATE(start_date, 1), period, TEXT(start_date, "mmm d, yyyy") &amp; " - " &amp; TEXT(end_date, "mmm d, yyyy"), HYPERLINK("https://wa.me/" &amp; VLOOKUP(A535, 'Master Roster'!$A:$F, 6, FALSE) &amp; "?text=" &amp; ENCODEURL("Hello " &amp; IFERROR(IF(VLOOKUP(A535, 'Master Roster'!$A:$J, 10, FALSE)="Male", "Mr. ", "Ms. "), "") &amp; B535 &amp; ", payment of K" &amp; F535 &amp; " received for " &amp; period &amp; ". Receipt No: " &amp; N535), "Send Receipt")))</f>
        <v/>
      </c>
    </row>
    <row r="536">
      <c r="A536" s="29"/>
      <c r="B536" s="29" t="s">
        <v>175</v>
      </c>
      <c r="C536" s="76"/>
      <c r="D536" s="29"/>
      <c r="E536" s="29"/>
      <c r="F536" s="29"/>
      <c r="G536" s="29"/>
      <c r="H536" s="29" t="str">
        <f t="shared" si="1"/>
        <v/>
      </c>
      <c r="I536" s="29" t="str">
        <f t="shared" si="2"/>
        <v/>
      </c>
      <c r="J536" s="29" t="str">
        <f>IF(A536="", "", IFERROR(VLOOKUP(A536, 'Master Roster'!A:H, 8, FALSE) - F536, ""))</f>
        <v/>
      </c>
      <c r="K536" s="29" t="s">
        <v>175</v>
      </c>
      <c r="L536" s="29" t="b">
        <v>0</v>
      </c>
      <c r="M536" s="29"/>
      <c r="N536" s="29" t="s">
        <v>175</v>
      </c>
      <c r="O536" s="29" t="str">
        <f>IF(ISBLANK(A536), "", LET(entry_day, VLOOKUP(A536, 'Master Roster'!$A:$G, 7, FALSE), start_date, DATE(E536, MONTH(D536&amp;" 1"), entry_day), end_date, EDATE(start_date, 1), period, TEXT(start_date, "mmm d, yyyy") &amp; " - " &amp; TEXT(end_date, "mmm d, yyyy"), HYPERLINK("https://wa.me/" &amp; VLOOKUP(A536, 'Master Roster'!$A:$F, 6, FALSE) &amp; "?text=" &amp; ENCODEURL("Hello " &amp; IFERROR(IF(VLOOKUP(A536, 'Master Roster'!$A:$J, 10, FALSE)="Male", "Mr. ", "Ms. "), "") &amp; B536 &amp; ", payment of K" &amp; F536 &amp; " received for " &amp; period &amp; ". Receipt No: " &amp; N536), "Send Receipt")))</f>
        <v/>
      </c>
    </row>
    <row r="537">
      <c r="A537" s="29"/>
      <c r="B537" s="29" t="s">
        <v>175</v>
      </c>
      <c r="C537" s="76"/>
      <c r="D537" s="29"/>
      <c r="E537" s="29"/>
      <c r="F537" s="29"/>
      <c r="G537" s="29"/>
      <c r="H537" s="29" t="str">
        <f t="shared" si="1"/>
        <v/>
      </c>
      <c r="I537" s="29" t="str">
        <f t="shared" si="2"/>
        <v/>
      </c>
      <c r="J537" s="29" t="str">
        <f>IF(A537="", "", IFERROR(VLOOKUP(A537, 'Master Roster'!A:H, 8, FALSE) - F537, ""))</f>
        <v/>
      </c>
      <c r="K537" s="29" t="s">
        <v>175</v>
      </c>
      <c r="L537" s="29" t="b">
        <v>0</v>
      </c>
      <c r="M537" s="29"/>
      <c r="N537" s="29" t="s">
        <v>175</v>
      </c>
      <c r="O537" s="29" t="str">
        <f>IF(ISBLANK(A537), "", LET(entry_day, VLOOKUP(A537, 'Master Roster'!$A:$G, 7, FALSE), start_date, DATE(E537, MONTH(D537&amp;" 1"), entry_day), end_date, EDATE(start_date, 1), period, TEXT(start_date, "mmm d, yyyy") &amp; " - " &amp; TEXT(end_date, "mmm d, yyyy"), HYPERLINK("https://wa.me/" &amp; VLOOKUP(A537, 'Master Roster'!$A:$F, 6, FALSE) &amp; "?text=" &amp; ENCODEURL("Hello " &amp; IFERROR(IF(VLOOKUP(A537, 'Master Roster'!$A:$J, 10, FALSE)="Male", "Mr. ", "Ms. "), "") &amp; B537 &amp; ", payment of K" &amp; F537 &amp; " received for " &amp; period &amp; ". Receipt No: " &amp; N537), "Send Receipt")))</f>
        <v/>
      </c>
    </row>
    <row r="538">
      <c r="A538" s="29"/>
      <c r="B538" s="29" t="s">
        <v>175</v>
      </c>
      <c r="C538" s="76"/>
      <c r="D538" s="29"/>
      <c r="E538" s="29"/>
      <c r="F538" s="29"/>
      <c r="G538" s="29"/>
      <c r="H538" s="29" t="str">
        <f t="shared" si="1"/>
        <v/>
      </c>
      <c r="I538" s="29" t="str">
        <f t="shared" si="2"/>
        <v/>
      </c>
      <c r="J538" s="29" t="str">
        <f>IF(A538="", "", IFERROR(VLOOKUP(A538, 'Master Roster'!A:H, 8, FALSE) - F538, ""))</f>
        <v/>
      </c>
      <c r="K538" s="29" t="s">
        <v>175</v>
      </c>
      <c r="L538" s="29" t="b">
        <v>0</v>
      </c>
      <c r="M538" s="29"/>
      <c r="N538" s="29" t="s">
        <v>175</v>
      </c>
      <c r="O538" s="29" t="str">
        <f>IF(ISBLANK(A538), "", LET(entry_day, VLOOKUP(A538, 'Master Roster'!$A:$G, 7, FALSE), start_date, DATE(E538, MONTH(D538&amp;" 1"), entry_day), end_date, EDATE(start_date, 1), period, TEXT(start_date, "mmm d, yyyy") &amp; " - " &amp; TEXT(end_date, "mmm d, yyyy"), HYPERLINK("https://wa.me/" &amp; VLOOKUP(A538, 'Master Roster'!$A:$F, 6, FALSE) &amp; "?text=" &amp; ENCODEURL("Hello " &amp; IFERROR(IF(VLOOKUP(A538, 'Master Roster'!$A:$J, 10, FALSE)="Male", "Mr. ", "Ms. "), "") &amp; B538 &amp; ", payment of K" &amp; F538 &amp; " received for " &amp; period &amp; ". Receipt No: " &amp; N538), "Send Receipt")))</f>
        <v/>
      </c>
    </row>
    <row r="539">
      <c r="A539" s="29"/>
      <c r="B539" s="29" t="s">
        <v>175</v>
      </c>
      <c r="C539" s="76"/>
      <c r="D539" s="29"/>
      <c r="E539" s="29"/>
      <c r="F539" s="29"/>
      <c r="G539" s="29"/>
      <c r="H539" s="29" t="str">
        <f t="shared" si="1"/>
        <v/>
      </c>
      <c r="I539" s="29" t="str">
        <f t="shared" si="2"/>
        <v/>
      </c>
      <c r="J539" s="29" t="str">
        <f>IF(A539="", "", IFERROR(VLOOKUP(A539, 'Master Roster'!A:H, 8, FALSE) - F539, ""))</f>
        <v/>
      </c>
      <c r="K539" s="29" t="s">
        <v>175</v>
      </c>
      <c r="L539" s="29" t="b">
        <v>0</v>
      </c>
      <c r="M539" s="29"/>
      <c r="N539" s="29" t="s">
        <v>175</v>
      </c>
      <c r="O539" s="29" t="str">
        <f>IF(ISBLANK(A539), "", LET(entry_day, VLOOKUP(A539, 'Master Roster'!$A:$G, 7, FALSE), start_date, DATE(E539, MONTH(D539&amp;" 1"), entry_day), end_date, EDATE(start_date, 1), period, TEXT(start_date, "mmm d, yyyy") &amp; " - " &amp; TEXT(end_date, "mmm d, yyyy"), HYPERLINK("https://wa.me/" &amp; VLOOKUP(A539, 'Master Roster'!$A:$F, 6, FALSE) &amp; "?text=" &amp; ENCODEURL("Hello " &amp; IFERROR(IF(VLOOKUP(A539, 'Master Roster'!$A:$J, 10, FALSE)="Male", "Mr. ", "Ms. "), "") &amp; B539 &amp; ", payment of K" &amp; F539 &amp; " received for " &amp; period &amp; ". Receipt No: " &amp; N539), "Send Receipt")))</f>
        <v/>
      </c>
    </row>
    <row r="540">
      <c r="A540" s="29"/>
      <c r="B540" s="29" t="s">
        <v>175</v>
      </c>
      <c r="C540" s="76"/>
      <c r="D540" s="29"/>
      <c r="E540" s="29"/>
      <c r="F540" s="29"/>
      <c r="G540" s="29"/>
      <c r="H540" s="29" t="str">
        <f t="shared" si="1"/>
        <v/>
      </c>
      <c r="I540" s="29" t="str">
        <f t="shared" si="2"/>
        <v/>
      </c>
      <c r="J540" s="29" t="str">
        <f>IF(A540="", "", IFERROR(VLOOKUP(A540, 'Master Roster'!A:H, 8, FALSE) - F540, ""))</f>
        <v/>
      </c>
      <c r="K540" s="29" t="s">
        <v>175</v>
      </c>
      <c r="L540" s="29" t="b">
        <v>0</v>
      </c>
      <c r="M540" s="29"/>
      <c r="N540" s="29" t="s">
        <v>175</v>
      </c>
      <c r="O540" s="29" t="str">
        <f>IF(ISBLANK(A540), "", LET(entry_day, VLOOKUP(A540, 'Master Roster'!$A:$G, 7, FALSE), start_date, DATE(E540, MONTH(D540&amp;" 1"), entry_day), end_date, EDATE(start_date, 1), period, TEXT(start_date, "mmm d, yyyy") &amp; " - " &amp; TEXT(end_date, "mmm d, yyyy"), HYPERLINK("https://wa.me/" &amp; VLOOKUP(A540, 'Master Roster'!$A:$F, 6, FALSE) &amp; "?text=" &amp; ENCODEURL("Hello " &amp; IFERROR(IF(VLOOKUP(A540, 'Master Roster'!$A:$J, 10, FALSE)="Male", "Mr. ", "Ms. "), "") &amp; B540 &amp; ", payment of K" &amp; F540 &amp; " received for " &amp; period &amp; ". Receipt No: " &amp; N540), "Send Receipt")))</f>
        <v/>
      </c>
    </row>
    <row r="541">
      <c r="A541" s="29"/>
      <c r="B541" s="29" t="s">
        <v>175</v>
      </c>
      <c r="C541" s="76"/>
      <c r="D541" s="29"/>
      <c r="E541" s="29"/>
      <c r="F541" s="29"/>
      <c r="G541" s="29"/>
      <c r="H541" s="29" t="str">
        <f t="shared" si="1"/>
        <v/>
      </c>
      <c r="I541" s="29" t="str">
        <f t="shared" si="2"/>
        <v/>
      </c>
      <c r="J541" s="29" t="str">
        <f>IF(A541="", "", IFERROR(VLOOKUP(A541, 'Master Roster'!A:H, 8, FALSE) - F541, ""))</f>
        <v/>
      </c>
      <c r="K541" s="29" t="s">
        <v>175</v>
      </c>
      <c r="L541" s="29" t="b">
        <v>0</v>
      </c>
      <c r="M541" s="29"/>
      <c r="N541" s="29" t="s">
        <v>175</v>
      </c>
      <c r="O541" s="29" t="str">
        <f>IF(ISBLANK(A541), "", LET(entry_day, VLOOKUP(A541, 'Master Roster'!$A:$G, 7, FALSE), start_date, DATE(E541, MONTH(D541&amp;" 1"), entry_day), end_date, EDATE(start_date, 1), period, TEXT(start_date, "mmm d, yyyy") &amp; " - " &amp; TEXT(end_date, "mmm d, yyyy"), HYPERLINK("https://wa.me/" &amp; VLOOKUP(A541, 'Master Roster'!$A:$F, 6, FALSE) &amp; "?text=" &amp; ENCODEURL("Hello " &amp; IFERROR(IF(VLOOKUP(A541, 'Master Roster'!$A:$J, 10, FALSE)="Male", "Mr. ", "Ms. "), "") &amp; B541 &amp; ", payment of K" &amp; F541 &amp; " received for " &amp; period &amp; ". Receipt No: " &amp; N541), "Send Receipt")))</f>
        <v/>
      </c>
    </row>
    <row r="542">
      <c r="A542" s="29"/>
      <c r="B542" s="29" t="s">
        <v>175</v>
      </c>
      <c r="C542" s="76"/>
      <c r="D542" s="29"/>
      <c r="E542" s="29"/>
      <c r="F542" s="29"/>
      <c r="G542" s="29"/>
      <c r="H542" s="29" t="str">
        <f t="shared" si="1"/>
        <v/>
      </c>
      <c r="I542" s="29" t="str">
        <f t="shared" si="2"/>
        <v/>
      </c>
      <c r="J542" s="29" t="str">
        <f>IF(A542="", "", IFERROR(VLOOKUP(A542, 'Master Roster'!A:H, 8, FALSE) - F542, ""))</f>
        <v/>
      </c>
      <c r="K542" s="29" t="s">
        <v>175</v>
      </c>
      <c r="L542" s="29" t="b">
        <v>0</v>
      </c>
      <c r="M542" s="29"/>
      <c r="N542" s="29" t="s">
        <v>175</v>
      </c>
      <c r="O542" s="29" t="str">
        <f>IF(ISBLANK(A542), "", LET(entry_day, VLOOKUP(A542, 'Master Roster'!$A:$G, 7, FALSE), start_date, DATE(E542, MONTH(D542&amp;" 1"), entry_day), end_date, EDATE(start_date, 1), period, TEXT(start_date, "mmm d, yyyy") &amp; " - " &amp; TEXT(end_date, "mmm d, yyyy"), HYPERLINK("https://wa.me/" &amp; VLOOKUP(A542, 'Master Roster'!$A:$F, 6, FALSE) &amp; "?text=" &amp; ENCODEURL("Hello " &amp; IFERROR(IF(VLOOKUP(A542, 'Master Roster'!$A:$J, 10, FALSE)="Male", "Mr. ", "Ms. "), "") &amp; B542 &amp; ", payment of K" &amp; F542 &amp; " received for " &amp; period &amp; ". Receipt No: " &amp; N542), "Send Receipt")))</f>
        <v/>
      </c>
    </row>
    <row r="543">
      <c r="A543" s="29"/>
      <c r="B543" s="29" t="s">
        <v>175</v>
      </c>
      <c r="C543" s="76"/>
      <c r="D543" s="29"/>
      <c r="E543" s="29"/>
      <c r="F543" s="29"/>
      <c r="G543" s="29"/>
      <c r="H543" s="29" t="str">
        <f t="shared" si="1"/>
        <v/>
      </c>
      <c r="I543" s="29" t="str">
        <f t="shared" si="2"/>
        <v/>
      </c>
      <c r="J543" s="29" t="str">
        <f>IF(A543="", "", IFERROR(VLOOKUP(A543, 'Master Roster'!A:H, 8, FALSE) - F543, ""))</f>
        <v/>
      </c>
      <c r="K543" s="29" t="s">
        <v>175</v>
      </c>
      <c r="L543" s="29" t="b">
        <v>0</v>
      </c>
      <c r="M543" s="29"/>
      <c r="N543" s="29" t="s">
        <v>175</v>
      </c>
      <c r="O543" s="29" t="str">
        <f>IF(ISBLANK(A543), "", LET(entry_day, VLOOKUP(A543, 'Master Roster'!$A:$G, 7, FALSE), start_date, DATE(E543, MONTH(D543&amp;" 1"), entry_day), end_date, EDATE(start_date, 1), period, TEXT(start_date, "mmm d, yyyy") &amp; " - " &amp; TEXT(end_date, "mmm d, yyyy"), HYPERLINK("https://wa.me/" &amp; VLOOKUP(A543, 'Master Roster'!$A:$F, 6, FALSE) &amp; "?text=" &amp; ENCODEURL("Hello " &amp; IFERROR(IF(VLOOKUP(A543, 'Master Roster'!$A:$J, 10, FALSE)="Male", "Mr. ", "Ms. "), "") &amp; B543 &amp; ", payment of K" &amp; F543 &amp; " received for " &amp; period &amp; ". Receipt No: " &amp; N543), "Send Receipt")))</f>
        <v/>
      </c>
    </row>
    <row r="544">
      <c r="A544" s="29"/>
      <c r="B544" s="29" t="s">
        <v>175</v>
      </c>
      <c r="C544" s="76"/>
      <c r="D544" s="29"/>
      <c r="E544" s="29"/>
      <c r="F544" s="29"/>
      <c r="G544" s="29"/>
      <c r="H544" s="29" t="str">
        <f t="shared" si="1"/>
        <v/>
      </c>
      <c r="I544" s="29" t="str">
        <f t="shared" si="2"/>
        <v/>
      </c>
      <c r="J544" s="29" t="str">
        <f>IF(A544="", "", IFERROR(VLOOKUP(A544, 'Master Roster'!A:H, 8, FALSE) - F544, ""))</f>
        <v/>
      </c>
      <c r="K544" s="29" t="s">
        <v>175</v>
      </c>
      <c r="L544" s="29" t="b">
        <v>0</v>
      </c>
      <c r="M544" s="29"/>
      <c r="N544" s="29" t="s">
        <v>175</v>
      </c>
      <c r="O544" s="29" t="str">
        <f>IF(ISBLANK(A544), "", LET(entry_day, VLOOKUP(A544, 'Master Roster'!$A:$G, 7, FALSE), start_date, DATE(E544, MONTH(D544&amp;" 1"), entry_day), end_date, EDATE(start_date, 1), period, TEXT(start_date, "mmm d, yyyy") &amp; " - " &amp; TEXT(end_date, "mmm d, yyyy"), HYPERLINK("https://wa.me/" &amp; VLOOKUP(A544, 'Master Roster'!$A:$F, 6, FALSE) &amp; "?text=" &amp; ENCODEURL("Hello " &amp; IFERROR(IF(VLOOKUP(A544, 'Master Roster'!$A:$J, 10, FALSE)="Male", "Mr. ", "Ms. "), "") &amp; B544 &amp; ", payment of K" &amp; F544 &amp; " received for " &amp; period &amp; ". Receipt No: " &amp; N544), "Send Receipt")))</f>
        <v/>
      </c>
    </row>
    <row r="545">
      <c r="A545" s="29"/>
      <c r="B545" s="29" t="s">
        <v>175</v>
      </c>
      <c r="C545" s="76"/>
      <c r="D545" s="29"/>
      <c r="E545" s="29"/>
      <c r="F545" s="29"/>
      <c r="G545" s="29"/>
      <c r="H545" s="29" t="str">
        <f t="shared" si="1"/>
        <v/>
      </c>
      <c r="I545" s="29" t="str">
        <f t="shared" si="2"/>
        <v/>
      </c>
      <c r="J545" s="29" t="str">
        <f>IF(A545="", "", IFERROR(VLOOKUP(A545, 'Master Roster'!A:H, 8, FALSE) - F545, ""))</f>
        <v/>
      </c>
      <c r="K545" s="29" t="s">
        <v>175</v>
      </c>
      <c r="L545" s="29" t="b">
        <v>0</v>
      </c>
      <c r="M545" s="29"/>
      <c r="N545" s="29" t="s">
        <v>175</v>
      </c>
      <c r="O545" s="29" t="str">
        <f>IF(ISBLANK(A545), "", LET(entry_day, VLOOKUP(A545, 'Master Roster'!$A:$G, 7, FALSE), start_date, DATE(E545, MONTH(D545&amp;" 1"), entry_day), end_date, EDATE(start_date, 1), period, TEXT(start_date, "mmm d, yyyy") &amp; " - " &amp; TEXT(end_date, "mmm d, yyyy"), HYPERLINK("https://wa.me/" &amp; VLOOKUP(A545, 'Master Roster'!$A:$F, 6, FALSE) &amp; "?text=" &amp; ENCODEURL("Hello " &amp; IFERROR(IF(VLOOKUP(A545, 'Master Roster'!$A:$J, 10, FALSE)="Male", "Mr. ", "Ms. "), "") &amp; B545 &amp; ", payment of K" &amp; F545 &amp; " received for " &amp; period &amp; ". Receipt No: " &amp; N545), "Send Receipt")))</f>
        <v/>
      </c>
    </row>
    <row r="546">
      <c r="A546" s="29"/>
      <c r="B546" s="29" t="s">
        <v>175</v>
      </c>
      <c r="C546" s="76"/>
      <c r="D546" s="29"/>
      <c r="E546" s="29"/>
      <c r="F546" s="29"/>
      <c r="G546" s="29"/>
      <c r="H546" s="29" t="str">
        <f t="shared" si="1"/>
        <v/>
      </c>
      <c r="I546" s="29" t="str">
        <f t="shared" si="2"/>
        <v/>
      </c>
      <c r="J546" s="29" t="str">
        <f>IF(A546="", "", IFERROR(VLOOKUP(A546, 'Master Roster'!A:H, 8, FALSE) - F546, ""))</f>
        <v/>
      </c>
      <c r="K546" s="29" t="s">
        <v>175</v>
      </c>
      <c r="L546" s="29" t="b">
        <v>0</v>
      </c>
      <c r="M546" s="29"/>
      <c r="N546" s="29" t="s">
        <v>175</v>
      </c>
      <c r="O546" s="29" t="str">
        <f>IF(ISBLANK(A546), "", LET(entry_day, VLOOKUP(A546, 'Master Roster'!$A:$G, 7, FALSE), start_date, DATE(E546, MONTH(D546&amp;" 1"), entry_day), end_date, EDATE(start_date, 1), period, TEXT(start_date, "mmm d, yyyy") &amp; " - " &amp; TEXT(end_date, "mmm d, yyyy"), HYPERLINK("https://wa.me/" &amp; VLOOKUP(A546, 'Master Roster'!$A:$F, 6, FALSE) &amp; "?text=" &amp; ENCODEURL("Hello " &amp; IFERROR(IF(VLOOKUP(A546, 'Master Roster'!$A:$J, 10, FALSE)="Male", "Mr. ", "Ms. "), "") &amp; B546 &amp; ", payment of K" &amp; F546 &amp; " received for " &amp; period &amp; ". Receipt No: " &amp; N546), "Send Receipt")))</f>
        <v/>
      </c>
    </row>
    <row r="547">
      <c r="A547" s="29"/>
      <c r="B547" s="29" t="s">
        <v>175</v>
      </c>
      <c r="C547" s="76"/>
      <c r="D547" s="29"/>
      <c r="E547" s="29"/>
      <c r="F547" s="29"/>
      <c r="G547" s="29"/>
      <c r="H547" s="29" t="str">
        <f t="shared" si="1"/>
        <v/>
      </c>
      <c r="I547" s="29" t="str">
        <f t="shared" si="2"/>
        <v/>
      </c>
      <c r="J547" s="29" t="str">
        <f>IF(A547="", "", IFERROR(VLOOKUP(A547, 'Master Roster'!A:H, 8, FALSE) - F547, ""))</f>
        <v/>
      </c>
      <c r="K547" s="29" t="s">
        <v>175</v>
      </c>
      <c r="L547" s="29" t="b">
        <v>0</v>
      </c>
      <c r="M547" s="29"/>
      <c r="N547" s="29" t="s">
        <v>175</v>
      </c>
      <c r="O547" s="29" t="str">
        <f>IF(ISBLANK(A547), "", LET(entry_day, VLOOKUP(A547, 'Master Roster'!$A:$G, 7, FALSE), start_date, DATE(E547, MONTH(D547&amp;" 1"), entry_day), end_date, EDATE(start_date, 1), period, TEXT(start_date, "mmm d, yyyy") &amp; " - " &amp; TEXT(end_date, "mmm d, yyyy"), HYPERLINK("https://wa.me/" &amp; VLOOKUP(A547, 'Master Roster'!$A:$F, 6, FALSE) &amp; "?text=" &amp; ENCODEURL("Hello " &amp; IFERROR(IF(VLOOKUP(A547, 'Master Roster'!$A:$J, 10, FALSE)="Male", "Mr. ", "Ms. "), "") &amp; B547 &amp; ", payment of K" &amp; F547 &amp; " received for " &amp; period &amp; ". Receipt No: " &amp; N547), "Send Receipt")))</f>
        <v/>
      </c>
    </row>
    <row r="548">
      <c r="A548" s="29"/>
      <c r="B548" s="29" t="s">
        <v>175</v>
      </c>
      <c r="C548" s="76"/>
      <c r="D548" s="29"/>
      <c r="E548" s="29"/>
      <c r="F548" s="29"/>
      <c r="G548" s="29"/>
      <c r="H548" s="29" t="str">
        <f t="shared" si="1"/>
        <v/>
      </c>
      <c r="I548" s="29" t="str">
        <f t="shared" si="2"/>
        <v/>
      </c>
      <c r="J548" s="29" t="str">
        <f>IF(A548="", "", IFERROR(VLOOKUP(A548, 'Master Roster'!A:H, 8, FALSE) - F548, ""))</f>
        <v/>
      </c>
      <c r="K548" s="29" t="s">
        <v>175</v>
      </c>
      <c r="L548" s="29" t="b">
        <v>0</v>
      </c>
      <c r="M548" s="29"/>
      <c r="N548" s="29" t="s">
        <v>175</v>
      </c>
      <c r="O548" s="29" t="str">
        <f>IF(ISBLANK(A548), "", LET(entry_day, VLOOKUP(A548, 'Master Roster'!$A:$G, 7, FALSE), start_date, DATE(E548, MONTH(D548&amp;" 1"), entry_day), end_date, EDATE(start_date, 1), period, TEXT(start_date, "mmm d, yyyy") &amp; " - " &amp; TEXT(end_date, "mmm d, yyyy"), HYPERLINK("https://wa.me/" &amp; VLOOKUP(A548, 'Master Roster'!$A:$F, 6, FALSE) &amp; "?text=" &amp; ENCODEURL("Hello " &amp; IFERROR(IF(VLOOKUP(A548, 'Master Roster'!$A:$J, 10, FALSE)="Male", "Mr. ", "Ms. "), "") &amp; B548 &amp; ", payment of K" &amp; F548 &amp; " received for " &amp; period &amp; ". Receipt No: " &amp; N548), "Send Receipt")))</f>
        <v/>
      </c>
    </row>
    <row r="549">
      <c r="A549" s="29"/>
      <c r="B549" s="29" t="s">
        <v>175</v>
      </c>
      <c r="C549" s="76"/>
      <c r="D549" s="29"/>
      <c r="E549" s="29"/>
      <c r="F549" s="29"/>
      <c r="G549" s="29"/>
      <c r="H549" s="29" t="str">
        <f t="shared" si="1"/>
        <v/>
      </c>
      <c r="I549" s="29" t="str">
        <f t="shared" si="2"/>
        <v/>
      </c>
      <c r="J549" s="29" t="str">
        <f>IF(A549="", "", IFERROR(VLOOKUP(A549, 'Master Roster'!A:H, 8, FALSE) - F549, ""))</f>
        <v/>
      </c>
      <c r="K549" s="29" t="s">
        <v>175</v>
      </c>
      <c r="L549" s="29" t="b">
        <v>0</v>
      </c>
      <c r="M549" s="29"/>
      <c r="N549" s="29" t="s">
        <v>175</v>
      </c>
      <c r="O549" s="29" t="str">
        <f>IF(ISBLANK(A549), "", LET(entry_day, VLOOKUP(A549, 'Master Roster'!$A:$G, 7, FALSE), start_date, DATE(E549, MONTH(D549&amp;" 1"), entry_day), end_date, EDATE(start_date, 1), period, TEXT(start_date, "mmm d, yyyy") &amp; " - " &amp; TEXT(end_date, "mmm d, yyyy"), HYPERLINK("https://wa.me/" &amp; VLOOKUP(A549, 'Master Roster'!$A:$F, 6, FALSE) &amp; "?text=" &amp; ENCODEURL("Hello " &amp; IFERROR(IF(VLOOKUP(A549, 'Master Roster'!$A:$J, 10, FALSE)="Male", "Mr. ", "Ms. "), "") &amp; B549 &amp; ", payment of K" &amp; F549 &amp; " received for " &amp; period &amp; ". Receipt No: " &amp; N549), "Send Receipt")))</f>
        <v/>
      </c>
    </row>
    <row r="550">
      <c r="A550" s="29"/>
      <c r="B550" s="29" t="s">
        <v>175</v>
      </c>
      <c r="C550" s="76"/>
      <c r="D550" s="29"/>
      <c r="E550" s="29"/>
      <c r="F550" s="29"/>
      <c r="G550" s="29"/>
      <c r="H550" s="29" t="str">
        <f t="shared" si="1"/>
        <v/>
      </c>
      <c r="I550" s="29" t="str">
        <f t="shared" si="2"/>
        <v/>
      </c>
      <c r="J550" s="29" t="str">
        <f>IF(A550="", "", IFERROR(VLOOKUP(A550, 'Master Roster'!A:H, 8, FALSE) - F550, ""))</f>
        <v/>
      </c>
      <c r="K550" s="29" t="s">
        <v>175</v>
      </c>
      <c r="L550" s="29" t="b">
        <v>0</v>
      </c>
      <c r="M550" s="29"/>
      <c r="N550" s="29" t="s">
        <v>175</v>
      </c>
      <c r="O550" s="29" t="str">
        <f>IF(ISBLANK(A550), "", LET(entry_day, VLOOKUP(A550, 'Master Roster'!$A:$G, 7, FALSE), start_date, DATE(E550, MONTH(D550&amp;" 1"), entry_day), end_date, EDATE(start_date, 1), period, TEXT(start_date, "mmm d, yyyy") &amp; " - " &amp; TEXT(end_date, "mmm d, yyyy"), HYPERLINK("https://wa.me/" &amp; VLOOKUP(A550, 'Master Roster'!$A:$F, 6, FALSE) &amp; "?text=" &amp; ENCODEURL("Hello " &amp; IFERROR(IF(VLOOKUP(A550, 'Master Roster'!$A:$J, 10, FALSE)="Male", "Mr. ", "Ms. "), "") &amp; B550 &amp; ", payment of K" &amp; F550 &amp; " received for " &amp; period &amp; ". Receipt No: " &amp; N550), "Send Receipt")))</f>
        <v/>
      </c>
    </row>
    <row r="551">
      <c r="A551" s="29"/>
      <c r="B551" s="29" t="s">
        <v>175</v>
      </c>
      <c r="C551" s="76"/>
      <c r="D551" s="29"/>
      <c r="E551" s="29"/>
      <c r="F551" s="29"/>
      <c r="G551" s="29"/>
      <c r="H551" s="29" t="str">
        <f t="shared" si="1"/>
        <v/>
      </c>
      <c r="I551" s="29" t="str">
        <f t="shared" si="2"/>
        <v/>
      </c>
      <c r="J551" s="29" t="str">
        <f>IF(A551="", "", IFERROR(VLOOKUP(A551, 'Master Roster'!A:H, 8, FALSE) - F551, ""))</f>
        <v/>
      </c>
      <c r="K551" s="29" t="s">
        <v>175</v>
      </c>
      <c r="L551" s="29" t="b">
        <v>0</v>
      </c>
      <c r="M551" s="29"/>
      <c r="N551" s="29" t="s">
        <v>175</v>
      </c>
      <c r="O551" s="29" t="str">
        <f>IF(ISBLANK(A551), "", LET(entry_day, VLOOKUP(A551, 'Master Roster'!$A:$G, 7, FALSE), start_date, DATE(E551, MONTH(D551&amp;" 1"), entry_day), end_date, EDATE(start_date, 1), period, TEXT(start_date, "mmm d, yyyy") &amp; " - " &amp; TEXT(end_date, "mmm d, yyyy"), HYPERLINK("https://wa.me/" &amp; VLOOKUP(A551, 'Master Roster'!$A:$F, 6, FALSE) &amp; "?text=" &amp; ENCODEURL("Hello " &amp; IFERROR(IF(VLOOKUP(A551, 'Master Roster'!$A:$J, 10, FALSE)="Male", "Mr. ", "Ms. "), "") &amp; B551 &amp; ", payment of K" &amp; F551 &amp; " received for " &amp; period &amp; ". Receipt No: " &amp; N551), "Send Receipt")))</f>
        <v/>
      </c>
    </row>
    <row r="552">
      <c r="A552" s="29"/>
      <c r="B552" s="29" t="s">
        <v>175</v>
      </c>
      <c r="C552" s="76"/>
      <c r="D552" s="29"/>
      <c r="E552" s="29"/>
      <c r="F552" s="29"/>
      <c r="G552" s="29"/>
      <c r="H552" s="29" t="str">
        <f t="shared" si="1"/>
        <v/>
      </c>
      <c r="I552" s="29" t="str">
        <f t="shared" si="2"/>
        <v/>
      </c>
      <c r="J552" s="29" t="str">
        <f>IF(A552="", "", IFERROR(VLOOKUP(A552, 'Master Roster'!A:H, 8, FALSE) - F552, ""))</f>
        <v/>
      </c>
      <c r="K552" s="29" t="s">
        <v>175</v>
      </c>
      <c r="L552" s="29" t="b">
        <v>0</v>
      </c>
      <c r="M552" s="29"/>
      <c r="N552" s="29" t="s">
        <v>175</v>
      </c>
      <c r="O552" s="29" t="str">
        <f>IF(ISBLANK(A552), "", LET(entry_day, VLOOKUP(A552, 'Master Roster'!$A:$G, 7, FALSE), start_date, DATE(E552, MONTH(D552&amp;" 1"), entry_day), end_date, EDATE(start_date, 1), period, TEXT(start_date, "mmm d, yyyy") &amp; " - " &amp; TEXT(end_date, "mmm d, yyyy"), HYPERLINK("https://wa.me/" &amp; VLOOKUP(A552, 'Master Roster'!$A:$F, 6, FALSE) &amp; "?text=" &amp; ENCODEURL("Hello " &amp; IFERROR(IF(VLOOKUP(A552, 'Master Roster'!$A:$J, 10, FALSE)="Male", "Mr. ", "Ms. "), "") &amp; B552 &amp; ", payment of K" &amp; F552 &amp; " received for " &amp; period &amp; ". Receipt No: " &amp; N552), "Send Receipt")))</f>
        <v/>
      </c>
    </row>
    <row r="553">
      <c r="A553" s="29"/>
      <c r="B553" s="29" t="s">
        <v>175</v>
      </c>
      <c r="C553" s="76"/>
      <c r="D553" s="29"/>
      <c r="E553" s="29"/>
      <c r="F553" s="29"/>
      <c r="G553" s="29"/>
      <c r="H553" s="29" t="str">
        <f t="shared" si="1"/>
        <v/>
      </c>
      <c r="I553" s="29" t="str">
        <f t="shared" si="2"/>
        <v/>
      </c>
      <c r="J553" s="29" t="str">
        <f>IF(A553="", "", IFERROR(VLOOKUP(A553, 'Master Roster'!A:H, 8, FALSE) - F553, ""))</f>
        <v/>
      </c>
      <c r="K553" s="29" t="s">
        <v>175</v>
      </c>
      <c r="L553" s="29" t="b">
        <v>0</v>
      </c>
      <c r="M553" s="29"/>
      <c r="N553" s="29" t="s">
        <v>175</v>
      </c>
      <c r="O553" s="29" t="str">
        <f>IF(ISBLANK(A553), "", LET(entry_day, VLOOKUP(A553, 'Master Roster'!$A:$G, 7, FALSE), start_date, DATE(E553, MONTH(D553&amp;" 1"), entry_day), end_date, EDATE(start_date, 1), period, TEXT(start_date, "mmm d, yyyy") &amp; " - " &amp; TEXT(end_date, "mmm d, yyyy"), HYPERLINK("https://wa.me/" &amp; VLOOKUP(A553, 'Master Roster'!$A:$F, 6, FALSE) &amp; "?text=" &amp; ENCODEURL("Hello " &amp; IFERROR(IF(VLOOKUP(A553, 'Master Roster'!$A:$J, 10, FALSE)="Male", "Mr. ", "Ms. "), "") &amp; B553 &amp; ", payment of K" &amp; F553 &amp; " received for " &amp; period &amp; ". Receipt No: " &amp; N553), "Send Receipt")))</f>
        <v/>
      </c>
    </row>
    <row r="554">
      <c r="A554" s="29"/>
      <c r="B554" s="29" t="s">
        <v>175</v>
      </c>
      <c r="C554" s="76"/>
      <c r="D554" s="29"/>
      <c r="E554" s="29"/>
      <c r="F554" s="29"/>
      <c r="G554" s="29"/>
      <c r="H554" s="29" t="str">
        <f t="shared" si="1"/>
        <v/>
      </c>
      <c r="I554" s="29" t="str">
        <f t="shared" si="2"/>
        <v/>
      </c>
      <c r="J554" s="29" t="str">
        <f>IF(A554="", "", IFERROR(VLOOKUP(A554, 'Master Roster'!A:H, 8, FALSE) - F554, ""))</f>
        <v/>
      </c>
      <c r="K554" s="29" t="s">
        <v>175</v>
      </c>
      <c r="L554" s="29" t="b">
        <v>0</v>
      </c>
      <c r="M554" s="29"/>
      <c r="N554" s="29" t="s">
        <v>175</v>
      </c>
      <c r="O554" s="29" t="str">
        <f>IF(ISBLANK(A554), "", LET(entry_day, VLOOKUP(A554, 'Master Roster'!$A:$G, 7, FALSE), start_date, DATE(E554, MONTH(D554&amp;" 1"), entry_day), end_date, EDATE(start_date, 1), period, TEXT(start_date, "mmm d, yyyy") &amp; " - " &amp; TEXT(end_date, "mmm d, yyyy"), HYPERLINK("https://wa.me/" &amp; VLOOKUP(A554, 'Master Roster'!$A:$F, 6, FALSE) &amp; "?text=" &amp; ENCODEURL("Hello " &amp; IFERROR(IF(VLOOKUP(A554, 'Master Roster'!$A:$J, 10, FALSE)="Male", "Mr. ", "Ms. "), "") &amp; B554 &amp; ", payment of K" &amp; F554 &amp; " received for " &amp; period &amp; ". Receipt No: " &amp; N554), "Send Receipt")))</f>
        <v/>
      </c>
    </row>
    <row r="555">
      <c r="A555" s="29"/>
      <c r="B555" s="29" t="s">
        <v>175</v>
      </c>
      <c r="C555" s="76"/>
      <c r="D555" s="29"/>
      <c r="E555" s="29"/>
      <c r="F555" s="29"/>
      <c r="G555" s="29"/>
      <c r="H555" s="29" t="str">
        <f t="shared" si="1"/>
        <v/>
      </c>
      <c r="I555" s="29" t="str">
        <f t="shared" si="2"/>
        <v/>
      </c>
      <c r="J555" s="29" t="str">
        <f>IF(A555="", "", IFERROR(VLOOKUP(A555, 'Master Roster'!A:H, 8, FALSE) - F555, ""))</f>
        <v/>
      </c>
      <c r="K555" s="29" t="s">
        <v>175</v>
      </c>
      <c r="L555" s="29" t="b">
        <v>0</v>
      </c>
      <c r="M555" s="29"/>
      <c r="N555" s="29" t="s">
        <v>175</v>
      </c>
      <c r="O555" s="29" t="str">
        <f>IF(ISBLANK(A555), "", LET(entry_day, VLOOKUP(A555, 'Master Roster'!$A:$G, 7, FALSE), start_date, DATE(E555, MONTH(D555&amp;" 1"), entry_day), end_date, EDATE(start_date, 1), period, TEXT(start_date, "mmm d, yyyy") &amp; " - " &amp; TEXT(end_date, "mmm d, yyyy"), HYPERLINK("https://wa.me/" &amp; VLOOKUP(A555, 'Master Roster'!$A:$F, 6, FALSE) &amp; "?text=" &amp; ENCODEURL("Hello " &amp; IFERROR(IF(VLOOKUP(A555, 'Master Roster'!$A:$J, 10, FALSE)="Male", "Mr. ", "Ms. "), "") &amp; B555 &amp; ", payment of K" &amp; F555 &amp; " received for " &amp; period &amp; ". Receipt No: " &amp; N555), "Send Receipt")))</f>
        <v/>
      </c>
    </row>
    <row r="556">
      <c r="A556" s="29"/>
      <c r="B556" s="29" t="s">
        <v>175</v>
      </c>
      <c r="C556" s="76"/>
      <c r="D556" s="29"/>
      <c r="E556" s="29"/>
      <c r="F556" s="29"/>
      <c r="G556" s="29"/>
      <c r="H556" s="29" t="str">
        <f t="shared" si="1"/>
        <v/>
      </c>
      <c r="I556" s="29" t="str">
        <f t="shared" si="2"/>
        <v/>
      </c>
      <c r="J556" s="29" t="str">
        <f>IF(A556="", "", IFERROR(VLOOKUP(A556, 'Master Roster'!A:H, 8, FALSE) - F556, ""))</f>
        <v/>
      </c>
      <c r="K556" s="29" t="s">
        <v>175</v>
      </c>
      <c r="L556" s="29" t="b">
        <v>0</v>
      </c>
      <c r="M556" s="29"/>
      <c r="N556" s="29" t="s">
        <v>175</v>
      </c>
      <c r="O556" s="29" t="str">
        <f>IF(ISBLANK(A556), "", LET(entry_day, VLOOKUP(A556, 'Master Roster'!$A:$G, 7, FALSE), start_date, DATE(E556, MONTH(D556&amp;" 1"), entry_day), end_date, EDATE(start_date, 1), period, TEXT(start_date, "mmm d, yyyy") &amp; " - " &amp; TEXT(end_date, "mmm d, yyyy"), HYPERLINK("https://wa.me/" &amp; VLOOKUP(A556, 'Master Roster'!$A:$F, 6, FALSE) &amp; "?text=" &amp; ENCODEURL("Hello " &amp; IFERROR(IF(VLOOKUP(A556, 'Master Roster'!$A:$J, 10, FALSE)="Male", "Mr. ", "Ms. "), "") &amp; B556 &amp; ", payment of K" &amp; F556 &amp; " received for " &amp; period &amp; ". Receipt No: " &amp; N556), "Send Receipt")))</f>
        <v/>
      </c>
    </row>
    <row r="557">
      <c r="A557" s="29"/>
      <c r="B557" s="29" t="s">
        <v>175</v>
      </c>
      <c r="C557" s="76"/>
      <c r="D557" s="29"/>
      <c r="E557" s="29"/>
      <c r="F557" s="29"/>
      <c r="G557" s="29"/>
      <c r="H557" s="29" t="str">
        <f t="shared" si="1"/>
        <v/>
      </c>
      <c r="I557" s="29" t="str">
        <f t="shared" si="2"/>
        <v/>
      </c>
      <c r="J557" s="29" t="str">
        <f>IF(A557="", "", IFERROR(VLOOKUP(A557, 'Master Roster'!A:H, 8, FALSE) - F557, ""))</f>
        <v/>
      </c>
      <c r="K557" s="29" t="s">
        <v>175</v>
      </c>
      <c r="L557" s="29" t="b">
        <v>0</v>
      </c>
      <c r="M557" s="29"/>
      <c r="N557" s="29" t="s">
        <v>175</v>
      </c>
      <c r="O557" s="29" t="str">
        <f>IF(ISBLANK(A557), "", LET(entry_day, VLOOKUP(A557, 'Master Roster'!$A:$G, 7, FALSE), start_date, DATE(E557, MONTH(D557&amp;" 1"), entry_day), end_date, EDATE(start_date, 1), period, TEXT(start_date, "mmm d, yyyy") &amp; " - " &amp; TEXT(end_date, "mmm d, yyyy"), HYPERLINK("https://wa.me/" &amp; VLOOKUP(A557, 'Master Roster'!$A:$F, 6, FALSE) &amp; "?text=" &amp; ENCODEURL("Hello " &amp; IFERROR(IF(VLOOKUP(A557, 'Master Roster'!$A:$J, 10, FALSE)="Male", "Mr. ", "Ms. "), "") &amp; B557 &amp; ", payment of K" &amp; F557 &amp; " received for " &amp; period &amp; ". Receipt No: " &amp; N557), "Send Receipt")))</f>
        <v/>
      </c>
    </row>
    <row r="558">
      <c r="A558" s="29"/>
      <c r="B558" s="29" t="s">
        <v>175</v>
      </c>
      <c r="C558" s="76"/>
      <c r="D558" s="29"/>
      <c r="E558" s="29"/>
      <c r="F558" s="29"/>
      <c r="G558" s="29"/>
      <c r="H558" s="29" t="str">
        <f t="shared" si="1"/>
        <v/>
      </c>
      <c r="I558" s="29" t="str">
        <f t="shared" si="2"/>
        <v/>
      </c>
      <c r="J558" s="29" t="str">
        <f>IF(A558="", "", IFERROR(VLOOKUP(A558, 'Master Roster'!A:H, 8, FALSE) - F558, ""))</f>
        <v/>
      </c>
      <c r="K558" s="29" t="s">
        <v>175</v>
      </c>
      <c r="L558" s="29" t="b">
        <v>0</v>
      </c>
      <c r="M558" s="29"/>
      <c r="N558" s="29" t="s">
        <v>175</v>
      </c>
      <c r="O558" s="29" t="str">
        <f>IF(ISBLANK(A558), "", LET(entry_day, VLOOKUP(A558, 'Master Roster'!$A:$G, 7, FALSE), start_date, DATE(E558, MONTH(D558&amp;" 1"), entry_day), end_date, EDATE(start_date, 1), period, TEXT(start_date, "mmm d, yyyy") &amp; " - " &amp; TEXT(end_date, "mmm d, yyyy"), HYPERLINK("https://wa.me/" &amp; VLOOKUP(A558, 'Master Roster'!$A:$F, 6, FALSE) &amp; "?text=" &amp; ENCODEURL("Hello " &amp; IFERROR(IF(VLOOKUP(A558, 'Master Roster'!$A:$J, 10, FALSE)="Male", "Mr. ", "Ms. "), "") &amp; B558 &amp; ", payment of K" &amp; F558 &amp; " received for " &amp; period &amp; ". Receipt No: " &amp; N558), "Send Receipt")))</f>
        <v/>
      </c>
    </row>
    <row r="559">
      <c r="A559" s="29"/>
      <c r="B559" s="29" t="s">
        <v>175</v>
      </c>
      <c r="C559" s="76"/>
      <c r="D559" s="29"/>
      <c r="E559" s="29"/>
      <c r="F559" s="29"/>
      <c r="G559" s="29"/>
      <c r="H559" s="29" t="str">
        <f t="shared" si="1"/>
        <v/>
      </c>
      <c r="I559" s="29" t="str">
        <f t="shared" si="2"/>
        <v/>
      </c>
      <c r="J559" s="29" t="str">
        <f>IF(A559="", "", IFERROR(VLOOKUP(A559, 'Master Roster'!A:H, 8, FALSE) - F559, ""))</f>
        <v/>
      </c>
      <c r="K559" s="29" t="s">
        <v>175</v>
      </c>
      <c r="L559" s="29" t="b">
        <v>0</v>
      </c>
      <c r="M559" s="29"/>
      <c r="N559" s="29" t="s">
        <v>175</v>
      </c>
      <c r="O559" s="29" t="str">
        <f>IF(ISBLANK(A559), "", LET(entry_day, VLOOKUP(A559, 'Master Roster'!$A:$G, 7, FALSE), start_date, DATE(E559, MONTH(D559&amp;" 1"), entry_day), end_date, EDATE(start_date, 1), period, TEXT(start_date, "mmm d, yyyy") &amp; " - " &amp; TEXT(end_date, "mmm d, yyyy"), HYPERLINK("https://wa.me/" &amp; VLOOKUP(A559, 'Master Roster'!$A:$F, 6, FALSE) &amp; "?text=" &amp; ENCODEURL("Hello " &amp; IFERROR(IF(VLOOKUP(A559, 'Master Roster'!$A:$J, 10, FALSE)="Male", "Mr. ", "Ms. "), "") &amp; B559 &amp; ", payment of K" &amp; F559 &amp; " received for " &amp; period &amp; ". Receipt No: " &amp; N559), "Send Receipt")))</f>
        <v/>
      </c>
    </row>
    <row r="560">
      <c r="A560" s="29"/>
      <c r="B560" s="29" t="s">
        <v>175</v>
      </c>
      <c r="C560" s="76"/>
      <c r="D560" s="29"/>
      <c r="E560" s="29"/>
      <c r="F560" s="29"/>
      <c r="G560" s="29"/>
      <c r="H560" s="29" t="str">
        <f t="shared" si="1"/>
        <v/>
      </c>
      <c r="I560" s="29" t="str">
        <f t="shared" si="2"/>
        <v/>
      </c>
      <c r="J560" s="29" t="str">
        <f>IF(A560="", "", IFERROR(VLOOKUP(A560, 'Master Roster'!A:H, 8, FALSE) - F560, ""))</f>
        <v/>
      </c>
      <c r="K560" s="29" t="s">
        <v>175</v>
      </c>
      <c r="L560" s="29" t="b">
        <v>0</v>
      </c>
      <c r="M560" s="29"/>
      <c r="N560" s="29" t="s">
        <v>175</v>
      </c>
      <c r="O560" s="29" t="str">
        <f>IF(ISBLANK(A560), "", LET(entry_day, VLOOKUP(A560, 'Master Roster'!$A:$G, 7, FALSE), start_date, DATE(E560, MONTH(D560&amp;" 1"), entry_day), end_date, EDATE(start_date, 1), period, TEXT(start_date, "mmm d, yyyy") &amp; " - " &amp; TEXT(end_date, "mmm d, yyyy"), HYPERLINK("https://wa.me/" &amp; VLOOKUP(A560, 'Master Roster'!$A:$F, 6, FALSE) &amp; "?text=" &amp; ENCODEURL("Hello " &amp; IFERROR(IF(VLOOKUP(A560, 'Master Roster'!$A:$J, 10, FALSE)="Male", "Mr. ", "Ms. "), "") &amp; B560 &amp; ", payment of K" &amp; F560 &amp; " received for " &amp; period &amp; ". Receipt No: " &amp; N560), "Send Receipt")))</f>
        <v/>
      </c>
    </row>
    <row r="561">
      <c r="A561" s="29"/>
      <c r="B561" s="29" t="s">
        <v>175</v>
      </c>
      <c r="C561" s="76"/>
      <c r="D561" s="29"/>
      <c r="E561" s="29"/>
      <c r="F561" s="29"/>
      <c r="G561" s="29"/>
      <c r="H561" s="29" t="str">
        <f t="shared" si="1"/>
        <v/>
      </c>
      <c r="I561" s="29" t="str">
        <f t="shared" si="2"/>
        <v/>
      </c>
      <c r="J561" s="29" t="str">
        <f>IF(A561="", "", IFERROR(VLOOKUP(A561, 'Master Roster'!A:H, 8, FALSE) - F561, ""))</f>
        <v/>
      </c>
      <c r="K561" s="29" t="s">
        <v>175</v>
      </c>
      <c r="L561" s="29" t="b">
        <v>0</v>
      </c>
      <c r="M561" s="29"/>
      <c r="N561" s="29" t="s">
        <v>175</v>
      </c>
      <c r="O561" s="29" t="str">
        <f>IF(ISBLANK(A561), "", LET(entry_day, VLOOKUP(A561, 'Master Roster'!$A:$G, 7, FALSE), start_date, DATE(E561, MONTH(D561&amp;" 1"), entry_day), end_date, EDATE(start_date, 1), period, TEXT(start_date, "mmm d, yyyy") &amp; " - " &amp; TEXT(end_date, "mmm d, yyyy"), HYPERLINK("https://wa.me/" &amp; VLOOKUP(A561, 'Master Roster'!$A:$F, 6, FALSE) &amp; "?text=" &amp; ENCODEURL("Hello " &amp; IFERROR(IF(VLOOKUP(A561, 'Master Roster'!$A:$J, 10, FALSE)="Male", "Mr. ", "Ms. "), "") &amp; B561 &amp; ", payment of K" &amp; F561 &amp; " received for " &amp; period &amp; ". Receipt No: " &amp; N561), "Send Receipt")))</f>
        <v/>
      </c>
    </row>
    <row r="562">
      <c r="A562" s="29"/>
      <c r="B562" s="29" t="s">
        <v>175</v>
      </c>
      <c r="C562" s="76"/>
      <c r="D562" s="29"/>
      <c r="E562" s="29"/>
      <c r="F562" s="29"/>
      <c r="G562" s="29"/>
      <c r="H562" s="29" t="str">
        <f t="shared" si="1"/>
        <v/>
      </c>
      <c r="I562" s="29" t="str">
        <f t="shared" si="2"/>
        <v/>
      </c>
      <c r="J562" s="29" t="str">
        <f>IF(A562="", "", IFERROR(VLOOKUP(A562, 'Master Roster'!A:H, 8, FALSE) - F562, ""))</f>
        <v/>
      </c>
      <c r="K562" s="29" t="s">
        <v>175</v>
      </c>
      <c r="L562" s="29" t="b">
        <v>0</v>
      </c>
      <c r="M562" s="29"/>
      <c r="N562" s="29" t="s">
        <v>175</v>
      </c>
      <c r="O562" s="29" t="str">
        <f>IF(ISBLANK(A562), "", LET(entry_day, VLOOKUP(A562, 'Master Roster'!$A:$G, 7, FALSE), start_date, DATE(E562, MONTH(D562&amp;" 1"), entry_day), end_date, EDATE(start_date, 1), period, TEXT(start_date, "mmm d, yyyy") &amp; " - " &amp; TEXT(end_date, "mmm d, yyyy"), HYPERLINK("https://wa.me/" &amp; VLOOKUP(A562, 'Master Roster'!$A:$F, 6, FALSE) &amp; "?text=" &amp; ENCODEURL("Hello " &amp; IFERROR(IF(VLOOKUP(A562, 'Master Roster'!$A:$J, 10, FALSE)="Male", "Mr. ", "Ms. "), "") &amp; B562 &amp; ", payment of K" &amp; F562 &amp; " received for " &amp; period &amp; ". Receipt No: " &amp; N562), "Send Receipt")))</f>
        <v/>
      </c>
    </row>
    <row r="563">
      <c r="A563" s="29"/>
      <c r="B563" s="29" t="s">
        <v>175</v>
      </c>
      <c r="C563" s="76"/>
      <c r="D563" s="29"/>
      <c r="E563" s="29"/>
      <c r="F563" s="29"/>
      <c r="G563" s="29"/>
      <c r="H563" s="29" t="str">
        <f t="shared" si="1"/>
        <v/>
      </c>
      <c r="I563" s="29" t="str">
        <f t="shared" si="2"/>
        <v/>
      </c>
      <c r="J563" s="29" t="str">
        <f>IF(A563="", "", IFERROR(VLOOKUP(A563, 'Master Roster'!A:H, 8, FALSE) - F563, ""))</f>
        <v/>
      </c>
      <c r="K563" s="29" t="s">
        <v>175</v>
      </c>
      <c r="L563" s="29" t="b">
        <v>0</v>
      </c>
      <c r="M563" s="29"/>
      <c r="N563" s="29" t="s">
        <v>175</v>
      </c>
      <c r="O563" s="29" t="str">
        <f>IF(ISBLANK(A563), "", LET(entry_day, VLOOKUP(A563, 'Master Roster'!$A:$G, 7, FALSE), start_date, DATE(E563, MONTH(D563&amp;" 1"), entry_day), end_date, EDATE(start_date, 1), period, TEXT(start_date, "mmm d, yyyy") &amp; " - " &amp; TEXT(end_date, "mmm d, yyyy"), HYPERLINK("https://wa.me/" &amp; VLOOKUP(A563, 'Master Roster'!$A:$F, 6, FALSE) &amp; "?text=" &amp; ENCODEURL("Hello " &amp; IFERROR(IF(VLOOKUP(A563, 'Master Roster'!$A:$J, 10, FALSE)="Male", "Mr. ", "Ms. "), "") &amp; B563 &amp; ", payment of K" &amp; F563 &amp; " received for " &amp; period &amp; ". Receipt No: " &amp; N563), "Send Receipt")))</f>
        <v/>
      </c>
    </row>
    <row r="564">
      <c r="A564" s="29"/>
      <c r="B564" s="29" t="s">
        <v>175</v>
      </c>
      <c r="C564" s="76"/>
      <c r="D564" s="29"/>
      <c r="E564" s="29"/>
      <c r="F564" s="29"/>
      <c r="G564" s="29"/>
      <c r="H564" s="29" t="str">
        <f t="shared" si="1"/>
        <v/>
      </c>
      <c r="I564" s="29" t="str">
        <f t="shared" si="2"/>
        <v/>
      </c>
      <c r="J564" s="29" t="str">
        <f>IF(A564="", "", IFERROR(VLOOKUP(A564, 'Master Roster'!A:H, 8, FALSE) - F564, ""))</f>
        <v/>
      </c>
      <c r="K564" s="29" t="s">
        <v>175</v>
      </c>
      <c r="L564" s="29" t="b">
        <v>0</v>
      </c>
      <c r="M564" s="29"/>
      <c r="N564" s="29" t="s">
        <v>175</v>
      </c>
      <c r="O564" s="29" t="str">
        <f>IF(ISBLANK(A564), "", LET(entry_day, VLOOKUP(A564, 'Master Roster'!$A:$G, 7, FALSE), start_date, DATE(E564, MONTH(D564&amp;" 1"), entry_day), end_date, EDATE(start_date, 1), period, TEXT(start_date, "mmm d, yyyy") &amp; " - " &amp; TEXT(end_date, "mmm d, yyyy"), HYPERLINK("https://wa.me/" &amp; VLOOKUP(A564, 'Master Roster'!$A:$F, 6, FALSE) &amp; "?text=" &amp; ENCODEURL("Hello " &amp; IFERROR(IF(VLOOKUP(A564, 'Master Roster'!$A:$J, 10, FALSE)="Male", "Mr. ", "Ms. "), "") &amp; B564 &amp; ", payment of K" &amp; F564 &amp; " received for " &amp; period &amp; ". Receipt No: " &amp; N564), "Send Receipt")))</f>
        <v/>
      </c>
    </row>
    <row r="565">
      <c r="A565" s="29"/>
      <c r="B565" s="29" t="s">
        <v>175</v>
      </c>
      <c r="C565" s="76"/>
      <c r="D565" s="29"/>
      <c r="E565" s="29"/>
      <c r="F565" s="29"/>
      <c r="G565" s="29"/>
      <c r="H565" s="29" t="str">
        <f t="shared" si="1"/>
        <v/>
      </c>
      <c r="I565" s="29" t="str">
        <f t="shared" si="2"/>
        <v/>
      </c>
      <c r="J565" s="29" t="str">
        <f>IF(A565="", "", IFERROR(VLOOKUP(A565, 'Master Roster'!A:H, 8, FALSE) - F565, ""))</f>
        <v/>
      </c>
      <c r="K565" s="29" t="s">
        <v>175</v>
      </c>
      <c r="L565" s="29" t="b">
        <v>0</v>
      </c>
      <c r="M565" s="29"/>
      <c r="N565" s="29" t="s">
        <v>175</v>
      </c>
      <c r="O565" s="29" t="str">
        <f>IF(ISBLANK(A565), "", LET(entry_day, VLOOKUP(A565, 'Master Roster'!$A:$G, 7, FALSE), start_date, DATE(E565, MONTH(D565&amp;" 1"), entry_day), end_date, EDATE(start_date, 1), period, TEXT(start_date, "mmm d, yyyy") &amp; " - " &amp; TEXT(end_date, "mmm d, yyyy"), HYPERLINK("https://wa.me/" &amp; VLOOKUP(A565, 'Master Roster'!$A:$F, 6, FALSE) &amp; "?text=" &amp; ENCODEURL("Hello " &amp; IFERROR(IF(VLOOKUP(A565, 'Master Roster'!$A:$J, 10, FALSE)="Male", "Mr. ", "Ms. "), "") &amp; B565 &amp; ", payment of K" &amp; F565 &amp; " received for " &amp; period &amp; ". Receipt No: " &amp; N565), "Send Receipt")))</f>
        <v/>
      </c>
    </row>
    <row r="566">
      <c r="A566" s="29"/>
      <c r="B566" s="29" t="s">
        <v>175</v>
      </c>
      <c r="C566" s="76"/>
      <c r="D566" s="29"/>
      <c r="E566" s="29"/>
      <c r="F566" s="29"/>
      <c r="G566" s="29"/>
      <c r="H566" s="29" t="str">
        <f t="shared" si="1"/>
        <v/>
      </c>
      <c r="I566" s="29" t="str">
        <f t="shared" si="2"/>
        <v/>
      </c>
      <c r="J566" s="29" t="str">
        <f>IF(A566="", "", IFERROR(VLOOKUP(A566, 'Master Roster'!A:H, 8, FALSE) - F566, ""))</f>
        <v/>
      </c>
      <c r="K566" s="29" t="s">
        <v>175</v>
      </c>
      <c r="L566" s="29" t="b">
        <v>0</v>
      </c>
      <c r="M566" s="29"/>
      <c r="N566" s="29" t="s">
        <v>175</v>
      </c>
      <c r="O566" s="29" t="str">
        <f>IF(ISBLANK(A566), "", LET(entry_day, VLOOKUP(A566, 'Master Roster'!$A:$G, 7, FALSE), start_date, DATE(E566, MONTH(D566&amp;" 1"), entry_day), end_date, EDATE(start_date, 1), period, TEXT(start_date, "mmm d, yyyy") &amp; " - " &amp; TEXT(end_date, "mmm d, yyyy"), HYPERLINK("https://wa.me/" &amp; VLOOKUP(A566, 'Master Roster'!$A:$F, 6, FALSE) &amp; "?text=" &amp; ENCODEURL("Hello " &amp; IFERROR(IF(VLOOKUP(A566, 'Master Roster'!$A:$J, 10, FALSE)="Male", "Mr. ", "Ms. "), "") &amp; B566 &amp; ", payment of K" &amp; F566 &amp; " received for " &amp; period &amp; ". Receipt No: " &amp; N566), "Send Receipt")))</f>
        <v/>
      </c>
    </row>
    <row r="567">
      <c r="A567" s="29"/>
      <c r="B567" s="29" t="s">
        <v>175</v>
      </c>
      <c r="C567" s="76"/>
      <c r="D567" s="29"/>
      <c r="E567" s="29"/>
      <c r="F567" s="29"/>
      <c r="G567" s="29"/>
      <c r="H567" s="29" t="str">
        <f t="shared" si="1"/>
        <v/>
      </c>
      <c r="I567" s="29" t="str">
        <f t="shared" si="2"/>
        <v/>
      </c>
      <c r="J567" s="29" t="str">
        <f>IF(A567="", "", IFERROR(VLOOKUP(A567, 'Master Roster'!A:H, 8, FALSE) - F567, ""))</f>
        <v/>
      </c>
      <c r="K567" s="29" t="s">
        <v>175</v>
      </c>
      <c r="L567" s="29" t="b">
        <v>0</v>
      </c>
      <c r="M567" s="29"/>
      <c r="N567" s="29" t="s">
        <v>175</v>
      </c>
      <c r="O567" s="29" t="str">
        <f>IF(ISBLANK(A567), "", LET(entry_day, VLOOKUP(A567, 'Master Roster'!$A:$G, 7, FALSE), start_date, DATE(E567, MONTH(D567&amp;" 1"), entry_day), end_date, EDATE(start_date, 1), period, TEXT(start_date, "mmm d, yyyy") &amp; " - " &amp; TEXT(end_date, "mmm d, yyyy"), HYPERLINK("https://wa.me/" &amp; VLOOKUP(A567, 'Master Roster'!$A:$F, 6, FALSE) &amp; "?text=" &amp; ENCODEURL("Hello " &amp; IFERROR(IF(VLOOKUP(A567, 'Master Roster'!$A:$J, 10, FALSE)="Male", "Mr. ", "Ms. "), "") &amp; B567 &amp; ", payment of K" &amp; F567 &amp; " received for " &amp; period &amp; ". Receipt No: " &amp; N567), "Send Receipt")))</f>
        <v/>
      </c>
    </row>
    <row r="568">
      <c r="A568" s="29"/>
      <c r="B568" s="29" t="s">
        <v>175</v>
      </c>
      <c r="C568" s="76"/>
      <c r="D568" s="29"/>
      <c r="E568" s="29"/>
      <c r="F568" s="29"/>
      <c r="G568" s="29"/>
      <c r="H568" s="29" t="str">
        <f t="shared" si="1"/>
        <v/>
      </c>
      <c r="I568" s="29" t="str">
        <f t="shared" si="2"/>
        <v/>
      </c>
      <c r="J568" s="29" t="str">
        <f>IF(A568="", "", IFERROR(VLOOKUP(A568, 'Master Roster'!A:H, 8, FALSE) - F568, ""))</f>
        <v/>
      </c>
      <c r="K568" s="29" t="s">
        <v>175</v>
      </c>
      <c r="L568" s="29" t="b">
        <v>0</v>
      </c>
      <c r="M568" s="29"/>
      <c r="N568" s="29" t="s">
        <v>175</v>
      </c>
      <c r="O568" s="29" t="str">
        <f>IF(ISBLANK(A568), "", LET(entry_day, VLOOKUP(A568, 'Master Roster'!$A:$G, 7, FALSE), start_date, DATE(E568, MONTH(D568&amp;" 1"), entry_day), end_date, EDATE(start_date, 1), period, TEXT(start_date, "mmm d, yyyy") &amp; " - " &amp; TEXT(end_date, "mmm d, yyyy"), HYPERLINK("https://wa.me/" &amp; VLOOKUP(A568, 'Master Roster'!$A:$F, 6, FALSE) &amp; "?text=" &amp; ENCODEURL("Hello " &amp; IFERROR(IF(VLOOKUP(A568, 'Master Roster'!$A:$J, 10, FALSE)="Male", "Mr. ", "Ms. "), "") &amp; B568 &amp; ", payment of K" &amp; F568 &amp; " received for " &amp; period &amp; ". Receipt No: " &amp; N568), "Send Receipt")))</f>
        <v/>
      </c>
    </row>
    <row r="569">
      <c r="A569" s="29"/>
      <c r="B569" s="29" t="s">
        <v>175</v>
      </c>
      <c r="C569" s="76"/>
      <c r="D569" s="29"/>
      <c r="E569" s="29"/>
      <c r="F569" s="29"/>
      <c r="G569" s="29"/>
      <c r="H569" s="29" t="str">
        <f t="shared" si="1"/>
        <v/>
      </c>
      <c r="I569" s="29" t="str">
        <f t="shared" si="2"/>
        <v/>
      </c>
      <c r="J569" s="29" t="str">
        <f>IF(A569="", "", IFERROR(VLOOKUP(A569, 'Master Roster'!A:H, 8, FALSE) - F569, ""))</f>
        <v/>
      </c>
      <c r="K569" s="29" t="s">
        <v>175</v>
      </c>
      <c r="L569" s="29" t="b">
        <v>0</v>
      </c>
      <c r="M569" s="29"/>
      <c r="N569" s="29" t="s">
        <v>175</v>
      </c>
      <c r="O569" s="29" t="str">
        <f>IF(ISBLANK(A569), "", LET(entry_day, VLOOKUP(A569, 'Master Roster'!$A:$G, 7, FALSE), start_date, DATE(E569, MONTH(D569&amp;" 1"), entry_day), end_date, EDATE(start_date, 1), period, TEXT(start_date, "mmm d, yyyy") &amp; " - " &amp; TEXT(end_date, "mmm d, yyyy"), HYPERLINK("https://wa.me/" &amp; VLOOKUP(A569, 'Master Roster'!$A:$F, 6, FALSE) &amp; "?text=" &amp; ENCODEURL("Hello " &amp; IFERROR(IF(VLOOKUP(A569, 'Master Roster'!$A:$J, 10, FALSE)="Male", "Mr. ", "Ms. "), "") &amp; B569 &amp; ", payment of K" &amp; F569 &amp; " received for " &amp; period &amp; ". Receipt No: " &amp; N569), "Send Receipt")))</f>
        <v/>
      </c>
    </row>
    <row r="570">
      <c r="A570" s="29"/>
      <c r="B570" s="29" t="s">
        <v>175</v>
      </c>
      <c r="C570" s="76"/>
      <c r="D570" s="29"/>
      <c r="E570" s="29"/>
      <c r="F570" s="29"/>
      <c r="G570" s="29"/>
      <c r="H570" s="29" t="str">
        <f t="shared" si="1"/>
        <v/>
      </c>
      <c r="I570" s="29" t="str">
        <f t="shared" si="2"/>
        <v/>
      </c>
      <c r="J570" s="29" t="str">
        <f>IF(A570="", "", IFERROR(VLOOKUP(A570, 'Master Roster'!A:H, 8, FALSE) - F570, ""))</f>
        <v/>
      </c>
      <c r="K570" s="29" t="s">
        <v>175</v>
      </c>
      <c r="L570" s="29" t="b">
        <v>0</v>
      </c>
      <c r="M570" s="29"/>
      <c r="N570" s="29" t="s">
        <v>175</v>
      </c>
      <c r="O570" s="29" t="str">
        <f>IF(ISBLANK(A570), "", LET(entry_day, VLOOKUP(A570, 'Master Roster'!$A:$G, 7, FALSE), start_date, DATE(E570, MONTH(D570&amp;" 1"), entry_day), end_date, EDATE(start_date, 1), period, TEXT(start_date, "mmm d, yyyy") &amp; " - " &amp; TEXT(end_date, "mmm d, yyyy"), HYPERLINK("https://wa.me/" &amp; VLOOKUP(A570, 'Master Roster'!$A:$F, 6, FALSE) &amp; "?text=" &amp; ENCODEURL("Hello " &amp; IFERROR(IF(VLOOKUP(A570, 'Master Roster'!$A:$J, 10, FALSE)="Male", "Mr. ", "Ms. "), "") &amp; B570 &amp; ", payment of K" &amp; F570 &amp; " received for " &amp; period &amp; ". Receipt No: " &amp; N570), "Send Receipt")))</f>
        <v/>
      </c>
    </row>
    <row r="571">
      <c r="A571" s="29"/>
      <c r="B571" s="29" t="s">
        <v>175</v>
      </c>
      <c r="C571" s="76"/>
      <c r="D571" s="29"/>
      <c r="E571" s="29"/>
      <c r="F571" s="29"/>
      <c r="G571" s="29"/>
      <c r="H571" s="29" t="str">
        <f t="shared" si="1"/>
        <v/>
      </c>
      <c r="I571" s="29" t="str">
        <f t="shared" si="2"/>
        <v/>
      </c>
      <c r="J571" s="29" t="str">
        <f>IF(A571="", "", IFERROR(VLOOKUP(A571, 'Master Roster'!A:H, 8, FALSE) - F571, ""))</f>
        <v/>
      </c>
      <c r="K571" s="29" t="s">
        <v>175</v>
      </c>
      <c r="L571" s="29" t="b">
        <v>0</v>
      </c>
      <c r="M571" s="29"/>
      <c r="N571" s="29" t="s">
        <v>175</v>
      </c>
      <c r="O571" s="29" t="str">
        <f>IF(ISBLANK(A571), "", LET(entry_day, VLOOKUP(A571, 'Master Roster'!$A:$G, 7, FALSE), start_date, DATE(E571, MONTH(D571&amp;" 1"), entry_day), end_date, EDATE(start_date, 1), period, TEXT(start_date, "mmm d, yyyy") &amp; " - " &amp; TEXT(end_date, "mmm d, yyyy"), HYPERLINK("https://wa.me/" &amp; VLOOKUP(A571, 'Master Roster'!$A:$F, 6, FALSE) &amp; "?text=" &amp; ENCODEURL("Hello " &amp; IFERROR(IF(VLOOKUP(A571, 'Master Roster'!$A:$J, 10, FALSE)="Male", "Mr. ", "Ms. "), "") &amp; B571 &amp; ", payment of K" &amp; F571 &amp; " received for " &amp; period &amp; ". Receipt No: " &amp; N571), "Send Receipt")))</f>
        <v/>
      </c>
    </row>
    <row r="572">
      <c r="A572" s="29"/>
      <c r="B572" s="29" t="s">
        <v>175</v>
      </c>
      <c r="C572" s="76"/>
      <c r="D572" s="29"/>
      <c r="E572" s="29"/>
      <c r="F572" s="29"/>
      <c r="G572" s="29"/>
      <c r="H572" s="29" t="str">
        <f t="shared" si="1"/>
        <v/>
      </c>
      <c r="I572" s="29" t="str">
        <f t="shared" si="2"/>
        <v/>
      </c>
      <c r="J572" s="29" t="str">
        <f>IF(A572="", "", IFERROR(VLOOKUP(A572, 'Master Roster'!A:H, 8, FALSE) - F572, ""))</f>
        <v/>
      </c>
      <c r="K572" s="29" t="s">
        <v>175</v>
      </c>
      <c r="L572" s="29" t="b">
        <v>0</v>
      </c>
      <c r="M572" s="29"/>
      <c r="N572" s="29" t="s">
        <v>175</v>
      </c>
      <c r="O572" s="29" t="str">
        <f>IF(ISBLANK(A572), "", LET(entry_day, VLOOKUP(A572, 'Master Roster'!$A:$G, 7, FALSE), start_date, DATE(E572, MONTH(D572&amp;" 1"), entry_day), end_date, EDATE(start_date, 1), period, TEXT(start_date, "mmm d, yyyy") &amp; " - " &amp; TEXT(end_date, "mmm d, yyyy"), HYPERLINK("https://wa.me/" &amp; VLOOKUP(A572, 'Master Roster'!$A:$F, 6, FALSE) &amp; "?text=" &amp; ENCODEURL("Hello " &amp; IFERROR(IF(VLOOKUP(A572, 'Master Roster'!$A:$J, 10, FALSE)="Male", "Mr. ", "Ms. "), "") &amp; B572 &amp; ", payment of K" &amp; F572 &amp; " received for " &amp; period &amp; ". Receipt No: " &amp; N572), "Send Receipt")))</f>
        <v/>
      </c>
    </row>
    <row r="573">
      <c r="A573" s="29"/>
      <c r="B573" s="29" t="s">
        <v>175</v>
      </c>
      <c r="C573" s="76"/>
      <c r="D573" s="29"/>
      <c r="E573" s="29"/>
      <c r="F573" s="29"/>
      <c r="G573" s="29"/>
      <c r="H573" s="29" t="str">
        <f t="shared" si="1"/>
        <v/>
      </c>
      <c r="I573" s="29" t="str">
        <f t="shared" si="2"/>
        <v/>
      </c>
      <c r="J573" s="29" t="str">
        <f>IF(A573="", "", IFERROR(VLOOKUP(A573, 'Master Roster'!A:H, 8, FALSE) - F573, ""))</f>
        <v/>
      </c>
      <c r="K573" s="29" t="s">
        <v>175</v>
      </c>
      <c r="L573" s="29" t="b">
        <v>0</v>
      </c>
      <c r="M573" s="29"/>
      <c r="N573" s="29" t="s">
        <v>175</v>
      </c>
      <c r="O573" s="29" t="str">
        <f>IF(ISBLANK(A573), "", LET(entry_day, VLOOKUP(A573, 'Master Roster'!$A:$G, 7, FALSE), start_date, DATE(E573, MONTH(D573&amp;" 1"), entry_day), end_date, EDATE(start_date, 1), period, TEXT(start_date, "mmm d, yyyy") &amp; " - " &amp; TEXT(end_date, "mmm d, yyyy"), HYPERLINK("https://wa.me/" &amp; VLOOKUP(A573, 'Master Roster'!$A:$F, 6, FALSE) &amp; "?text=" &amp; ENCODEURL("Hello " &amp; IFERROR(IF(VLOOKUP(A573, 'Master Roster'!$A:$J, 10, FALSE)="Male", "Mr. ", "Ms. "), "") &amp; B573 &amp; ", payment of K" &amp; F573 &amp; " received for " &amp; period &amp; ". Receipt No: " &amp; N573), "Send Receipt")))</f>
        <v/>
      </c>
    </row>
    <row r="574">
      <c r="A574" s="29"/>
      <c r="B574" s="29" t="s">
        <v>175</v>
      </c>
      <c r="C574" s="76"/>
      <c r="D574" s="29"/>
      <c r="E574" s="29"/>
      <c r="F574" s="29"/>
      <c r="G574" s="29"/>
      <c r="H574" s="29" t="str">
        <f t="shared" si="1"/>
        <v/>
      </c>
      <c r="I574" s="29" t="str">
        <f t="shared" si="2"/>
        <v/>
      </c>
      <c r="J574" s="29" t="str">
        <f>IF(A574="", "", IFERROR(VLOOKUP(A574, 'Master Roster'!A:H, 8, FALSE) - F574, ""))</f>
        <v/>
      </c>
      <c r="K574" s="29" t="s">
        <v>175</v>
      </c>
      <c r="L574" s="29" t="b">
        <v>0</v>
      </c>
      <c r="M574" s="29"/>
      <c r="N574" s="29" t="s">
        <v>175</v>
      </c>
      <c r="O574" s="29" t="str">
        <f>IF(ISBLANK(A574), "", LET(entry_day, VLOOKUP(A574, 'Master Roster'!$A:$G, 7, FALSE), start_date, DATE(E574, MONTH(D574&amp;" 1"), entry_day), end_date, EDATE(start_date, 1), period, TEXT(start_date, "mmm d, yyyy") &amp; " - " &amp; TEXT(end_date, "mmm d, yyyy"), HYPERLINK("https://wa.me/" &amp; VLOOKUP(A574, 'Master Roster'!$A:$F, 6, FALSE) &amp; "?text=" &amp; ENCODEURL("Hello " &amp; IFERROR(IF(VLOOKUP(A574, 'Master Roster'!$A:$J, 10, FALSE)="Male", "Mr. ", "Ms. "), "") &amp; B574 &amp; ", payment of K" &amp; F574 &amp; " received for " &amp; period &amp; ". Receipt No: " &amp; N574), "Send Receipt")))</f>
        <v/>
      </c>
    </row>
    <row r="575">
      <c r="A575" s="29"/>
      <c r="B575" s="29" t="s">
        <v>175</v>
      </c>
      <c r="C575" s="76"/>
      <c r="D575" s="29"/>
      <c r="E575" s="29"/>
      <c r="F575" s="29"/>
      <c r="G575" s="29"/>
      <c r="H575" s="29" t="str">
        <f t="shared" si="1"/>
        <v/>
      </c>
      <c r="I575" s="29" t="str">
        <f t="shared" si="2"/>
        <v/>
      </c>
      <c r="J575" s="29" t="str">
        <f>IF(A575="", "", IFERROR(VLOOKUP(A575, 'Master Roster'!A:H, 8, FALSE) - F575, ""))</f>
        <v/>
      </c>
      <c r="K575" s="29" t="s">
        <v>175</v>
      </c>
      <c r="L575" s="29" t="b">
        <v>0</v>
      </c>
      <c r="M575" s="29"/>
      <c r="N575" s="29" t="s">
        <v>175</v>
      </c>
      <c r="O575" s="29" t="str">
        <f>IF(ISBLANK(A575), "", LET(entry_day, VLOOKUP(A575, 'Master Roster'!$A:$G, 7, FALSE), start_date, DATE(E575, MONTH(D575&amp;" 1"), entry_day), end_date, EDATE(start_date, 1), period, TEXT(start_date, "mmm d, yyyy") &amp; " - " &amp; TEXT(end_date, "mmm d, yyyy"), HYPERLINK("https://wa.me/" &amp; VLOOKUP(A575, 'Master Roster'!$A:$F, 6, FALSE) &amp; "?text=" &amp; ENCODEURL("Hello " &amp; IFERROR(IF(VLOOKUP(A575, 'Master Roster'!$A:$J, 10, FALSE)="Male", "Mr. ", "Ms. "), "") &amp; B575 &amp; ", payment of K" &amp; F575 &amp; " received for " &amp; period &amp; ". Receipt No: " &amp; N575), "Send Receipt")))</f>
        <v/>
      </c>
    </row>
    <row r="576">
      <c r="A576" s="29"/>
      <c r="B576" s="29" t="s">
        <v>175</v>
      </c>
      <c r="C576" s="76"/>
      <c r="D576" s="29"/>
      <c r="E576" s="29"/>
      <c r="F576" s="29"/>
      <c r="G576" s="29"/>
      <c r="H576" s="29" t="str">
        <f t="shared" si="1"/>
        <v/>
      </c>
      <c r="I576" s="29" t="str">
        <f t="shared" si="2"/>
        <v/>
      </c>
      <c r="J576" s="29" t="str">
        <f>IF(A576="", "", IFERROR(VLOOKUP(A576, 'Master Roster'!A:H, 8, FALSE) - F576, ""))</f>
        <v/>
      </c>
      <c r="K576" s="29" t="s">
        <v>175</v>
      </c>
      <c r="L576" s="29" t="b">
        <v>0</v>
      </c>
      <c r="M576" s="29"/>
      <c r="N576" s="29" t="s">
        <v>175</v>
      </c>
      <c r="O576" s="29" t="str">
        <f>IF(ISBLANK(A576), "", LET(entry_day, VLOOKUP(A576, 'Master Roster'!$A:$G, 7, FALSE), start_date, DATE(E576, MONTH(D576&amp;" 1"), entry_day), end_date, EDATE(start_date, 1), period, TEXT(start_date, "mmm d, yyyy") &amp; " - " &amp; TEXT(end_date, "mmm d, yyyy"), HYPERLINK("https://wa.me/" &amp; VLOOKUP(A576, 'Master Roster'!$A:$F, 6, FALSE) &amp; "?text=" &amp; ENCODEURL("Hello " &amp; IFERROR(IF(VLOOKUP(A576, 'Master Roster'!$A:$J, 10, FALSE)="Male", "Mr. ", "Ms. "), "") &amp; B576 &amp; ", payment of K" &amp; F576 &amp; " received for " &amp; period &amp; ". Receipt No: " &amp; N576), "Send Receipt")))</f>
        <v/>
      </c>
    </row>
    <row r="577">
      <c r="A577" s="29"/>
      <c r="B577" s="29" t="s">
        <v>175</v>
      </c>
      <c r="C577" s="76"/>
      <c r="D577" s="29"/>
      <c r="E577" s="29"/>
      <c r="F577" s="29"/>
      <c r="G577" s="29"/>
      <c r="H577" s="29" t="str">
        <f t="shared" si="1"/>
        <v/>
      </c>
      <c r="I577" s="29" t="str">
        <f t="shared" si="2"/>
        <v/>
      </c>
      <c r="J577" s="29" t="str">
        <f>IF(A577="", "", IFERROR(VLOOKUP(A577, 'Master Roster'!A:H, 8, FALSE) - F577, ""))</f>
        <v/>
      </c>
      <c r="K577" s="29" t="s">
        <v>175</v>
      </c>
      <c r="L577" s="29" t="b">
        <v>0</v>
      </c>
      <c r="M577" s="29"/>
      <c r="N577" s="29" t="s">
        <v>175</v>
      </c>
      <c r="O577" s="29" t="str">
        <f>IF(ISBLANK(A577), "", LET(entry_day, VLOOKUP(A577, 'Master Roster'!$A:$G, 7, FALSE), start_date, DATE(E577, MONTH(D577&amp;" 1"), entry_day), end_date, EDATE(start_date, 1), period, TEXT(start_date, "mmm d, yyyy") &amp; " - " &amp; TEXT(end_date, "mmm d, yyyy"), HYPERLINK("https://wa.me/" &amp; VLOOKUP(A577, 'Master Roster'!$A:$F, 6, FALSE) &amp; "?text=" &amp; ENCODEURL("Hello " &amp; IFERROR(IF(VLOOKUP(A577, 'Master Roster'!$A:$J, 10, FALSE)="Male", "Mr. ", "Ms. "), "") &amp; B577 &amp; ", payment of K" &amp; F577 &amp; " received for " &amp; period &amp; ". Receipt No: " &amp; N577), "Send Receipt")))</f>
        <v/>
      </c>
    </row>
    <row r="578">
      <c r="A578" s="29"/>
      <c r="B578" s="29" t="s">
        <v>175</v>
      </c>
      <c r="C578" s="76"/>
      <c r="D578" s="29"/>
      <c r="E578" s="29"/>
      <c r="F578" s="29"/>
      <c r="G578" s="29"/>
      <c r="H578" s="29" t="str">
        <f t="shared" si="1"/>
        <v/>
      </c>
      <c r="I578" s="29" t="str">
        <f t="shared" si="2"/>
        <v/>
      </c>
      <c r="J578" s="29" t="str">
        <f>IF(A578="", "", IFERROR(VLOOKUP(A578, 'Master Roster'!A:H, 8, FALSE) - F578, ""))</f>
        <v/>
      </c>
      <c r="K578" s="29" t="s">
        <v>175</v>
      </c>
      <c r="L578" s="29" t="b">
        <v>0</v>
      </c>
      <c r="M578" s="29"/>
      <c r="N578" s="29" t="s">
        <v>175</v>
      </c>
      <c r="O578" s="29" t="str">
        <f>IF(ISBLANK(A578), "", LET(entry_day, VLOOKUP(A578, 'Master Roster'!$A:$G, 7, FALSE), start_date, DATE(E578, MONTH(D578&amp;" 1"), entry_day), end_date, EDATE(start_date, 1), period, TEXT(start_date, "mmm d, yyyy") &amp; " - " &amp; TEXT(end_date, "mmm d, yyyy"), HYPERLINK("https://wa.me/" &amp; VLOOKUP(A578, 'Master Roster'!$A:$F, 6, FALSE) &amp; "?text=" &amp; ENCODEURL("Hello " &amp; IFERROR(IF(VLOOKUP(A578, 'Master Roster'!$A:$J, 10, FALSE)="Male", "Mr. ", "Ms. "), "") &amp; B578 &amp; ", payment of K" &amp; F578 &amp; " received for " &amp; period &amp; ". Receipt No: " &amp; N578), "Send Receipt")))</f>
        <v/>
      </c>
    </row>
    <row r="579">
      <c r="A579" s="29"/>
      <c r="B579" s="29" t="s">
        <v>175</v>
      </c>
      <c r="C579" s="76"/>
      <c r="D579" s="29"/>
      <c r="E579" s="29"/>
      <c r="F579" s="29"/>
      <c r="G579" s="29"/>
      <c r="H579" s="29" t="str">
        <f t="shared" si="1"/>
        <v/>
      </c>
      <c r="I579" s="29" t="str">
        <f t="shared" si="2"/>
        <v/>
      </c>
      <c r="J579" s="29" t="str">
        <f>IF(A579="", "", IFERROR(VLOOKUP(A579, 'Master Roster'!A:H, 8, FALSE) - F579, ""))</f>
        <v/>
      </c>
      <c r="K579" s="29" t="s">
        <v>175</v>
      </c>
      <c r="L579" s="29" t="b">
        <v>0</v>
      </c>
      <c r="M579" s="29"/>
      <c r="N579" s="29" t="s">
        <v>175</v>
      </c>
      <c r="O579" s="29" t="str">
        <f>IF(ISBLANK(A579), "", LET(entry_day, VLOOKUP(A579, 'Master Roster'!$A:$G, 7, FALSE), start_date, DATE(E579, MONTH(D579&amp;" 1"), entry_day), end_date, EDATE(start_date, 1), period, TEXT(start_date, "mmm d, yyyy") &amp; " - " &amp; TEXT(end_date, "mmm d, yyyy"), HYPERLINK("https://wa.me/" &amp; VLOOKUP(A579, 'Master Roster'!$A:$F, 6, FALSE) &amp; "?text=" &amp; ENCODEURL("Hello " &amp; IFERROR(IF(VLOOKUP(A579, 'Master Roster'!$A:$J, 10, FALSE)="Male", "Mr. ", "Ms. "), "") &amp; B579 &amp; ", payment of K" &amp; F579 &amp; " received for " &amp; period &amp; ". Receipt No: " &amp; N579), "Send Receipt")))</f>
        <v/>
      </c>
    </row>
    <row r="580">
      <c r="A580" s="29"/>
      <c r="B580" s="29" t="s">
        <v>175</v>
      </c>
      <c r="C580" s="76"/>
      <c r="D580" s="29"/>
      <c r="E580" s="29"/>
      <c r="F580" s="29"/>
      <c r="G580" s="29"/>
      <c r="H580" s="29" t="str">
        <f t="shared" si="1"/>
        <v/>
      </c>
      <c r="I580" s="29" t="str">
        <f t="shared" si="2"/>
        <v/>
      </c>
      <c r="J580" s="29" t="str">
        <f>IF(A580="", "", IFERROR(VLOOKUP(A580, 'Master Roster'!A:H, 8, FALSE) - F580, ""))</f>
        <v/>
      </c>
      <c r="K580" s="29" t="s">
        <v>175</v>
      </c>
      <c r="L580" s="29" t="b">
        <v>0</v>
      </c>
      <c r="M580" s="29"/>
      <c r="N580" s="29" t="s">
        <v>175</v>
      </c>
      <c r="O580" s="29" t="str">
        <f>IF(ISBLANK(A580), "", LET(entry_day, VLOOKUP(A580, 'Master Roster'!$A:$G, 7, FALSE), start_date, DATE(E580, MONTH(D580&amp;" 1"), entry_day), end_date, EDATE(start_date, 1), period, TEXT(start_date, "mmm d, yyyy") &amp; " - " &amp; TEXT(end_date, "mmm d, yyyy"), HYPERLINK("https://wa.me/" &amp; VLOOKUP(A580, 'Master Roster'!$A:$F, 6, FALSE) &amp; "?text=" &amp; ENCODEURL("Hello " &amp; IFERROR(IF(VLOOKUP(A580, 'Master Roster'!$A:$J, 10, FALSE)="Male", "Mr. ", "Ms. "), "") &amp; B580 &amp; ", payment of K" &amp; F580 &amp; " received for " &amp; period &amp; ". Receipt No: " &amp; N580), "Send Receipt")))</f>
        <v/>
      </c>
    </row>
    <row r="581">
      <c r="A581" s="29"/>
      <c r="B581" s="29" t="s">
        <v>175</v>
      </c>
      <c r="C581" s="76"/>
      <c r="D581" s="29"/>
      <c r="E581" s="29"/>
      <c r="F581" s="29"/>
      <c r="G581" s="29"/>
      <c r="H581" s="29" t="str">
        <f t="shared" si="1"/>
        <v/>
      </c>
      <c r="I581" s="29" t="str">
        <f t="shared" si="2"/>
        <v/>
      </c>
      <c r="J581" s="29" t="str">
        <f>IF(A581="", "", IFERROR(VLOOKUP(A581, 'Master Roster'!A:H, 8, FALSE) - F581, ""))</f>
        <v/>
      </c>
      <c r="K581" s="29" t="s">
        <v>175</v>
      </c>
      <c r="L581" s="29" t="b">
        <v>0</v>
      </c>
      <c r="M581" s="29"/>
      <c r="N581" s="29" t="s">
        <v>175</v>
      </c>
      <c r="O581" s="29" t="str">
        <f>IF(ISBLANK(A581), "", LET(entry_day, VLOOKUP(A581, 'Master Roster'!$A:$G, 7, FALSE), start_date, DATE(E581, MONTH(D581&amp;" 1"), entry_day), end_date, EDATE(start_date, 1), period, TEXT(start_date, "mmm d, yyyy") &amp; " - " &amp; TEXT(end_date, "mmm d, yyyy"), HYPERLINK("https://wa.me/" &amp; VLOOKUP(A581, 'Master Roster'!$A:$F, 6, FALSE) &amp; "?text=" &amp; ENCODEURL("Hello " &amp; IFERROR(IF(VLOOKUP(A581, 'Master Roster'!$A:$J, 10, FALSE)="Male", "Mr. ", "Ms. "), "") &amp; B581 &amp; ", payment of K" &amp; F581 &amp; " received for " &amp; period &amp; ". Receipt No: " &amp; N581), "Send Receipt")))</f>
        <v/>
      </c>
    </row>
    <row r="582">
      <c r="A582" s="29"/>
      <c r="B582" s="29" t="s">
        <v>175</v>
      </c>
      <c r="C582" s="76"/>
      <c r="D582" s="29"/>
      <c r="E582" s="29"/>
      <c r="F582" s="29"/>
      <c r="G582" s="29"/>
      <c r="H582" s="29" t="str">
        <f t="shared" si="1"/>
        <v/>
      </c>
      <c r="I582" s="29" t="str">
        <f t="shared" si="2"/>
        <v/>
      </c>
      <c r="J582" s="29" t="str">
        <f>IF(A582="", "", IFERROR(VLOOKUP(A582, 'Master Roster'!A:H, 8, FALSE) - F582, ""))</f>
        <v/>
      </c>
      <c r="K582" s="29" t="s">
        <v>175</v>
      </c>
      <c r="L582" s="29" t="b">
        <v>0</v>
      </c>
      <c r="M582" s="29"/>
      <c r="N582" s="29" t="s">
        <v>175</v>
      </c>
      <c r="O582" s="29" t="str">
        <f>IF(ISBLANK(A582), "", LET(entry_day, VLOOKUP(A582, 'Master Roster'!$A:$G, 7, FALSE), start_date, DATE(E582, MONTH(D582&amp;" 1"), entry_day), end_date, EDATE(start_date, 1), period, TEXT(start_date, "mmm d, yyyy") &amp; " - " &amp; TEXT(end_date, "mmm d, yyyy"), HYPERLINK("https://wa.me/" &amp; VLOOKUP(A582, 'Master Roster'!$A:$F, 6, FALSE) &amp; "?text=" &amp; ENCODEURL("Hello " &amp; IFERROR(IF(VLOOKUP(A582, 'Master Roster'!$A:$J, 10, FALSE)="Male", "Mr. ", "Ms. "), "") &amp; B582 &amp; ", payment of K" &amp; F582 &amp; " received for " &amp; period &amp; ". Receipt No: " &amp; N582), "Send Receipt")))</f>
        <v/>
      </c>
    </row>
    <row r="583">
      <c r="A583" s="29"/>
      <c r="B583" s="29" t="s">
        <v>175</v>
      </c>
      <c r="C583" s="76"/>
      <c r="D583" s="29"/>
      <c r="E583" s="29"/>
      <c r="F583" s="29"/>
      <c r="G583" s="29"/>
      <c r="H583" s="29" t="str">
        <f t="shared" si="1"/>
        <v/>
      </c>
      <c r="I583" s="29" t="str">
        <f t="shared" si="2"/>
        <v/>
      </c>
      <c r="J583" s="29" t="str">
        <f>IF(A583="", "", IFERROR(VLOOKUP(A583, 'Master Roster'!A:H, 8, FALSE) - F583, ""))</f>
        <v/>
      </c>
      <c r="K583" s="29" t="s">
        <v>175</v>
      </c>
      <c r="L583" s="29" t="b">
        <v>0</v>
      </c>
      <c r="M583" s="29"/>
      <c r="N583" s="29" t="s">
        <v>175</v>
      </c>
      <c r="O583" s="29" t="str">
        <f>IF(ISBLANK(A583), "", LET(entry_day, VLOOKUP(A583, 'Master Roster'!$A:$G, 7, FALSE), start_date, DATE(E583, MONTH(D583&amp;" 1"), entry_day), end_date, EDATE(start_date, 1), period, TEXT(start_date, "mmm d, yyyy") &amp; " - " &amp; TEXT(end_date, "mmm d, yyyy"), HYPERLINK("https://wa.me/" &amp; VLOOKUP(A583, 'Master Roster'!$A:$F, 6, FALSE) &amp; "?text=" &amp; ENCODEURL("Hello " &amp; IFERROR(IF(VLOOKUP(A583, 'Master Roster'!$A:$J, 10, FALSE)="Male", "Mr. ", "Ms. "), "") &amp; B583 &amp; ", payment of K" &amp; F583 &amp; " received for " &amp; period &amp; ". Receipt No: " &amp; N583), "Send Receipt")))</f>
        <v/>
      </c>
    </row>
    <row r="584">
      <c r="A584" s="29"/>
      <c r="B584" s="29" t="s">
        <v>175</v>
      </c>
      <c r="C584" s="76"/>
      <c r="D584" s="29"/>
      <c r="E584" s="29"/>
      <c r="F584" s="29"/>
      <c r="G584" s="29"/>
      <c r="H584" s="29" t="str">
        <f t="shared" si="1"/>
        <v/>
      </c>
      <c r="I584" s="29" t="str">
        <f t="shared" si="2"/>
        <v/>
      </c>
      <c r="J584" s="29" t="str">
        <f>IF(A584="", "", IFERROR(VLOOKUP(A584, 'Master Roster'!A:H, 8, FALSE) - F584, ""))</f>
        <v/>
      </c>
      <c r="K584" s="29" t="s">
        <v>175</v>
      </c>
      <c r="L584" s="29" t="b">
        <v>0</v>
      </c>
      <c r="M584" s="29"/>
      <c r="N584" s="29" t="s">
        <v>175</v>
      </c>
      <c r="O584" s="29" t="str">
        <f>IF(ISBLANK(A584), "", LET(entry_day, VLOOKUP(A584, 'Master Roster'!$A:$G, 7, FALSE), start_date, DATE(E584, MONTH(D584&amp;" 1"), entry_day), end_date, EDATE(start_date, 1), period, TEXT(start_date, "mmm d, yyyy") &amp; " - " &amp; TEXT(end_date, "mmm d, yyyy"), HYPERLINK("https://wa.me/" &amp; VLOOKUP(A584, 'Master Roster'!$A:$F, 6, FALSE) &amp; "?text=" &amp; ENCODEURL("Hello " &amp; IFERROR(IF(VLOOKUP(A584, 'Master Roster'!$A:$J, 10, FALSE)="Male", "Mr. ", "Ms. "), "") &amp; B584 &amp; ", payment of K" &amp; F584 &amp; " received for " &amp; period &amp; ". Receipt No: " &amp; N584), "Send Receipt")))</f>
        <v/>
      </c>
    </row>
    <row r="585">
      <c r="A585" s="29"/>
      <c r="B585" s="29" t="s">
        <v>175</v>
      </c>
      <c r="C585" s="76"/>
      <c r="D585" s="29"/>
      <c r="E585" s="29"/>
      <c r="F585" s="29"/>
      <c r="G585" s="29"/>
      <c r="H585" s="29" t="str">
        <f t="shared" si="1"/>
        <v/>
      </c>
      <c r="I585" s="29" t="str">
        <f t="shared" si="2"/>
        <v/>
      </c>
      <c r="J585" s="29" t="str">
        <f>IF(A585="", "", IFERROR(VLOOKUP(A585, 'Master Roster'!A:H, 8, FALSE) - F585, ""))</f>
        <v/>
      </c>
      <c r="K585" s="29" t="s">
        <v>175</v>
      </c>
      <c r="L585" s="29" t="b">
        <v>0</v>
      </c>
      <c r="M585" s="29"/>
      <c r="N585" s="29" t="s">
        <v>175</v>
      </c>
      <c r="O585" s="29" t="str">
        <f>IF(ISBLANK(A585), "", LET(entry_day, VLOOKUP(A585, 'Master Roster'!$A:$G, 7, FALSE), start_date, DATE(E585, MONTH(D585&amp;" 1"), entry_day), end_date, EDATE(start_date, 1), period, TEXT(start_date, "mmm d, yyyy") &amp; " - " &amp; TEXT(end_date, "mmm d, yyyy"), HYPERLINK("https://wa.me/" &amp; VLOOKUP(A585, 'Master Roster'!$A:$F, 6, FALSE) &amp; "?text=" &amp; ENCODEURL("Hello " &amp; IFERROR(IF(VLOOKUP(A585, 'Master Roster'!$A:$J, 10, FALSE)="Male", "Mr. ", "Ms. "), "") &amp; B585 &amp; ", payment of K" &amp; F585 &amp; " received for " &amp; period &amp; ". Receipt No: " &amp; N585), "Send Receipt")))</f>
        <v/>
      </c>
    </row>
    <row r="586">
      <c r="A586" s="29"/>
      <c r="B586" s="29" t="s">
        <v>175</v>
      </c>
      <c r="C586" s="76"/>
      <c r="D586" s="29"/>
      <c r="E586" s="29"/>
      <c r="F586" s="29"/>
      <c r="G586" s="29"/>
      <c r="H586" s="29" t="str">
        <f t="shared" si="1"/>
        <v/>
      </c>
      <c r="I586" s="29" t="str">
        <f t="shared" si="2"/>
        <v/>
      </c>
      <c r="J586" s="29" t="str">
        <f>IF(A586="", "", IFERROR(VLOOKUP(A586, 'Master Roster'!A:H, 8, FALSE) - F586, ""))</f>
        <v/>
      </c>
      <c r="K586" s="29" t="s">
        <v>175</v>
      </c>
      <c r="L586" s="29" t="b">
        <v>0</v>
      </c>
      <c r="M586" s="29"/>
      <c r="N586" s="29" t="s">
        <v>175</v>
      </c>
      <c r="O586" s="29" t="str">
        <f>IF(ISBLANK(A586), "", LET(entry_day, VLOOKUP(A586, 'Master Roster'!$A:$G, 7, FALSE), start_date, DATE(E586, MONTH(D586&amp;" 1"), entry_day), end_date, EDATE(start_date, 1), period, TEXT(start_date, "mmm d, yyyy") &amp; " - " &amp; TEXT(end_date, "mmm d, yyyy"), HYPERLINK("https://wa.me/" &amp; VLOOKUP(A586, 'Master Roster'!$A:$F, 6, FALSE) &amp; "?text=" &amp; ENCODEURL("Hello " &amp; IFERROR(IF(VLOOKUP(A586, 'Master Roster'!$A:$J, 10, FALSE)="Male", "Mr. ", "Ms. "), "") &amp; B586 &amp; ", payment of K" &amp; F586 &amp; " received for " &amp; period &amp; ". Receipt No: " &amp; N586), "Send Receipt")))</f>
        <v/>
      </c>
    </row>
    <row r="587">
      <c r="A587" s="29"/>
      <c r="B587" s="29" t="s">
        <v>175</v>
      </c>
      <c r="C587" s="76"/>
      <c r="D587" s="29"/>
      <c r="E587" s="29"/>
      <c r="F587" s="29"/>
      <c r="G587" s="29"/>
      <c r="H587" s="29" t="str">
        <f t="shared" si="1"/>
        <v/>
      </c>
      <c r="I587" s="29" t="str">
        <f t="shared" si="2"/>
        <v/>
      </c>
      <c r="J587" s="29" t="str">
        <f>IF(A587="", "", IFERROR(VLOOKUP(A587, 'Master Roster'!A:H, 8, FALSE) - F587, ""))</f>
        <v/>
      </c>
      <c r="K587" s="29" t="s">
        <v>175</v>
      </c>
      <c r="L587" s="29" t="b">
        <v>0</v>
      </c>
      <c r="M587" s="29"/>
      <c r="N587" s="29" t="s">
        <v>175</v>
      </c>
      <c r="O587" s="29" t="str">
        <f>IF(ISBLANK(A587), "", LET(entry_day, VLOOKUP(A587, 'Master Roster'!$A:$G, 7, FALSE), start_date, DATE(E587, MONTH(D587&amp;" 1"), entry_day), end_date, EDATE(start_date, 1), period, TEXT(start_date, "mmm d, yyyy") &amp; " - " &amp; TEXT(end_date, "mmm d, yyyy"), HYPERLINK("https://wa.me/" &amp; VLOOKUP(A587, 'Master Roster'!$A:$F, 6, FALSE) &amp; "?text=" &amp; ENCODEURL("Hello " &amp; IFERROR(IF(VLOOKUP(A587, 'Master Roster'!$A:$J, 10, FALSE)="Male", "Mr. ", "Ms. "), "") &amp; B587 &amp; ", payment of K" &amp; F587 &amp; " received for " &amp; period &amp; ". Receipt No: " &amp; N587), "Send Receipt")))</f>
        <v/>
      </c>
    </row>
    <row r="588">
      <c r="A588" s="29"/>
      <c r="B588" s="29" t="s">
        <v>175</v>
      </c>
      <c r="C588" s="76"/>
      <c r="D588" s="29"/>
      <c r="E588" s="29"/>
      <c r="F588" s="29"/>
      <c r="G588" s="29"/>
      <c r="H588" s="29" t="str">
        <f t="shared" si="1"/>
        <v/>
      </c>
      <c r="I588" s="29" t="str">
        <f t="shared" si="2"/>
        <v/>
      </c>
      <c r="J588" s="29" t="str">
        <f>IF(A588="", "", IFERROR(VLOOKUP(A588, 'Master Roster'!A:H, 8, FALSE) - F588, ""))</f>
        <v/>
      </c>
      <c r="K588" s="29" t="s">
        <v>175</v>
      </c>
      <c r="L588" s="29" t="b">
        <v>0</v>
      </c>
      <c r="M588" s="29"/>
      <c r="N588" s="29" t="s">
        <v>175</v>
      </c>
      <c r="O588" s="29" t="str">
        <f>IF(ISBLANK(A588), "", LET(entry_day, VLOOKUP(A588, 'Master Roster'!$A:$G, 7, FALSE), start_date, DATE(E588, MONTH(D588&amp;" 1"), entry_day), end_date, EDATE(start_date, 1), period, TEXT(start_date, "mmm d, yyyy") &amp; " - " &amp; TEXT(end_date, "mmm d, yyyy"), HYPERLINK("https://wa.me/" &amp; VLOOKUP(A588, 'Master Roster'!$A:$F, 6, FALSE) &amp; "?text=" &amp; ENCODEURL("Hello " &amp; IFERROR(IF(VLOOKUP(A588, 'Master Roster'!$A:$J, 10, FALSE)="Male", "Mr. ", "Ms. "), "") &amp; B588 &amp; ", payment of K" &amp; F588 &amp; " received for " &amp; period &amp; ". Receipt No: " &amp; N588), "Send Receipt")))</f>
        <v/>
      </c>
    </row>
    <row r="589">
      <c r="A589" s="29"/>
      <c r="B589" s="29" t="s">
        <v>175</v>
      </c>
      <c r="C589" s="76"/>
      <c r="D589" s="29"/>
      <c r="E589" s="29"/>
      <c r="F589" s="29"/>
      <c r="G589" s="29"/>
      <c r="H589" s="29" t="str">
        <f t="shared" si="1"/>
        <v/>
      </c>
      <c r="I589" s="29" t="str">
        <f t="shared" si="2"/>
        <v/>
      </c>
      <c r="J589" s="29" t="str">
        <f>IF(A589="", "", IFERROR(VLOOKUP(A589, 'Master Roster'!A:H, 8, FALSE) - F589, ""))</f>
        <v/>
      </c>
      <c r="K589" s="29" t="s">
        <v>175</v>
      </c>
      <c r="L589" s="29" t="b">
        <v>0</v>
      </c>
      <c r="M589" s="29"/>
      <c r="N589" s="29" t="s">
        <v>175</v>
      </c>
      <c r="O589" s="29" t="str">
        <f>IF(ISBLANK(A589), "", LET(entry_day, VLOOKUP(A589, 'Master Roster'!$A:$G, 7, FALSE), start_date, DATE(E589, MONTH(D589&amp;" 1"), entry_day), end_date, EDATE(start_date, 1), period, TEXT(start_date, "mmm d, yyyy") &amp; " - " &amp; TEXT(end_date, "mmm d, yyyy"), HYPERLINK("https://wa.me/" &amp; VLOOKUP(A589, 'Master Roster'!$A:$F, 6, FALSE) &amp; "?text=" &amp; ENCODEURL("Hello " &amp; IFERROR(IF(VLOOKUP(A589, 'Master Roster'!$A:$J, 10, FALSE)="Male", "Mr. ", "Ms. "), "") &amp; B589 &amp; ", payment of K" &amp; F589 &amp; " received for " &amp; period &amp; ". Receipt No: " &amp; N589), "Send Receipt")))</f>
        <v/>
      </c>
    </row>
    <row r="590">
      <c r="A590" s="29"/>
      <c r="B590" s="29" t="s">
        <v>175</v>
      </c>
      <c r="C590" s="76"/>
      <c r="D590" s="29"/>
      <c r="E590" s="29"/>
      <c r="F590" s="29"/>
      <c r="G590" s="29"/>
      <c r="H590" s="29" t="str">
        <f t="shared" si="1"/>
        <v/>
      </c>
      <c r="I590" s="29" t="str">
        <f t="shared" si="2"/>
        <v/>
      </c>
      <c r="J590" s="29" t="str">
        <f>IF(A590="", "", IFERROR(VLOOKUP(A590, 'Master Roster'!A:H, 8, FALSE) - F590, ""))</f>
        <v/>
      </c>
      <c r="K590" s="29" t="s">
        <v>175</v>
      </c>
      <c r="L590" s="29" t="b">
        <v>0</v>
      </c>
      <c r="M590" s="29"/>
      <c r="N590" s="29" t="s">
        <v>175</v>
      </c>
      <c r="O590" s="29" t="str">
        <f>IF(ISBLANK(A590), "", LET(entry_day, VLOOKUP(A590, 'Master Roster'!$A:$G, 7, FALSE), start_date, DATE(E590, MONTH(D590&amp;" 1"), entry_day), end_date, EDATE(start_date, 1), period, TEXT(start_date, "mmm d, yyyy") &amp; " - " &amp; TEXT(end_date, "mmm d, yyyy"), HYPERLINK("https://wa.me/" &amp; VLOOKUP(A590, 'Master Roster'!$A:$F, 6, FALSE) &amp; "?text=" &amp; ENCODEURL("Hello " &amp; IFERROR(IF(VLOOKUP(A590, 'Master Roster'!$A:$J, 10, FALSE)="Male", "Mr. ", "Ms. "), "") &amp; B590 &amp; ", payment of K" &amp; F590 &amp; " received for " &amp; period &amp; ". Receipt No: " &amp; N590), "Send Receipt")))</f>
        <v/>
      </c>
    </row>
    <row r="591">
      <c r="A591" s="29"/>
      <c r="B591" s="29" t="s">
        <v>175</v>
      </c>
      <c r="C591" s="76"/>
      <c r="D591" s="29"/>
      <c r="E591" s="29"/>
      <c r="F591" s="29"/>
      <c r="G591" s="29"/>
      <c r="H591" s="29" t="str">
        <f t="shared" si="1"/>
        <v/>
      </c>
      <c r="I591" s="29" t="str">
        <f t="shared" si="2"/>
        <v/>
      </c>
      <c r="J591" s="29" t="str">
        <f>IF(A591="", "", IFERROR(VLOOKUP(A591, 'Master Roster'!A:H, 8, FALSE) - F591, ""))</f>
        <v/>
      </c>
      <c r="K591" s="29" t="s">
        <v>175</v>
      </c>
      <c r="L591" s="29" t="b">
        <v>0</v>
      </c>
      <c r="M591" s="29"/>
      <c r="N591" s="29" t="s">
        <v>175</v>
      </c>
      <c r="O591" s="29" t="str">
        <f>IF(ISBLANK(A591), "", LET(entry_day, VLOOKUP(A591, 'Master Roster'!$A:$G, 7, FALSE), start_date, DATE(E591, MONTH(D591&amp;" 1"), entry_day), end_date, EDATE(start_date, 1), period, TEXT(start_date, "mmm d, yyyy") &amp; " - " &amp; TEXT(end_date, "mmm d, yyyy"), HYPERLINK("https://wa.me/" &amp; VLOOKUP(A591, 'Master Roster'!$A:$F, 6, FALSE) &amp; "?text=" &amp; ENCODEURL("Hello " &amp; IFERROR(IF(VLOOKUP(A591, 'Master Roster'!$A:$J, 10, FALSE)="Male", "Mr. ", "Ms. "), "") &amp; B591 &amp; ", payment of K" &amp; F591 &amp; " received for " &amp; period &amp; ". Receipt No: " &amp; N591), "Send Receipt")))</f>
        <v/>
      </c>
    </row>
    <row r="592">
      <c r="A592" s="29"/>
      <c r="B592" s="29" t="s">
        <v>175</v>
      </c>
      <c r="C592" s="76"/>
      <c r="D592" s="29"/>
      <c r="E592" s="29"/>
      <c r="F592" s="29"/>
      <c r="G592" s="29"/>
      <c r="H592" s="29" t="str">
        <f t="shared" si="1"/>
        <v/>
      </c>
      <c r="I592" s="29" t="str">
        <f t="shared" si="2"/>
        <v/>
      </c>
      <c r="J592" s="29" t="str">
        <f>IF(A592="", "", IFERROR(VLOOKUP(A592, 'Master Roster'!A:H, 8, FALSE) - F592, ""))</f>
        <v/>
      </c>
      <c r="K592" s="29" t="s">
        <v>175</v>
      </c>
      <c r="L592" s="29" t="b">
        <v>0</v>
      </c>
      <c r="M592" s="29"/>
      <c r="N592" s="29" t="s">
        <v>175</v>
      </c>
      <c r="O592" s="29" t="str">
        <f>IF(ISBLANK(A592), "", LET(entry_day, VLOOKUP(A592, 'Master Roster'!$A:$G, 7, FALSE), start_date, DATE(E592, MONTH(D592&amp;" 1"), entry_day), end_date, EDATE(start_date, 1), period, TEXT(start_date, "mmm d, yyyy") &amp; " - " &amp; TEXT(end_date, "mmm d, yyyy"), HYPERLINK("https://wa.me/" &amp; VLOOKUP(A592, 'Master Roster'!$A:$F, 6, FALSE) &amp; "?text=" &amp; ENCODEURL("Hello " &amp; IFERROR(IF(VLOOKUP(A592, 'Master Roster'!$A:$J, 10, FALSE)="Male", "Mr. ", "Ms. "), "") &amp; B592 &amp; ", payment of K" &amp; F592 &amp; " received for " &amp; period &amp; ". Receipt No: " &amp; N592), "Send Receipt")))</f>
        <v/>
      </c>
    </row>
    <row r="593">
      <c r="A593" s="29"/>
      <c r="B593" s="29" t="s">
        <v>175</v>
      </c>
      <c r="C593" s="76"/>
      <c r="D593" s="29"/>
      <c r="E593" s="29"/>
      <c r="F593" s="29"/>
      <c r="G593" s="29"/>
      <c r="H593" s="29" t="str">
        <f t="shared" si="1"/>
        <v/>
      </c>
      <c r="I593" s="29" t="str">
        <f t="shared" si="2"/>
        <v/>
      </c>
      <c r="J593" s="29" t="str">
        <f>IF(A593="", "", IFERROR(VLOOKUP(A593, 'Master Roster'!A:H, 8, FALSE) - F593, ""))</f>
        <v/>
      </c>
      <c r="K593" s="29" t="s">
        <v>175</v>
      </c>
      <c r="L593" s="29" t="b">
        <v>0</v>
      </c>
      <c r="M593" s="29"/>
      <c r="N593" s="29" t="s">
        <v>175</v>
      </c>
      <c r="O593" s="29" t="str">
        <f>IF(ISBLANK(A593), "", LET(entry_day, VLOOKUP(A593, 'Master Roster'!$A:$G, 7, FALSE), start_date, DATE(E593, MONTH(D593&amp;" 1"), entry_day), end_date, EDATE(start_date, 1), period, TEXT(start_date, "mmm d, yyyy") &amp; " - " &amp; TEXT(end_date, "mmm d, yyyy"), HYPERLINK("https://wa.me/" &amp; VLOOKUP(A593, 'Master Roster'!$A:$F, 6, FALSE) &amp; "?text=" &amp; ENCODEURL("Hello " &amp; IFERROR(IF(VLOOKUP(A593, 'Master Roster'!$A:$J, 10, FALSE)="Male", "Mr. ", "Ms. "), "") &amp; B593 &amp; ", payment of K" &amp; F593 &amp; " received for " &amp; period &amp; ". Receipt No: " &amp; N593), "Send Receipt")))</f>
        <v/>
      </c>
    </row>
    <row r="594">
      <c r="A594" s="29"/>
      <c r="B594" s="29" t="s">
        <v>175</v>
      </c>
      <c r="C594" s="76"/>
      <c r="D594" s="29"/>
      <c r="E594" s="29"/>
      <c r="F594" s="29"/>
      <c r="G594" s="29"/>
      <c r="H594" s="29" t="str">
        <f t="shared" si="1"/>
        <v/>
      </c>
      <c r="I594" s="29" t="str">
        <f t="shared" si="2"/>
        <v/>
      </c>
      <c r="J594" s="29" t="str">
        <f>IF(A594="", "", IFERROR(VLOOKUP(A594, 'Master Roster'!A:H, 8, FALSE) - F594, ""))</f>
        <v/>
      </c>
      <c r="K594" s="29" t="s">
        <v>175</v>
      </c>
      <c r="L594" s="29" t="b">
        <v>0</v>
      </c>
      <c r="M594" s="29"/>
      <c r="N594" s="29" t="s">
        <v>175</v>
      </c>
      <c r="O594" s="29" t="str">
        <f>IF(ISBLANK(A594), "", LET(entry_day, VLOOKUP(A594, 'Master Roster'!$A:$G, 7, FALSE), start_date, DATE(E594, MONTH(D594&amp;" 1"), entry_day), end_date, EDATE(start_date, 1), period, TEXT(start_date, "mmm d, yyyy") &amp; " - " &amp; TEXT(end_date, "mmm d, yyyy"), HYPERLINK("https://wa.me/" &amp; VLOOKUP(A594, 'Master Roster'!$A:$F, 6, FALSE) &amp; "?text=" &amp; ENCODEURL("Hello " &amp; IFERROR(IF(VLOOKUP(A594, 'Master Roster'!$A:$J, 10, FALSE)="Male", "Mr. ", "Ms. "), "") &amp; B594 &amp; ", payment of K" &amp; F594 &amp; " received for " &amp; period &amp; ". Receipt No: " &amp; N594), "Send Receipt")))</f>
        <v/>
      </c>
    </row>
    <row r="595">
      <c r="A595" s="29"/>
      <c r="B595" s="29" t="s">
        <v>175</v>
      </c>
      <c r="C595" s="76"/>
      <c r="D595" s="29"/>
      <c r="E595" s="29"/>
      <c r="F595" s="29"/>
      <c r="G595" s="29"/>
      <c r="H595" s="29" t="str">
        <f t="shared" si="1"/>
        <v/>
      </c>
      <c r="I595" s="29" t="str">
        <f t="shared" si="2"/>
        <v/>
      </c>
      <c r="J595" s="29" t="str">
        <f>IF(A595="", "", IFERROR(VLOOKUP(A595, 'Master Roster'!A:H, 8, FALSE) - F595, ""))</f>
        <v/>
      </c>
      <c r="K595" s="29" t="s">
        <v>175</v>
      </c>
      <c r="L595" s="29" t="b">
        <v>0</v>
      </c>
      <c r="M595" s="29"/>
      <c r="N595" s="29" t="s">
        <v>175</v>
      </c>
      <c r="O595" s="29" t="str">
        <f>IF(ISBLANK(A595), "", LET(entry_day, VLOOKUP(A595, 'Master Roster'!$A:$G, 7, FALSE), start_date, DATE(E595, MONTH(D595&amp;" 1"), entry_day), end_date, EDATE(start_date, 1), period, TEXT(start_date, "mmm d, yyyy") &amp; " - " &amp; TEXT(end_date, "mmm d, yyyy"), HYPERLINK("https://wa.me/" &amp; VLOOKUP(A595, 'Master Roster'!$A:$F, 6, FALSE) &amp; "?text=" &amp; ENCODEURL("Hello " &amp; IFERROR(IF(VLOOKUP(A595, 'Master Roster'!$A:$J, 10, FALSE)="Male", "Mr. ", "Ms. "), "") &amp; B595 &amp; ", payment of K" &amp; F595 &amp; " received for " &amp; period &amp; ". Receipt No: " &amp; N595), "Send Receipt")))</f>
        <v/>
      </c>
    </row>
    <row r="596">
      <c r="A596" s="29"/>
      <c r="B596" s="29" t="s">
        <v>175</v>
      </c>
      <c r="C596" s="76"/>
      <c r="D596" s="29"/>
      <c r="E596" s="29"/>
      <c r="F596" s="29"/>
      <c r="G596" s="29"/>
      <c r="H596" s="29" t="str">
        <f t="shared" si="1"/>
        <v/>
      </c>
      <c r="I596" s="29" t="str">
        <f t="shared" si="2"/>
        <v/>
      </c>
      <c r="J596" s="29" t="str">
        <f>IF(A596="", "", IFERROR(VLOOKUP(A596, 'Master Roster'!A:H, 8, FALSE) - F596, ""))</f>
        <v/>
      </c>
      <c r="K596" s="29" t="s">
        <v>175</v>
      </c>
      <c r="L596" s="29" t="b">
        <v>0</v>
      </c>
      <c r="M596" s="29"/>
      <c r="N596" s="29" t="s">
        <v>175</v>
      </c>
      <c r="O596" s="29" t="str">
        <f>IF(ISBLANK(A596), "", LET(entry_day, VLOOKUP(A596, 'Master Roster'!$A:$G, 7, FALSE), start_date, DATE(E596, MONTH(D596&amp;" 1"), entry_day), end_date, EDATE(start_date, 1), period, TEXT(start_date, "mmm d, yyyy") &amp; " - " &amp; TEXT(end_date, "mmm d, yyyy"), HYPERLINK("https://wa.me/" &amp; VLOOKUP(A596, 'Master Roster'!$A:$F, 6, FALSE) &amp; "?text=" &amp; ENCODEURL("Hello " &amp; IFERROR(IF(VLOOKUP(A596, 'Master Roster'!$A:$J, 10, FALSE)="Male", "Mr. ", "Ms. "), "") &amp; B596 &amp; ", payment of K" &amp; F596 &amp; " received for " &amp; period &amp; ". Receipt No: " &amp; N596), "Send Receipt")))</f>
        <v/>
      </c>
    </row>
    <row r="597">
      <c r="A597" s="29"/>
      <c r="B597" s="29" t="s">
        <v>175</v>
      </c>
      <c r="C597" s="76"/>
      <c r="D597" s="29"/>
      <c r="E597" s="29"/>
      <c r="F597" s="29"/>
      <c r="G597" s="29"/>
      <c r="H597" s="29" t="str">
        <f t="shared" si="1"/>
        <v/>
      </c>
      <c r="I597" s="29" t="str">
        <f t="shared" si="2"/>
        <v/>
      </c>
      <c r="J597" s="29" t="str">
        <f>IF(A597="", "", IFERROR(VLOOKUP(A597, 'Master Roster'!A:H, 8, FALSE) - F597, ""))</f>
        <v/>
      </c>
      <c r="K597" s="29" t="s">
        <v>175</v>
      </c>
      <c r="L597" s="29" t="b">
        <v>0</v>
      </c>
      <c r="M597" s="29"/>
      <c r="N597" s="29" t="s">
        <v>175</v>
      </c>
      <c r="O597" s="29" t="str">
        <f>IF(ISBLANK(A597), "", LET(entry_day, VLOOKUP(A597, 'Master Roster'!$A:$G, 7, FALSE), start_date, DATE(E597, MONTH(D597&amp;" 1"), entry_day), end_date, EDATE(start_date, 1), period, TEXT(start_date, "mmm d, yyyy") &amp; " - " &amp; TEXT(end_date, "mmm d, yyyy"), HYPERLINK("https://wa.me/" &amp; VLOOKUP(A597, 'Master Roster'!$A:$F, 6, FALSE) &amp; "?text=" &amp; ENCODEURL("Hello " &amp; IFERROR(IF(VLOOKUP(A597, 'Master Roster'!$A:$J, 10, FALSE)="Male", "Mr. ", "Ms. "), "") &amp; B597 &amp; ", payment of K" &amp; F597 &amp; " received for " &amp; period &amp; ". Receipt No: " &amp; N597), "Send Receipt")))</f>
        <v/>
      </c>
    </row>
    <row r="598">
      <c r="A598" s="29"/>
      <c r="B598" s="29" t="s">
        <v>175</v>
      </c>
      <c r="C598" s="76"/>
      <c r="D598" s="29"/>
      <c r="E598" s="29"/>
      <c r="F598" s="29"/>
      <c r="G598" s="29"/>
      <c r="H598" s="29" t="str">
        <f t="shared" si="1"/>
        <v/>
      </c>
      <c r="I598" s="29" t="str">
        <f t="shared" si="2"/>
        <v/>
      </c>
      <c r="J598" s="29" t="str">
        <f>IF(A598="", "", IFERROR(VLOOKUP(A598, 'Master Roster'!A:H, 8, FALSE) - F598, ""))</f>
        <v/>
      </c>
      <c r="K598" s="29" t="s">
        <v>175</v>
      </c>
      <c r="L598" s="29" t="b">
        <v>0</v>
      </c>
      <c r="M598" s="29"/>
      <c r="N598" s="29" t="s">
        <v>175</v>
      </c>
      <c r="O598" s="29" t="str">
        <f>IF(ISBLANK(A598), "", LET(entry_day, VLOOKUP(A598, 'Master Roster'!$A:$G, 7, FALSE), start_date, DATE(E598, MONTH(D598&amp;" 1"), entry_day), end_date, EDATE(start_date, 1), period, TEXT(start_date, "mmm d, yyyy") &amp; " - " &amp; TEXT(end_date, "mmm d, yyyy"), HYPERLINK("https://wa.me/" &amp; VLOOKUP(A598, 'Master Roster'!$A:$F, 6, FALSE) &amp; "?text=" &amp; ENCODEURL("Hello " &amp; IFERROR(IF(VLOOKUP(A598, 'Master Roster'!$A:$J, 10, FALSE)="Male", "Mr. ", "Ms. "), "") &amp; B598 &amp; ", payment of K" &amp; F598 &amp; " received for " &amp; period &amp; ". Receipt No: " &amp; N598), "Send Receipt")))</f>
        <v/>
      </c>
    </row>
    <row r="599">
      <c r="A599" s="29"/>
      <c r="B599" s="29" t="s">
        <v>175</v>
      </c>
      <c r="C599" s="76"/>
      <c r="D599" s="29"/>
      <c r="E599" s="29"/>
      <c r="F599" s="29"/>
      <c r="G599" s="29"/>
      <c r="H599" s="29" t="str">
        <f t="shared" si="1"/>
        <v/>
      </c>
      <c r="I599" s="29" t="str">
        <f t="shared" si="2"/>
        <v/>
      </c>
      <c r="J599" s="29" t="str">
        <f>IF(A599="", "", IFERROR(VLOOKUP(A599, 'Master Roster'!A:H, 8, FALSE) - F599, ""))</f>
        <v/>
      </c>
      <c r="K599" s="29" t="s">
        <v>175</v>
      </c>
      <c r="L599" s="29" t="b">
        <v>0</v>
      </c>
      <c r="M599" s="29"/>
      <c r="N599" s="29" t="s">
        <v>175</v>
      </c>
      <c r="O599" s="29" t="str">
        <f>IF(ISBLANK(A599), "", LET(entry_day, VLOOKUP(A599, 'Master Roster'!$A:$G, 7, FALSE), start_date, DATE(E599, MONTH(D599&amp;" 1"), entry_day), end_date, EDATE(start_date, 1), period, TEXT(start_date, "mmm d, yyyy") &amp; " - " &amp; TEXT(end_date, "mmm d, yyyy"), HYPERLINK("https://wa.me/" &amp; VLOOKUP(A599, 'Master Roster'!$A:$F, 6, FALSE) &amp; "?text=" &amp; ENCODEURL("Hello " &amp; IFERROR(IF(VLOOKUP(A599, 'Master Roster'!$A:$J, 10, FALSE)="Male", "Mr. ", "Ms. "), "") &amp; B599 &amp; ", payment of K" &amp; F599 &amp; " received for " &amp; period &amp; ". Receipt No: " &amp; N599), "Send Receipt")))</f>
        <v/>
      </c>
    </row>
    <row r="600">
      <c r="A600" s="29"/>
      <c r="B600" s="29" t="s">
        <v>175</v>
      </c>
      <c r="C600" s="76"/>
      <c r="D600" s="29"/>
      <c r="E600" s="29"/>
      <c r="F600" s="29"/>
      <c r="G600" s="29"/>
      <c r="H600" s="29" t="str">
        <f t="shared" si="1"/>
        <v/>
      </c>
      <c r="I600" s="29" t="str">
        <f t="shared" si="2"/>
        <v/>
      </c>
      <c r="J600" s="29" t="str">
        <f>IF(A600="", "", IFERROR(VLOOKUP(A600, 'Master Roster'!A:H, 8, FALSE) - F600, ""))</f>
        <v/>
      </c>
      <c r="K600" s="29" t="s">
        <v>175</v>
      </c>
      <c r="L600" s="29" t="b">
        <v>0</v>
      </c>
      <c r="M600" s="29"/>
      <c r="N600" s="29" t="s">
        <v>175</v>
      </c>
      <c r="O600" s="29" t="str">
        <f>IF(ISBLANK(A600), "", LET(entry_day, VLOOKUP(A600, 'Master Roster'!$A:$G, 7, FALSE), start_date, DATE(E600, MONTH(D600&amp;" 1"), entry_day), end_date, EDATE(start_date, 1), period, TEXT(start_date, "mmm d, yyyy") &amp; " - " &amp; TEXT(end_date, "mmm d, yyyy"), HYPERLINK("https://wa.me/" &amp; VLOOKUP(A600, 'Master Roster'!$A:$F, 6, FALSE) &amp; "?text=" &amp; ENCODEURL("Hello " &amp; IFERROR(IF(VLOOKUP(A600, 'Master Roster'!$A:$J, 10, FALSE)="Male", "Mr. ", "Ms. "), "") &amp; B600 &amp; ", payment of K" &amp; F600 &amp; " received for " &amp; period &amp; ". Receipt No: " &amp; N600), "Send Receipt")))</f>
        <v/>
      </c>
    </row>
    <row r="601">
      <c r="A601" s="29"/>
      <c r="B601" s="29" t="s">
        <v>175</v>
      </c>
      <c r="C601" s="76"/>
      <c r="D601" s="29"/>
      <c r="E601" s="29"/>
      <c r="F601" s="29"/>
      <c r="G601" s="29"/>
      <c r="H601" s="29" t="str">
        <f t="shared" si="1"/>
        <v/>
      </c>
      <c r="I601" s="29" t="str">
        <f t="shared" si="2"/>
        <v/>
      </c>
      <c r="J601" s="29" t="str">
        <f>IF(A601="", "", IFERROR(VLOOKUP(A601, 'Master Roster'!A:H, 8, FALSE) - F601, ""))</f>
        <v/>
      </c>
      <c r="K601" s="29" t="s">
        <v>175</v>
      </c>
      <c r="L601" s="29" t="b">
        <v>0</v>
      </c>
      <c r="M601" s="29"/>
      <c r="N601" s="29" t="s">
        <v>175</v>
      </c>
      <c r="O601" s="29" t="str">
        <f>IF(ISBLANK(A601), "", LET(entry_day, VLOOKUP(A601, 'Master Roster'!$A:$G, 7, FALSE), start_date, DATE(E601, MONTH(D601&amp;" 1"), entry_day), end_date, EDATE(start_date, 1), period, TEXT(start_date, "mmm d, yyyy") &amp; " - " &amp; TEXT(end_date, "mmm d, yyyy"), HYPERLINK("https://wa.me/" &amp; VLOOKUP(A601, 'Master Roster'!$A:$F, 6, FALSE) &amp; "?text=" &amp; ENCODEURL("Hello " &amp; IFERROR(IF(VLOOKUP(A601, 'Master Roster'!$A:$J, 10, FALSE)="Male", "Mr. ", "Ms. "), "") &amp; B601 &amp; ", payment of K" &amp; F601 &amp; " received for " &amp; period &amp; ". Receipt No: " &amp; N601), "Send Receipt")))</f>
        <v/>
      </c>
    </row>
    <row r="602">
      <c r="A602" s="29"/>
      <c r="B602" s="29" t="s">
        <v>175</v>
      </c>
      <c r="C602" s="76"/>
      <c r="D602" s="29"/>
      <c r="E602" s="29"/>
      <c r="F602" s="29"/>
      <c r="G602" s="29"/>
      <c r="H602" s="29" t="str">
        <f t="shared" si="1"/>
        <v/>
      </c>
      <c r="I602" s="29" t="str">
        <f t="shared" si="2"/>
        <v/>
      </c>
      <c r="J602" s="29" t="str">
        <f>IF(A602="", "", IFERROR(VLOOKUP(A602, 'Master Roster'!A:H, 8, FALSE) - F602, ""))</f>
        <v/>
      </c>
      <c r="K602" s="29" t="s">
        <v>175</v>
      </c>
      <c r="L602" s="29" t="b">
        <v>0</v>
      </c>
      <c r="M602" s="29"/>
      <c r="N602" s="29" t="s">
        <v>175</v>
      </c>
      <c r="O602" s="29" t="str">
        <f>IF(ISBLANK(A602), "", LET(entry_day, VLOOKUP(A602, 'Master Roster'!$A:$G, 7, FALSE), start_date, DATE(E602, MONTH(D602&amp;" 1"), entry_day), end_date, EDATE(start_date, 1), period, TEXT(start_date, "mmm d, yyyy") &amp; " - " &amp; TEXT(end_date, "mmm d, yyyy"), HYPERLINK("https://wa.me/" &amp; VLOOKUP(A602, 'Master Roster'!$A:$F, 6, FALSE) &amp; "?text=" &amp; ENCODEURL("Hello " &amp; IFERROR(IF(VLOOKUP(A602, 'Master Roster'!$A:$J, 10, FALSE)="Male", "Mr. ", "Ms. "), "") &amp; B602 &amp; ", payment of K" &amp; F602 &amp; " received for " &amp; period &amp; ". Receipt No: " &amp; N602), "Send Receipt")))</f>
        <v/>
      </c>
    </row>
    <row r="603">
      <c r="A603" s="29"/>
      <c r="B603" s="29" t="s">
        <v>175</v>
      </c>
      <c r="C603" s="76"/>
      <c r="D603" s="29"/>
      <c r="E603" s="29"/>
      <c r="F603" s="29"/>
      <c r="G603" s="29"/>
      <c r="H603" s="29" t="str">
        <f t="shared" si="1"/>
        <v/>
      </c>
      <c r="I603" s="29" t="str">
        <f t="shared" si="2"/>
        <v/>
      </c>
      <c r="J603" s="29" t="str">
        <f>IF(A603="", "", IFERROR(VLOOKUP(A603, 'Master Roster'!A:H, 8, FALSE) - F603, ""))</f>
        <v/>
      </c>
      <c r="K603" s="29" t="s">
        <v>175</v>
      </c>
      <c r="L603" s="29" t="b">
        <v>0</v>
      </c>
      <c r="M603" s="29"/>
      <c r="N603" s="29" t="s">
        <v>175</v>
      </c>
      <c r="O603" s="29" t="str">
        <f>IF(ISBLANK(A603), "", LET(entry_day, VLOOKUP(A603, 'Master Roster'!$A:$G, 7, FALSE), start_date, DATE(E603, MONTH(D603&amp;" 1"), entry_day), end_date, EDATE(start_date, 1), period, TEXT(start_date, "mmm d, yyyy") &amp; " - " &amp; TEXT(end_date, "mmm d, yyyy"), HYPERLINK("https://wa.me/" &amp; VLOOKUP(A603, 'Master Roster'!$A:$F, 6, FALSE) &amp; "?text=" &amp; ENCODEURL("Hello " &amp; IFERROR(IF(VLOOKUP(A603, 'Master Roster'!$A:$J, 10, FALSE)="Male", "Mr. ", "Ms. "), "") &amp; B603 &amp; ", payment of K" &amp; F603 &amp; " received for " &amp; period &amp; ". Receipt No: " &amp; N603), "Send Receipt")))</f>
        <v/>
      </c>
    </row>
    <row r="604">
      <c r="A604" s="29"/>
      <c r="B604" s="29" t="s">
        <v>175</v>
      </c>
      <c r="C604" s="76"/>
      <c r="D604" s="29"/>
      <c r="E604" s="29"/>
      <c r="F604" s="29"/>
      <c r="G604" s="29"/>
      <c r="H604" s="29" t="str">
        <f t="shared" si="1"/>
        <v/>
      </c>
      <c r="I604" s="29" t="str">
        <f t="shared" si="2"/>
        <v/>
      </c>
      <c r="J604" s="29" t="str">
        <f>IF(A604="", "", IFERROR(VLOOKUP(A604, 'Master Roster'!A:H, 8, FALSE) - F604, ""))</f>
        <v/>
      </c>
      <c r="K604" s="29" t="s">
        <v>175</v>
      </c>
      <c r="L604" s="29" t="b">
        <v>0</v>
      </c>
      <c r="M604" s="29"/>
      <c r="N604" s="29" t="s">
        <v>175</v>
      </c>
      <c r="O604" s="29" t="str">
        <f>IF(ISBLANK(A604), "", LET(entry_day, VLOOKUP(A604, 'Master Roster'!$A:$G, 7, FALSE), start_date, DATE(E604, MONTH(D604&amp;" 1"), entry_day), end_date, EDATE(start_date, 1), period, TEXT(start_date, "mmm d, yyyy") &amp; " - " &amp; TEXT(end_date, "mmm d, yyyy"), HYPERLINK("https://wa.me/" &amp; VLOOKUP(A604, 'Master Roster'!$A:$F, 6, FALSE) &amp; "?text=" &amp; ENCODEURL("Hello " &amp; IFERROR(IF(VLOOKUP(A604, 'Master Roster'!$A:$J, 10, FALSE)="Male", "Mr. ", "Ms. "), "") &amp; B604 &amp; ", payment of K" &amp; F604 &amp; " received for " &amp; period &amp; ". Receipt No: " &amp; N604), "Send Receipt")))</f>
        <v/>
      </c>
    </row>
    <row r="605">
      <c r="A605" s="29"/>
      <c r="B605" s="29" t="s">
        <v>175</v>
      </c>
      <c r="C605" s="76"/>
      <c r="D605" s="29"/>
      <c r="E605" s="29"/>
      <c r="F605" s="29"/>
      <c r="G605" s="29"/>
      <c r="H605" s="29" t="str">
        <f t="shared" si="1"/>
        <v/>
      </c>
      <c r="I605" s="29" t="str">
        <f t="shared" si="2"/>
        <v/>
      </c>
      <c r="J605" s="29" t="str">
        <f>IF(A605="", "", IFERROR(VLOOKUP(A605, 'Master Roster'!A:H, 8, FALSE) - F605, ""))</f>
        <v/>
      </c>
      <c r="K605" s="29" t="s">
        <v>175</v>
      </c>
      <c r="L605" s="29" t="b">
        <v>0</v>
      </c>
      <c r="M605" s="29"/>
      <c r="N605" s="29" t="s">
        <v>175</v>
      </c>
      <c r="O605" s="29" t="str">
        <f>IF(ISBLANK(A605), "", LET(entry_day, VLOOKUP(A605, 'Master Roster'!$A:$G, 7, FALSE), start_date, DATE(E605, MONTH(D605&amp;" 1"), entry_day), end_date, EDATE(start_date, 1), period, TEXT(start_date, "mmm d, yyyy") &amp; " - " &amp; TEXT(end_date, "mmm d, yyyy"), HYPERLINK("https://wa.me/" &amp; VLOOKUP(A605, 'Master Roster'!$A:$F, 6, FALSE) &amp; "?text=" &amp; ENCODEURL("Hello " &amp; IFERROR(IF(VLOOKUP(A605, 'Master Roster'!$A:$J, 10, FALSE)="Male", "Mr. ", "Ms. "), "") &amp; B605 &amp; ", payment of K" &amp; F605 &amp; " received for " &amp; period &amp; ". Receipt No: " &amp; N605), "Send Receipt")))</f>
        <v/>
      </c>
    </row>
    <row r="606">
      <c r="A606" s="29"/>
      <c r="B606" s="29" t="s">
        <v>175</v>
      </c>
      <c r="C606" s="76"/>
      <c r="D606" s="29"/>
      <c r="E606" s="29"/>
      <c r="F606" s="29"/>
      <c r="G606" s="29"/>
      <c r="H606" s="29" t="str">
        <f t="shared" si="1"/>
        <v/>
      </c>
      <c r="I606" s="29" t="str">
        <f t="shared" si="2"/>
        <v/>
      </c>
      <c r="J606" s="29" t="str">
        <f>IF(A606="", "", IFERROR(VLOOKUP(A606, 'Master Roster'!A:H, 8, FALSE) - F606, ""))</f>
        <v/>
      </c>
      <c r="K606" s="29" t="s">
        <v>175</v>
      </c>
      <c r="L606" s="29" t="b">
        <v>0</v>
      </c>
      <c r="M606" s="29"/>
      <c r="N606" s="29" t="s">
        <v>175</v>
      </c>
      <c r="O606" s="29" t="str">
        <f>IF(ISBLANK(A606), "", LET(entry_day, VLOOKUP(A606, 'Master Roster'!$A:$G, 7, FALSE), start_date, DATE(E606, MONTH(D606&amp;" 1"), entry_day), end_date, EDATE(start_date, 1), period, TEXT(start_date, "mmm d, yyyy") &amp; " - " &amp; TEXT(end_date, "mmm d, yyyy"), HYPERLINK("https://wa.me/" &amp; VLOOKUP(A606, 'Master Roster'!$A:$F, 6, FALSE) &amp; "?text=" &amp; ENCODEURL("Hello " &amp; IFERROR(IF(VLOOKUP(A606, 'Master Roster'!$A:$J, 10, FALSE)="Male", "Mr. ", "Ms. "), "") &amp; B606 &amp; ", payment of K" &amp; F606 &amp; " received for " &amp; period &amp; ". Receipt No: " &amp; N606), "Send Receipt")))</f>
        <v/>
      </c>
    </row>
    <row r="607">
      <c r="A607" s="29"/>
      <c r="B607" s="29" t="s">
        <v>175</v>
      </c>
      <c r="C607" s="76"/>
      <c r="D607" s="29"/>
      <c r="E607" s="29"/>
      <c r="F607" s="29"/>
      <c r="G607" s="29"/>
      <c r="H607" s="29" t="str">
        <f t="shared" si="1"/>
        <v/>
      </c>
      <c r="I607" s="29" t="str">
        <f t="shared" si="2"/>
        <v/>
      </c>
      <c r="J607" s="29" t="str">
        <f>IF(A607="", "", IFERROR(VLOOKUP(A607, 'Master Roster'!A:H, 8, FALSE) - F607, ""))</f>
        <v/>
      </c>
      <c r="K607" s="29" t="s">
        <v>175</v>
      </c>
      <c r="L607" s="29" t="b">
        <v>0</v>
      </c>
      <c r="M607" s="29"/>
      <c r="N607" s="29" t="s">
        <v>175</v>
      </c>
      <c r="O607" s="29" t="str">
        <f>IF(ISBLANK(A607), "", LET(entry_day, VLOOKUP(A607, 'Master Roster'!$A:$G, 7, FALSE), start_date, DATE(E607, MONTH(D607&amp;" 1"), entry_day), end_date, EDATE(start_date, 1), period, TEXT(start_date, "mmm d, yyyy") &amp; " - " &amp; TEXT(end_date, "mmm d, yyyy"), HYPERLINK("https://wa.me/" &amp; VLOOKUP(A607, 'Master Roster'!$A:$F, 6, FALSE) &amp; "?text=" &amp; ENCODEURL("Hello " &amp; IFERROR(IF(VLOOKUP(A607, 'Master Roster'!$A:$J, 10, FALSE)="Male", "Mr. ", "Ms. "), "") &amp; B607 &amp; ", payment of K" &amp; F607 &amp; " received for " &amp; period &amp; ". Receipt No: " &amp; N607), "Send Receipt")))</f>
        <v/>
      </c>
    </row>
    <row r="608">
      <c r="A608" s="29"/>
      <c r="B608" s="29" t="s">
        <v>175</v>
      </c>
      <c r="C608" s="76"/>
      <c r="D608" s="29"/>
      <c r="E608" s="29"/>
      <c r="F608" s="29"/>
      <c r="G608" s="29"/>
      <c r="H608" s="29" t="str">
        <f t="shared" si="1"/>
        <v/>
      </c>
      <c r="I608" s="29" t="str">
        <f t="shared" si="2"/>
        <v/>
      </c>
      <c r="J608" s="29" t="str">
        <f>IF(A608="", "", IFERROR(VLOOKUP(A608, 'Master Roster'!A:H, 8, FALSE) - F608, ""))</f>
        <v/>
      </c>
      <c r="K608" s="29" t="s">
        <v>175</v>
      </c>
      <c r="L608" s="29" t="b">
        <v>0</v>
      </c>
      <c r="M608" s="29"/>
      <c r="N608" s="29" t="s">
        <v>175</v>
      </c>
      <c r="O608" s="29" t="str">
        <f>IF(ISBLANK(A608), "", LET(entry_day, VLOOKUP(A608, 'Master Roster'!$A:$G, 7, FALSE), start_date, DATE(E608, MONTH(D608&amp;" 1"), entry_day), end_date, EDATE(start_date, 1), period, TEXT(start_date, "mmm d, yyyy") &amp; " - " &amp; TEXT(end_date, "mmm d, yyyy"), HYPERLINK("https://wa.me/" &amp; VLOOKUP(A608, 'Master Roster'!$A:$F, 6, FALSE) &amp; "?text=" &amp; ENCODEURL("Hello " &amp; IFERROR(IF(VLOOKUP(A608, 'Master Roster'!$A:$J, 10, FALSE)="Male", "Mr. ", "Ms. "), "") &amp; B608 &amp; ", payment of K" &amp; F608 &amp; " received for " &amp; period &amp; ". Receipt No: " &amp; N608), "Send Receipt")))</f>
        <v/>
      </c>
    </row>
    <row r="609">
      <c r="A609" s="29"/>
      <c r="B609" s="29" t="s">
        <v>175</v>
      </c>
      <c r="C609" s="76"/>
      <c r="D609" s="29"/>
      <c r="E609" s="29"/>
      <c r="F609" s="29"/>
      <c r="G609" s="29"/>
      <c r="H609" s="29" t="str">
        <f t="shared" si="1"/>
        <v/>
      </c>
      <c r="I609" s="29" t="str">
        <f t="shared" si="2"/>
        <v/>
      </c>
      <c r="J609" s="29" t="str">
        <f>IF(A609="", "", IFERROR(VLOOKUP(A609, 'Master Roster'!A:H, 8, FALSE) - F609, ""))</f>
        <v/>
      </c>
      <c r="K609" s="29" t="s">
        <v>175</v>
      </c>
      <c r="L609" s="29" t="b">
        <v>0</v>
      </c>
      <c r="M609" s="29"/>
      <c r="N609" s="29" t="s">
        <v>175</v>
      </c>
      <c r="O609" s="29" t="str">
        <f>IF(ISBLANK(A609), "", LET(entry_day, VLOOKUP(A609, 'Master Roster'!$A:$G, 7, FALSE), start_date, DATE(E609, MONTH(D609&amp;" 1"), entry_day), end_date, EDATE(start_date, 1), period, TEXT(start_date, "mmm d, yyyy") &amp; " - " &amp; TEXT(end_date, "mmm d, yyyy"), HYPERLINK("https://wa.me/" &amp; VLOOKUP(A609, 'Master Roster'!$A:$F, 6, FALSE) &amp; "?text=" &amp; ENCODEURL("Hello " &amp; IFERROR(IF(VLOOKUP(A609, 'Master Roster'!$A:$J, 10, FALSE)="Male", "Mr. ", "Ms. "), "") &amp; B609 &amp; ", payment of K" &amp; F609 &amp; " received for " &amp; period &amp; ". Receipt No: " &amp; N609), "Send Receipt")))</f>
        <v/>
      </c>
    </row>
    <row r="610">
      <c r="A610" s="29"/>
      <c r="B610" s="29" t="s">
        <v>175</v>
      </c>
      <c r="C610" s="76"/>
      <c r="D610" s="29"/>
      <c r="E610" s="29"/>
      <c r="F610" s="29"/>
      <c r="G610" s="29"/>
      <c r="H610" s="29" t="str">
        <f t="shared" si="1"/>
        <v/>
      </c>
      <c r="I610" s="29" t="str">
        <f t="shared" si="2"/>
        <v/>
      </c>
      <c r="J610" s="29" t="str">
        <f>IF(A610="", "", IFERROR(VLOOKUP(A610, 'Master Roster'!A:H, 8, FALSE) - F610, ""))</f>
        <v/>
      </c>
      <c r="K610" s="29" t="s">
        <v>175</v>
      </c>
      <c r="L610" s="29" t="b">
        <v>0</v>
      </c>
      <c r="M610" s="29"/>
      <c r="N610" s="29" t="s">
        <v>175</v>
      </c>
      <c r="O610" s="29" t="str">
        <f>IF(ISBLANK(A610), "", LET(entry_day, VLOOKUP(A610, 'Master Roster'!$A:$G, 7, FALSE), start_date, DATE(E610, MONTH(D610&amp;" 1"), entry_day), end_date, EDATE(start_date, 1), period, TEXT(start_date, "mmm d, yyyy") &amp; " - " &amp; TEXT(end_date, "mmm d, yyyy"), HYPERLINK("https://wa.me/" &amp; VLOOKUP(A610, 'Master Roster'!$A:$F, 6, FALSE) &amp; "?text=" &amp; ENCODEURL("Hello " &amp; IFERROR(IF(VLOOKUP(A610, 'Master Roster'!$A:$J, 10, FALSE)="Male", "Mr. ", "Ms. "), "") &amp; B610 &amp; ", payment of K" &amp; F610 &amp; " received for " &amp; period &amp; ". Receipt No: " &amp; N610), "Send Receipt")))</f>
        <v/>
      </c>
    </row>
    <row r="611">
      <c r="A611" s="29"/>
      <c r="B611" s="29" t="s">
        <v>175</v>
      </c>
      <c r="C611" s="76"/>
      <c r="D611" s="29"/>
      <c r="E611" s="29"/>
      <c r="F611" s="29"/>
      <c r="G611" s="29"/>
      <c r="H611" s="29" t="str">
        <f t="shared" si="1"/>
        <v/>
      </c>
      <c r="I611" s="29" t="str">
        <f t="shared" si="2"/>
        <v/>
      </c>
      <c r="J611" s="29" t="str">
        <f>IF(A611="", "", IFERROR(VLOOKUP(A611, 'Master Roster'!A:H, 8, FALSE) - F611, ""))</f>
        <v/>
      </c>
      <c r="K611" s="29" t="s">
        <v>175</v>
      </c>
      <c r="L611" s="29" t="b">
        <v>0</v>
      </c>
      <c r="M611" s="29"/>
      <c r="N611" s="29" t="s">
        <v>175</v>
      </c>
      <c r="O611" s="29" t="str">
        <f>IF(ISBLANK(A611), "", LET(entry_day, VLOOKUP(A611, 'Master Roster'!$A:$G, 7, FALSE), start_date, DATE(E611, MONTH(D611&amp;" 1"), entry_day), end_date, EDATE(start_date, 1), period, TEXT(start_date, "mmm d, yyyy") &amp; " - " &amp; TEXT(end_date, "mmm d, yyyy"), HYPERLINK("https://wa.me/" &amp; VLOOKUP(A611, 'Master Roster'!$A:$F, 6, FALSE) &amp; "?text=" &amp; ENCODEURL("Hello " &amp; IFERROR(IF(VLOOKUP(A611, 'Master Roster'!$A:$J, 10, FALSE)="Male", "Mr. ", "Ms. "), "") &amp; B611 &amp; ", payment of K" &amp; F611 &amp; " received for " &amp; period &amp; ". Receipt No: " &amp; N611), "Send Receipt")))</f>
        <v/>
      </c>
    </row>
    <row r="612">
      <c r="A612" s="29"/>
      <c r="B612" s="29" t="s">
        <v>175</v>
      </c>
      <c r="C612" s="76"/>
      <c r="D612" s="29"/>
      <c r="E612" s="29"/>
      <c r="F612" s="29"/>
      <c r="G612" s="29"/>
      <c r="H612" s="29" t="str">
        <f t="shared" si="1"/>
        <v/>
      </c>
      <c r="I612" s="29" t="str">
        <f t="shared" si="2"/>
        <v/>
      </c>
      <c r="J612" s="29" t="str">
        <f>IF(A612="", "", IFERROR(VLOOKUP(A612, 'Master Roster'!A:H, 8, FALSE) - F612, ""))</f>
        <v/>
      </c>
      <c r="K612" s="29" t="s">
        <v>175</v>
      </c>
      <c r="L612" s="29" t="b">
        <v>0</v>
      </c>
      <c r="M612" s="29"/>
      <c r="N612" s="29" t="s">
        <v>175</v>
      </c>
      <c r="O612" s="29" t="str">
        <f>IF(ISBLANK(A612), "", LET(entry_day, VLOOKUP(A612, 'Master Roster'!$A:$G, 7, FALSE), start_date, DATE(E612, MONTH(D612&amp;" 1"), entry_day), end_date, EDATE(start_date, 1), period, TEXT(start_date, "mmm d, yyyy") &amp; " - " &amp; TEXT(end_date, "mmm d, yyyy"), HYPERLINK("https://wa.me/" &amp; VLOOKUP(A612, 'Master Roster'!$A:$F, 6, FALSE) &amp; "?text=" &amp; ENCODEURL("Hello " &amp; IFERROR(IF(VLOOKUP(A612, 'Master Roster'!$A:$J, 10, FALSE)="Male", "Mr. ", "Ms. "), "") &amp; B612 &amp; ", payment of K" &amp; F612 &amp; " received for " &amp; period &amp; ". Receipt No: " &amp; N612), "Send Receipt")))</f>
        <v/>
      </c>
    </row>
    <row r="613">
      <c r="A613" s="29"/>
      <c r="B613" s="29" t="s">
        <v>175</v>
      </c>
      <c r="C613" s="76"/>
      <c r="D613" s="29"/>
      <c r="E613" s="29"/>
      <c r="F613" s="29"/>
      <c r="G613" s="29"/>
      <c r="H613" s="29" t="str">
        <f t="shared" si="1"/>
        <v/>
      </c>
      <c r="I613" s="29" t="str">
        <f t="shared" si="2"/>
        <v/>
      </c>
      <c r="J613" s="29" t="str">
        <f>IF(A613="", "", IFERROR(VLOOKUP(A613, 'Master Roster'!A:H, 8, FALSE) - F613, ""))</f>
        <v/>
      </c>
      <c r="K613" s="29" t="s">
        <v>175</v>
      </c>
      <c r="L613" s="29" t="b">
        <v>0</v>
      </c>
      <c r="M613" s="29"/>
      <c r="N613" s="29" t="s">
        <v>175</v>
      </c>
      <c r="O613" s="29" t="str">
        <f>IF(ISBLANK(A613), "", LET(entry_day, VLOOKUP(A613, 'Master Roster'!$A:$G, 7, FALSE), start_date, DATE(E613, MONTH(D613&amp;" 1"), entry_day), end_date, EDATE(start_date, 1), period, TEXT(start_date, "mmm d, yyyy") &amp; " - " &amp; TEXT(end_date, "mmm d, yyyy"), HYPERLINK("https://wa.me/" &amp; VLOOKUP(A613, 'Master Roster'!$A:$F, 6, FALSE) &amp; "?text=" &amp; ENCODEURL("Hello " &amp; IFERROR(IF(VLOOKUP(A613, 'Master Roster'!$A:$J, 10, FALSE)="Male", "Mr. ", "Ms. "), "") &amp; B613 &amp; ", payment of K" &amp; F613 &amp; " received for " &amp; period &amp; ". Receipt No: " &amp; N613), "Send Receipt")))</f>
        <v/>
      </c>
    </row>
    <row r="614">
      <c r="A614" s="29"/>
      <c r="B614" s="29" t="s">
        <v>175</v>
      </c>
      <c r="C614" s="76"/>
      <c r="D614" s="29"/>
      <c r="E614" s="29"/>
      <c r="F614" s="29"/>
      <c r="G614" s="29"/>
      <c r="H614" s="29" t="str">
        <f t="shared" si="1"/>
        <v/>
      </c>
      <c r="I614" s="29" t="str">
        <f t="shared" si="2"/>
        <v/>
      </c>
      <c r="J614" s="29" t="str">
        <f>IF(A614="", "", IFERROR(VLOOKUP(A614, 'Master Roster'!A:H, 8, FALSE) - F614, ""))</f>
        <v/>
      </c>
      <c r="K614" s="29" t="s">
        <v>175</v>
      </c>
      <c r="L614" s="29" t="b">
        <v>0</v>
      </c>
      <c r="M614" s="29"/>
      <c r="N614" s="29" t="s">
        <v>175</v>
      </c>
      <c r="O614" s="29" t="str">
        <f>IF(ISBLANK(A614), "", LET(entry_day, VLOOKUP(A614, 'Master Roster'!$A:$G, 7, FALSE), start_date, DATE(E614, MONTH(D614&amp;" 1"), entry_day), end_date, EDATE(start_date, 1), period, TEXT(start_date, "mmm d, yyyy") &amp; " - " &amp; TEXT(end_date, "mmm d, yyyy"), HYPERLINK("https://wa.me/" &amp; VLOOKUP(A614, 'Master Roster'!$A:$F, 6, FALSE) &amp; "?text=" &amp; ENCODEURL("Hello " &amp; IFERROR(IF(VLOOKUP(A614, 'Master Roster'!$A:$J, 10, FALSE)="Male", "Mr. ", "Ms. "), "") &amp; B614 &amp; ", payment of K" &amp; F614 &amp; " received for " &amp; period &amp; ". Receipt No: " &amp; N614), "Send Receipt")))</f>
        <v/>
      </c>
    </row>
    <row r="615">
      <c r="A615" s="29"/>
      <c r="B615" s="29" t="s">
        <v>175</v>
      </c>
      <c r="C615" s="76"/>
      <c r="D615" s="29"/>
      <c r="E615" s="29"/>
      <c r="F615" s="29"/>
      <c r="G615" s="29"/>
      <c r="H615" s="29" t="str">
        <f t="shared" si="1"/>
        <v/>
      </c>
      <c r="I615" s="29" t="str">
        <f t="shared" si="2"/>
        <v/>
      </c>
      <c r="J615" s="29" t="str">
        <f>IF(A615="", "", IFERROR(VLOOKUP(A615, 'Master Roster'!A:H, 8, FALSE) - F615, ""))</f>
        <v/>
      </c>
      <c r="K615" s="29" t="s">
        <v>175</v>
      </c>
      <c r="L615" s="29" t="b">
        <v>0</v>
      </c>
      <c r="M615" s="29"/>
      <c r="N615" s="29" t="s">
        <v>175</v>
      </c>
      <c r="O615" s="29" t="str">
        <f>IF(ISBLANK(A615), "", LET(entry_day, VLOOKUP(A615, 'Master Roster'!$A:$G, 7, FALSE), start_date, DATE(E615, MONTH(D615&amp;" 1"), entry_day), end_date, EDATE(start_date, 1), period, TEXT(start_date, "mmm d, yyyy") &amp; " - " &amp; TEXT(end_date, "mmm d, yyyy"), HYPERLINK("https://wa.me/" &amp; VLOOKUP(A615, 'Master Roster'!$A:$F, 6, FALSE) &amp; "?text=" &amp; ENCODEURL("Hello " &amp; IFERROR(IF(VLOOKUP(A615, 'Master Roster'!$A:$J, 10, FALSE)="Male", "Mr. ", "Ms. "), "") &amp; B615 &amp; ", payment of K" &amp; F615 &amp; " received for " &amp; period &amp; ". Receipt No: " &amp; N615), "Send Receipt")))</f>
        <v/>
      </c>
    </row>
    <row r="616">
      <c r="A616" s="29"/>
      <c r="B616" s="29" t="s">
        <v>175</v>
      </c>
      <c r="C616" s="76"/>
      <c r="D616" s="29"/>
      <c r="E616" s="29"/>
      <c r="F616" s="29"/>
      <c r="G616" s="29"/>
      <c r="H616" s="29" t="str">
        <f t="shared" si="1"/>
        <v/>
      </c>
      <c r="I616" s="29" t="str">
        <f t="shared" si="2"/>
        <v/>
      </c>
      <c r="J616" s="29" t="str">
        <f>IF(A616="", "", IFERROR(VLOOKUP(A616, 'Master Roster'!A:H, 8, FALSE) - F616, ""))</f>
        <v/>
      </c>
      <c r="K616" s="29" t="s">
        <v>175</v>
      </c>
      <c r="L616" s="29" t="b">
        <v>0</v>
      </c>
      <c r="M616" s="29"/>
      <c r="N616" s="29" t="s">
        <v>175</v>
      </c>
      <c r="O616" s="29" t="str">
        <f>IF(ISBLANK(A616), "", LET(entry_day, VLOOKUP(A616, 'Master Roster'!$A:$G, 7, FALSE), start_date, DATE(E616, MONTH(D616&amp;" 1"), entry_day), end_date, EDATE(start_date, 1), period, TEXT(start_date, "mmm d, yyyy") &amp; " - " &amp; TEXT(end_date, "mmm d, yyyy"), HYPERLINK("https://wa.me/" &amp; VLOOKUP(A616, 'Master Roster'!$A:$F, 6, FALSE) &amp; "?text=" &amp; ENCODEURL("Hello " &amp; IFERROR(IF(VLOOKUP(A616, 'Master Roster'!$A:$J, 10, FALSE)="Male", "Mr. ", "Ms. "), "") &amp; B616 &amp; ", payment of K" &amp; F616 &amp; " received for " &amp; period &amp; ". Receipt No: " &amp; N616), "Send Receipt")))</f>
        <v/>
      </c>
    </row>
    <row r="617">
      <c r="A617" s="29"/>
      <c r="B617" s="29" t="s">
        <v>175</v>
      </c>
      <c r="C617" s="76"/>
      <c r="D617" s="29"/>
      <c r="E617" s="29"/>
      <c r="F617" s="29"/>
      <c r="G617" s="29"/>
      <c r="H617" s="29" t="str">
        <f t="shared" si="1"/>
        <v/>
      </c>
      <c r="I617" s="29" t="str">
        <f t="shared" si="2"/>
        <v/>
      </c>
      <c r="J617" s="29" t="str">
        <f>IF(A617="", "", IFERROR(VLOOKUP(A617, 'Master Roster'!A:H, 8, FALSE) - F617, ""))</f>
        <v/>
      </c>
      <c r="K617" s="29" t="s">
        <v>175</v>
      </c>
      <c r="L617" s="29" t="b">
        <v>0</v>
      </c>
      <c r="M617" s="29"/>
      <c r="N617" s="29" t="s">
        <v>175</v>
      </c>
      <c r="O617" s="29" t="str">
        <f>IF(ISBLANK(A617), "", LET(entry_day, VLOOKUP(A617, 'Master Roster'!$A:$G, 7, FALSE), start_date, DATE(E617, MONTH(D617&amp;" 1"), entry_day), end_date, EDATE(start_date, 1), period, TEXT(start_date, "mmm d, yyyy") &amp; " - " &amp; TEXT(end_date, "mmm d, yyyy"), HYPERLINK("https://wa.me/" &amp; VLOOKUP(A617, 'Master Roster'!$A:$F, 6, FALSE) &amp; "?text=" &amp; ENCODEURL("Hello " &amp; IFERROR(IF(VLOOKUP(A617, 'Master Roster'!$A:$J, 10, FALSE)="Male", "Mr. ", "Ms. "), "") &amp; B617 &amp; ", payment of K" &amp; F617 &amp; " received for " &amp; period &amp; ". Receipt No: " &amp; N617), "Send Receipt")))</f>
        <v/>
      </c>
    </row>
    <row r="618">
      <c r="A618" s="29"/>
      <c r="B618" s="29" t="s">
        <v>175</v>
      </c>
      <c r="C618" s="76"/>
      <c r="D618" s="29"/>
      <c r="E618" s="29"/>
      <c r="F618" s="29"/>
      <c r="G618" s="29"/>
      <c r="H618" s="29" t="str">
        <f t="shared" si="1"/>
        <v/>
      </c>
      <c r="I618" s="29" t="str">
        <f t="shared" si="2"/>
        <v/>
      </c>
      <c r="J618" s="29" t="str">
        <f>IF(A618="", "", IFERROR(VLOOKUP(A618, 'Master Roster'!A:H, 8, FALSE) - F618, ""))</f>
        <v/>
      </c>
      <c r="K618" s="29" t="s">
        <v>175</v>
      </c>
      <c r="L618" s="29" t="b">
        <v>0</v>
      </c>
      <c r="M618" s="29"/>
      <c r="N618" s="29" t="s">
        <v>175</v>
      </c>
      <c r="O618" s="29" t="str">
        <f>IF(ISBLANK(A618), "", LET(entry_day, VLOOKUP(A618, 'Master Roster'!$A:$G, 7, FALSE), start_date, DATE(E618, MONTH(D618&amp;" 1"), entry_day), end_date, EDATE(start_date, 1), period, TEXT(start_date, "mmm d, yyyy") &amp; " - " &amp; TEXT(end_date, "mmm d, yyyy"), HYPERLINK("https://wa.me/" &amp; VLOOKUP(A618, 'Master Roster'!$A:$F, 6, FALSE) &amp; "?text=" &amp; ENCODEURL("Hello " &amp; IFERROR(IF(VLOOKUP(A618, 'Master Roster'!$A:$J, 10, FALSE)="Male", "Mr. ", "Ms. "), "") &amp; B618 &amp; ", payment of K" &amp; F618 &amp; " received for " &amp; period &amp; ". Receipt No: " &amp; N618), "Send Receipt")))</f>
        <v/>
      </c>
    </row>
    <row r="619">
      <c r="A619" s="29"/>
      <c r="B619" s="29" t="s">
        <v>175</v>
      </c>
      <c r="C619" s="76"/>
      <c r="D619" s="29"/>
      <c r="E619" s="29"/>
      <c r="F619" s="29"/>
      <c r="G619" s="29"/>
      <c r="H619" s="29" t="str">
        <f t="shared" si="1"/>
        <v/>
      </c>
      <c r="I619" s="29" t="str">
        <f t="shared" si="2"/>
        <v/>
      </c>
      <c r="J619" s="29" t="str">
        <f>IF(A619="", "", IFERROR(VLOOKUP(A619, 'Master Roster'!A:H, 8, FALSE) - F619, ""))</f>
        <v/>
      </c>
      <c r="K619" s="29" t="s">
        <v>175</v>
      </c>
      <c r="L619" s="29" t="b">
        <v>0</v>
      </c>
      <c r="M619" s="29"/>
      <c r="N619" s="29" t="s">
        <v>175</v>
      </c>
      <c r="O619" s="29" t="str">
        <f>IF(ISBLANK(A619), "", LET(entry_day, VLOOKUP(A619, 'Master Roster'!$A:$G, 7, FALSE), start_date, DATE(E619, MONTH(D619&amp;" 1"), entry_day), end_date, EDATE(start_date, 1), period, TEXT(start_date, "mmm d, yyyy") &amp; " - " &amp; TEXT(end_date, "mmm d, yyyy"), HYPERLINK("https://wa.me/" &amp; VLOOKUP(A619, 'Master Roster'!$A:$F, 6, FALSE) &amp; "?text=" &amp; ENCODEURL("Hello " &amp; IFERROR(IF(VLOOKUP(A619, 'Master Roster'!$A:$J, 10, FALSE)="Male", "Mr. ", "Ms. "), "") &amp; B619 &amp; ", payment of K" &amp; F619 &amp; " received for " &amp; period &amp; ". Receipt No: " &amp; N619), "Send Receipt")))</f>
        <v/>
      </c>
    </row>
    <row r="620">
      <c r="A620" s="29"/>
      <c r="B620" s="29" t="s">
        <v>175</v>
      </c>
      <c r="C620" s="76"/>
      <c r="D620" s="29"/>
      <c r="E620" s="29"/>
      <c r="F620" s="29"/>
      <c r="G620" s="29"/>
      <c r="H620" s="29" t="str">
        <f t="shared" si="1"/>
        <v/>
      </c>
      <c r="I620" s="29" t="str">
        <f t="shared" si="2"/>
        <v/>
      </c>
      <c r="J620" s="29" t="str">
        <f>IF(A620="", "", IFERROR(VLOOKUP(A620, 'Master Roster'!A:H, 8, FALSE) - F620, ""))</f>
        <v/>
      </c>
      <c r="K620" s="29" t="s">
        <v>175</v>
      </c>
      <c r="L620" s="29" t="b">
        <v>0</v>
      </c>
      <c r="M620" s="29"/>
      <c r="N620" s="29" t="s">
        <v>175</v>
      </c>
      <c r="O620" s="29" t="str">
        <f>IF(ISBLANK(A620), "", LET(entry_day, VLOOKUP(A620, 'Master Roster'!$A:$G, 7, FALSE), start_date, DATE(E620, MONTH(D620&amp;" 1"), entry_day), end_date, EDATE(start_date, 1), period, TEXT(start_date, "mmm d, yyyy") &amp; " - " &amp; TEXT(end_date, "mmm d, yyyy"), HYPERLINK("https://wa.me/" &amp; VLOOKUP(A620, 'Master Roster'!$A:$F, 6, FALSE) &amp; "?text=" &amp; ENCODEURL("Hello " &amp; IFERROR(IF(VLOOKUP(A620, 'Master Roster'!$A:$J, 10, FALSE)="Male", "Mr. ", "Ms. "), "") &amp; B620 &amp; ", payment of K" &amp; F620 &amp; " received for " &amp; period &amp; ". Receipt No: " &amp; N620), "Send Receipt")))</f>
        <v/>
      </c>
    </row>
    <row r="621">
      <c r="A621" s="29"/>
      <c r="B621" s="29" t="s">
        <v>175</v>
      </c>
      <c r="C621" s="76"/>
      <c r="D621" s="29"/>
      <c r="E621" s="29"/>
      <c r="F621" s="29"/>
      <c r="G621" s="29"/>
      <c r="H621" s="29" t="str">
        <f t="shared" si="1"/>
        <v/>
      </c>
      <c r="I621" s="29" t="str">
        <f t="shared" si="2"/>
        <v/>
      </c>
      <c r="J621" s="29" t="str">
        <f>IF(A621="", "", IFERROR(VLOOKUP(A621, 'Master Roster'!A:H, 8, FALSE) - F621, ""))</f>
        <v/>
      </c>
      <c r="K621" s="29" t="s">
        <v>175</v>
      </c>
      <c r="L621" s="29" t="b">
        <v>0</v>
      </c>
      <c r="M621" s="29"/>
      <c r="N621" s="29" t="s">
        <v>175</v>
      </c>
      <c r="O621" s="29" t="str">
        <f>IF(ISBLANK(A621), "", LET(entry_day, VLOOKUP(A621, 'Master Roster'!$A:$G, 7, FALSE), start_date, DATE(E621, MONTH(D621&amp;" 1"), entry_day), end_date, EDATE(start_date, 1), period, TEXT(start_date, "mmm d, yyyy") &amp; " - " &amp; TEXT(end_date, "mmm d, yyyy"), HYPERLINK("https://wa.me/" &amp; VLOOKUP(A621, 'Master Roster'!$A:$F, 6, FALSE) &amp; "?text=" &amp; ENCODEURL("Hello " &amp; IFERROR(IF(VLOOKUP(A621, 'Master Roster'!$A:$J, 10, FALSE)="Male", "Mr. ", "Ms. "), "") &amp; B621 &amp; ", payment of K" &amp; F621 &amp; " received for " &amp; period &amp; ". Receipt No: " &amp; N621), "Send Receipt")))</f>
        <v/>
      </c>
    </row>
    <row r="622">
      <c r="A622" s="29"/>
      <c r="B622" s="29" t="s">
        <v>175</v>
      </c>
      <c r="C622" s="76"/>
      <c r="D622" s="29"/>
      <c r="E622" s="29"/>
      <c r="F622" s="29"/>
      <c r="G622" s="29"/>
      <c r="H622" s="29" t="str">
        <f t="shared" si="1"/>
        <v/>
      </c>
      <c r="I622" s="29" t="str">
        <f t="shared" si="2"/>
        <v/>
      </c>
      <c r="J622" s="29" t="str">
        <f>IF(A622="", "", IFERROR(VLOOKUP(A622, 'Master Roster'!A:H, 8, FALSE) - F622, ""))</f>
        <v/>
      </c>
      <c r="K622" s="29" t="s">
        <v>175</v>
      </c>
      <c r="L622" s="29" t="b">
        <v>0</v>
      </c>
      <c r="M622" s="29"/>
      <c r="N622" s="29" t="s">
        <v>175</v>
      </c>
      <c r="O622" s="29" t="str">
        <f>IF(ISBLANK(A622), "", LET(entry_day, VLOOKUP(A622, 'Master Roster'!$A:$G, 7, FALSE), start_date, DATE(E622, MONTH(D622&amp;" 1"), entry_day), end_date, EDATE(start_date, 1), period, TEXT(start_date, "mmm d, yyyy") &amp; " - " &amp; TEXT(end_date, "mmm d, yyyy"), HYPERLINK("https://wa.me/" &amp; VLOOKUP(A622, 'Master Roster'!$A:$F, 6, FALSE) &amp; "?text=" &amp; ENCODEURL("Hello " &amp; IFERROR(IF(VLOOKUP(A622, 'Master Roster'!$A:$J, 10, FALSE)="Male", "Mr. ", "Ms. "), "") &amp; B622 &amp; ", payment of K" &amp; F622 &amp; " received for " &amp; period &amp; ". Receipt No: " &amp; N622), "Send Receipt")))</f>
        <v/>
      </c>
    </row>
    <row r="623">
      <c r="A623" s="29"/>
      <c r="B623" s="29" t="s">
        <v>175</v>
      </c>
      <c r="C623" s="76"/>
      <c r="D623" s="29"/>
      <c r="E623" s="29"/>
      <c r="F623" s="29"/>
      <c r="G623" s="29"/>
      <c r="H623" s="29" t="str">
        <f t="shared" si="1"/>
        <v/>
      </c>
      <c r="I623" s="29" t="str">
        <f t="shared" si="2"/>
        <v/>
      </c>
      <c r="J623" s="29" t="str">
        <f>IF(A623="", "", IFERROR(VLOOKUP(A623, 'Master Roster'!A:H, 8, FALSE) - F623, ""))</f>
        <v/>
      </c>
      <c r="K623" s="29" t="s">
        <v>175</v>
      </c>
      <c r="L623" s="29" t="b">
        <v>0</v>
      </c>
      <c r="M623" s="29"/>
      <c r="N623" s="29" t="s">
        <v>175</v>
      </c>
      <c r="O623" s="29" t="str">
        <f>IF(ISBLANK(A623), "", LET(entry_day, VLOOKUP(A623, 'Master Roster'!$A:$G, 7, FALSE), start_date, DATE(E623, MONTH(D623&amp;" 1"), entry_day), end_date, EDATE(start_date, 1), period, TEXT(start_date, "mmm d, yyyy") &amp; " - " &amp; TEXT(end_date, "mmm d, yyyy"), HYPERLINK("https://wa.me/" &amp; VLOOKUP(A623, 'Master Roster'!$A:$F, 6, FALSE) &amp; "?text=" &amp; ENCODEURL("Hello " &amp; IFERROR(IF(VLOOKUP(A623, 'Master Roster'!$A:$J, 10, FALSE)="Male", "Mr. ", "Ms. "), "") &amp; B623 &amp; ", payment of K" &amp; F623 &amp; " received for " &amp; period &amp; ". Receipt No: " &amp; N623), "Send Receipt")))</f>
        <v/>
      </c>
    </row>
    <row r="624">
      <c r="A624" s="29"/>
      <c r="B624" s="29" t="s">
        <v>175</v>
      </c>
      <c r="C624" s="76"/>
      <c r="D624" s="29"/>
      <c r="E624" s="29"/>
      <c r="F624" s="29"/>
      <c r="G624" s="29"/>
      <c r="H624" s="29" t="str">
        <f t="shared" si="1"/>
        <v/>
      </c>
      <c r="I624" s="29" t="str">
        <f t="shared" si="2"/>
        <v/>
      </c>
      <c r="J624" s="29" t="str">
        <f>IF(A624="", "", IFERROR(VLOOKUP(A624, 'Master Roster'!A:H, 8, FALSE) - F624, ""))</f>
        <v/>
      </c>
      <c r="K624" s="29" t="s">
        <v>175</v>
      </c>
      <c r="L624" s="29" t="b">
        <v>0</v>
      </c>
      <c r="M624" s="29"/>
      <c r="N624" s="29" t="s">
        <v>175</v>
      </c>
      <c r="O624" s="29" t="str">
        <f>IF(ISBLANK(A624), "", LET(entry_day, VLOOKUP(A624, 'Master Roster'!$A:$G, 7, FALSE), start_date, DATE(E624, MONTH(D624&amp;" 1"), entry_day), end_date, EDATE(start_date, 1), period, TEXT(start_date, "mmm d, yyyy") &amp; " - " &amp; TEXT(end_date, "mmm d, yyyy"), HYPERLINK("https://wa.me/" &amp; VLOOKUP(A624, 'Master Roster'!$A:$F, 6, FALSE) &amp; "?text=" &amp; ENCODEURL("Hello " &amp; IFERROR(IF(VLOOKUP(A624, 'Master Roster'!$A:$J, 10, FALSE)="Male", "Mr. ", "Ms. "), "") &amp; B624 &amp; ", payment of K" &amp; F624 &amp; " received for " &amp; period &amp; ". Receipt No: " &amp; N624), "Send Receipt")))</f>
        <v/>
      </c>
    </row>
    <row r="625">
      <c r="A625" s="29"/>
      <c r="B625" s="29" t="s">
        <v>175</v>
      </c>
      <c r="C625" s="76"/>
      <c r="D625" s="29"/>
      <c r="E625" s="29"/>
      <c r="F625" s="29"/>
      <c r="G625" s="29"/>
      <c r="H625" s="29" t="str">
        <f t="shared" si="1"/>
        <v/>
      </c>
      <c r="I625" s="29" t="str">
        <f t="shared" si="2"/>
        <v/>
      </c>
      <c r="J625" s="29" t="str">
        <f>IF(A625="", "", IFERROR(VLOOKUP(A625, 'Master Roster'!A:H, 8, FALSE) - F625, ""))</f>
        <v/>
      </c>
      <c r="K625" s="29" t="s">
        <v>175</v>
      </c>
      <c r="L625" s="29" t="b">
        <v>0</v>
      </c>
      <c r="M625" s="29"/>
      <c r="N625" s="29" t="s">
        <v>175</v>
      </c>
      <c r="O625" s="29" t="str">
        <f>IF(ISBLANK(A625), "", LET(entry_day, VLOOKUP(A625, 'Master Roster'!$A:$G, 7, FALSE), start_date, DATE(E625, MONTH(D625&amp;" 1"), entry_day), end_date, EDATE(start_date, 1), period, TEXT(start_date, "mmm d, yyyy") &amp; " - " &amp; TEXT(end_date, "mmm d, yyyy"), HYPERLINK("https://wa.me/" &amp; VLOOKUP(A625, 'Master Roster'!$A:$F, 6, FALSE) &amp; "?text=" &amp; ENCODEURL("Hello " &amp; IFERROR(IF(VLOOKUP(A625, 'Master Roster'!$A:$J, 10, FALSE)="Male", "Mr. ", "Ms. "), "") &amp; B625 &amp; ", payment of K" &amp; F625 &amp; " received for " &amp; period &amp; ". Receipt No: " &amp; N625), "Send Receipt")))</f>
        <v/>
      </c>
    </row>
    <row r="626">
      <c r="A626" s="29"/>
      <c r="B626" s="29" t="s">
        <v>175</v>
      </c>
      <c r="C626" s="76"/>
      <c r="D626" s="29"/>
      <c r="E626" s="29"/>
      <c r="F626" s="29"/>
      <c r="G626" s="29"/>
      <c r="H626" s="29" t="str">
        <f t="shared" si="1"/>
        <v/>
      </c>
      <c r="I626" s="29" t="str">
        <f t="shared" si="2"/>
        <v/>
      </c>
      <c r="J626" s="29" t="str">
        <f>IF(A626="", "", IFERROR(VLOOKUP(A626, 'Master Roster'!A:H, 8, FALSE) - F626, ""))</f>
        <v/>
      </c>
      <c r="K626" s="29" t="s">
        <v>175</v>
      </c>
      <c r="L626" s="29" t="b">
        <v>0</v>
      </c>
      <c r="M626" s="29"/>
      <c r="N626" s="29" t="s">
        <v>175</v>
      </c>
      <c r="O626" s="29" t="str">
        <f>IF(ISBLANK(A626), "", LET(entry_day, VLOOKUP(A626, 'Master Roster'!$A:$G, 7, FALSE), start_date, DATE(E626, MONTH(D626&amp;" 1"), entry_day), end_date, EDATE(start_date, 1), period, TEXT(start_date, "mmm d, yyyy") &amp; " - " &amp; TEXT(end_date, "mmm d, yyyy"), HYPERLINK("https://wa.me/" &amp; VLOOKUP(A626, 'Master Roster'!$A:$F, 6, FALSE) &amp; "?text=" &amp; ENCODEURL("Hello " &amp; IFERROR(IF(VLOOKUP(A626, 'Master Roster'!$A:$J, 10, FALSE)="Male", "Mr. ", "Ms. "), "") &amp; B626 &amp; ", payment of K" &amp; F626 &amp; " received for " &amp; period &amp; ". Receipt No: " &amp; N626), "Send Receipt")))</f>
        <v/>
      </c>
    </row>
    <row r="627">
      <c r="A627" s="29"/>
      <c r="B627" s="29" t="s">
        <v>175</v>
      </c>
      <c r="C627" s="76"/>
      <c r="D627" s="29"/>
      <c r="E627" s="29"/>
      <c r="F627" s="29"/>
      <c r="G627" s="29"/>
      <c r="H627" s="29" t="str">
        <f t="shared" si="1"/>
        <v/>
      </c>
      <c r="I627" s="29" t="str">
        <f t="shared" si="2"/>
        <v/>
      </c>
      <c r="J627" s="29" t="str">
        <f>IF(A627="", "", IFERROR(VLOOKUP(A627, 'Master Roster'!A:H, 8, FALSE) - F627, ""))</f>
        <v/>
      </c>
      <c r="K627" s="29" t="s">
        <v>175</v>
      </c>
      <c r="L627" s="29" t="b">
        <v>0</v>
      </c>
      <c r="M627" s="29"/>
      <c r="N627" s="29" t="s">
        <v>175</v>
      </c>
      <c r="O627" s="29" t="str">
        <f>IF(ISBLANK(A627), "", LET(entry_day, VLOOKUP(A627, 'Master Roster'!$A:$G, 7, FALSE), start_date, DATE(E627, MONTH(D627&amp;" 1"), entry_day), end_date, EDATE(start_date, 1), period, TEXT(start_date, "mmm d, yyyy") &amp; " - " &amp; TEXT(end_date, "mmm d, yyyy"), HYPERLINK("https://wa.me/" &amp; VLOOKUP(A627, 'Master Roster'!$A:$F, 6, FALSE) &amp; "?text=" &amp; ENCODEURL("Hello " &amp; IFERROR(IF(VLOOKUP(A627, 'Master Roster'!$A:$J, 10, FALSE)="Male", "Mr. ", "Ms. "), "") &amp; B627 &amp; ", payment of K" &amp; F627 &amp; " received for " &amp; period &amp; ". Receipt No: " &amp; N627), "Send Receipt")))</f>
        <v/>
      </c>
    </row>
    <row r="628">
      <c r="A628" s="29"/>
      <c r="B628" s="29" t="s">
        <v>175</v>
      </c>
      <c r="C628" s="76"/>
      <c r="D628" s="29"/>
      <c r="E628" s="29"/>
      <c r="F628" s="29"/>
      <c r="G628" s="29"/>
      <c r="H628" s="29" t="str">
        <f t="shared" si="1"/>
        <v/>
      </c>
      <c r="I628" s="29" t="str">
        <f t="shared" si="2"/>
        <v/>
      </c>
      <c r="J628" s="29" t="str">
        <f>IF(A628="", "", IFERROR(VLOOKUP(A628, 'Master Roster'!A:H, 8, FALSE) - F628, ""))</f>
        <v/>
      </c>
      <c r="K628" s="29" t="s">
        <v>175</v>
      </c>
      <c r="L628" s="29" t="b">
        <v>0</v>
      </c>
      <c r="M628" s="29"/>
      <c r="N628" s="29" t="s">
        <v>175</v>
      </c>
      <c r="O628" s="29" t="str">
        <f>IF(ISBLANK(A628), "", LET(entry_day, VLOOKUP(A628, 'Master Roster'!$A:$G, 7, FALSE), start_date, DATE(E628, MONTH(D628&amp;" 1"), entry_day), end_date, EDATE(start_date, 1), period, TEXT(start_date, "mmm d, yyyy") &amp; " - " &amp; TEXT(end_date, "mmm d, yyyy"), HYPERLINK("https://wa.me/" &amp; VLOOKUP(A628, 'Master Roster'!$A:$F, 6, FALSE) &amp; "?text=" &amp; ENCODEURL("Hello " &amp; IFERROR(IF(VLOOKUP(A628, 'Master Roster'!$A:$J, 10, FALSE)="Male", "Mr. ", "Ms. "), "") &amp; B628 &amp; ", payment of K" &amp; F628 &amp; " received for " &amp; period &amp; ". Receipt No: " &amp; N628), "Send Receipt")))</f>
        <v/>
      </c>
    </row>
    <row r="629">
      <c r="A629" s="29"/>
      <c r="B629" s="29" t="s">
        <v>175</v>
      </c>
      <c r="C629" s="76"/>
      <c r="D629" s="29"/>
      <c r="E629" s="29"/>
      <c r="F629" s="29"/>
      <c r="G629" s="29"/>
      <c r="H629" s="29" t="str">
        <f t="shared" si="1"/>
        <v/>
      </c>
      <c r="I629" s="29" t="str">
        <f t="shared" si="2"/>
        <v/>
      </c>
      <c r="J629" s="29" t="str">
        <f>IF(A629="", "", IFERROR(VLOOKUP(A629, 'Master Roster'!A:H, 8, FALSE) - F629, ""))</f>
        <v/>
      </c>
      <c r="K629" s="29" t="s">
        <v>175</v>
      </c>
      <c r="L629" s="29" t="b">
        <v>0</v>
      </c>
      <c r="M629" s="29"/>
      <c r="N629" s="29" t="s">
        <v>175</v>
      </c>
      <c r="O629" s="29" t="str">
        <f>IF(ISBLANK(A629), "", LET(entry_day, VLOOKUP(A629, 'Master Roster'!$A:$G, 7, FALSE), start_date, DATE(E629, MONTH(D629&amp;" 1"), entry_day), end_date, EDATE(start_date, 1), period, TEXT(start_date, "mmm d, yyyy") &amp; " - " &amp; TEXT(end_date, "mmm d, yyyy"), HYPERLINK("https://wa.me/" &amp; VLOOKUP(A629, 'Master Roster'!$A:$F, 6, FALSE) &amp; "?text=" &amp; ENCODEURL("Hello " &amp; IFERROR(IF(VLOOKUP(A629, 'Master Roster'!$A:$J, 10, FALSE)="Male", "Mr. ", "Ms. "), "") &amp; B629 &amp; ", payment of K" &amp; F629 &amp; " received for " &amp; period &amp; ". Receipt No: " &amp; N629), "Send Receipt")))</f>
        <v/>
      </c>
    </row>
    <row r="630">
      <c r="A630" s="29"/>
      <c r="B630" s="29" t="s">
        <v>175</v>
      </c>
      <c r="C630" s="76"/>
      <c r="D630" s="29"/>
      <c r="E630" s="29"/>
      <c r="F630" s="29"/>
      <c r="G630" s="29"/>
      <c r="H630" s="29" t="str">
        <f t="shared" si="1"/>
        <v/>
      </c>
      <c r="I630" s="29" t="str">
        <f t="shared" si="2"/>
        <v/>
      </c>
      <c r="J630" s="29" t="str">
        <f>IF(A630="", "", IFERROR(VLOOKUP(A630, 'Master Roster'!A:H, 8, FALSE) - F630, ""))</f>
        <v/>
      </c>
      <c r="K630" s="29" t="s">
        <v>175</v>
      </c>
      <c r="L630" s="29" t="b">
        <v>0</v>
      </c>
      <c r="M630" s="29"/>
      <c r="N630" s="29" t="s">
        <v>175</v>
      </c>
      <c r="O630" s="29" t="str">
        <f>IF(ISBLANK(A630), "", LET(entry_day, VLOOKUP(A630, 'Master Roster'!$A:$G, 7, FALSE), start_date, DATE(E630, MONTH(D630&amp;" 1"), entry_day), end_date, EDATE(start_date, 1), period, TEXT(start_date, "mmm d, yyyy") &amp; " - " &amp; TEXT(end_date, "mmm d, yyyy"), HYPERLINK("https://wa.me/" &amp; VLOOKUP(A630, 'Master Roster'!$A:$F, 6, FALSE) &amp; "?text=" &amp; ENCODEURL("Hello " &amp; IFERROR(IF(VLOOKUP(A630, 'Master Roster'!$A:$J, 10, FALSE)="Male", "Mr. ", "Ms. "), "") &amp; B630 &amp; ", payment of K" &amp; F630 &amp; " received for " &amp; period &amp; ". Receipt No: " &amp; N630), "Send Receipt")))</f>
        <v/>
      </c>
    </row>
    <row r="631">
      <c r="A631" s="29"/>
      <c r="B631" s="29" t="s">
        <v>175</v>
      </c>
      <c r="C631" s="76"/>
      <c r="D631" s="29"/>
      <c r="E631" s="29"/>
      <c r="F631" s="29"/>
      <c r="G631" s="29"/>
      <c r="H631" s="29" t="str">
        <f t="shared" si="1"/>
        <v/>
      </c>
      <c r="I631" s="29" t="str">
        <f t="shared" si="2"/>
        <v/>
      </c>
      <c r="J631" s="29" t="str">
        <f>IF(A631="", "", IFERROR(VLOOKUP(A631, 'Master Roster'!A:H, 8, FALSE) - F631, ""))</f>
        <v/>
      </c>
      <c r="K631" s="29" t="s">
        <v>175</v>
      </c>
      <c r="L631" s="29" t="b">
        <v>0</v>
      </c>
      <c r="M631" s="29"/>
      <c r="N631" s="29" t="s">
        <v>175</v>
      </c>
      <c r="O631" s="29" t="str">
        <f>IF(ISBLANK(A631), "", LET(entry_day, VLOOKUP(A631, 'Master Roster'!$A:$G, 7, FALSE), start_date, DATE(E631, MONTH(D631&amp;" 1"), entry_day), end_date, EDATE(start_date, 1), period, TEXT(start_date, "mmm d, yyyy") &amp; " - " &amp; TEXT(end_date, "mmm d, yyyy"), HYPERLINK("https://wa.me/" &amp; VLOOKUP(A631, 'Master Roster'!$A:$F, 6, FALSE) &amp; "?text=" &amp; ENCODEURL("Hello " &amp; IFERROR(IF(VLOOKUP(A631, 'Master Roster'!$A:$J, 10, FALSE)="Male", "Mr. ", "Ms. "), "") &amp; B631 &amp; ", payment of K" &amp; F631 &amp; " received for " &amp; period &amp; ". Receipt No: " &amp; N631), "Send Receipt")))</f>
        <v/>
      </c>
    </row>
    <row r="632">
      <c r="A632" s="29"/>
      <c r="B632" s="29" t="s">
        <v>175</v>
      </c>
      <c r="C632" s="76"/>
      <c r="D632" s="29"/>
      <c r="E632" s="29"/>
      <c r="F632" s="29"/>
      <c r="G632" s="29"/>
      <c r="H632" s="29" t="str">
        <f t="shared" si="1"/>
        <v/>
      </c>
      <c r="I632" s="29" t="str">
        <f t="shared" si="2"/>
        <v/>
      </c>
      <c r="J632" s="29" t="str">
        <f>IF(A632="", "", IFERROR(VLOOKUP(A632, 'Master Roster'!A:H, 8, FALSE) - F632, ""))</f>
        <v/>
      </c>
      <c r="K632" s="29" t="s">
        <v>175</v>
      </c>
      <c r="L632" s="29" t="b">
        <v>0</v>
      </c>
      <c r="M632" s="29"/>
      <c r="N632" s="29" t="s">
        <v>175</v>
      </c>
      <c r="O632" s="29" t="str">
        <f>IF(ISBLANK(A632), "", LET(entry_day, VLOOKUP(A632, 'Master Roster'!$A:$G, 7, FALSE), start_date, DATE(E632, MONTH(D632&amp;" 1"), entry_day), end_date, EDATE(start_date, 1), period, TEXT(start_date, "mmm d, yyyy") &amp; " - " &amp; TEXT(end_date, "mmm d, yyyy"), HYPERLINK("https://wa.me/" &amp; VLOOKUP(A632, 'Master Roster'!$A:$F, 6, FALSE) &amp; "?text=" &amp; ENCODEURL("Hello " &amp; IFERROR(IF(VLOOKUP(A632, 'Master Roster'!$A:$J, 10, FALSE)="Male", "Mr. ", "Ms. "), "") &amp; B632 &amp; ", payment of K" &amp; F632 &amp; " received for " &amp; period &amp; ". Receipt No: " &amp; N632), "Send Receipt")))</f>
        <v/>
      </c>
    </row>
    <row r="633">
      <c r="A633" s="29"/>
      <c r="B633" s="29" t="s">
        <v>175</v>
      </c>
      <c r="C633" s="76"/>
      <c r="D633" s="29"/>
      <c r="E633" s="29"/>
      <c r="F633" s="29"/>
      <c r="G633" s="29"/>
      <c r="H633" s="29" t="str">
        <f t="shared" si="1"/>
        <v/>
      </c>
      <c r="I633" s="29" t="str">
        <f t="shared" si="2"/>
        <v/>
      </c>
      <c r="J633" s="29" t="str">
        <f>IF(A633="", "", IFERROR(VLOOKUP(A633, 'Master Roster'!A:H, 8, FALSE) - F633, ""))</f>
        <v/>
      </c>
      <c r="K633" s="29" t="s">
        <v>175</v>
      </c>
      <c r="L633" s="29" t="b">
        <v>0</v>
      </c>
      <c r="M633" s="29"/>
      <c r="N633" s="29" t="s">
        <v>175</v>
      </c>
      <c r="O633" s="29" t="str">
        <f>IF(ISBLANK(A633), "", LET(entry_day, VLOOKUP(A633, 'Master Roster'!$A:$G, 7, FALSE), start_date, DATE(E633, MONTH(D633&amp;" 1"), entry_day), end_date, EDATE(start_date, 1), period, TEXT(start_date, "mmm d, yyyy") &amp; " - " &amp; TEXT(end_date, "mmm d, yyyy"), HYPERLINK("https://wa.me/" &amp; VLOOKUP(A633, 'Master Roster'!$A:$F, 6, FALSE) &amp; "?text=" &amp; ENCODEURL("Hello " &amp; IFERROR(IF(VLOOKUP(A633, 'Master Roster'!$A:$J, 10, FALSE)="Male", "Mr. ", "Ms. "), "") &amp; B633 &amp; ", payment of K" &amp; F633 &amp; " received for " &amp; period &amp; ". Receipt No: " &amp; N633), "Send Receipt")))</f>
        <v/>
      </c>
    </row>
    <row r="634">
      <c r="A634" s="29"/>
      <c r="B634" s="29" t="s">
        <v>175</v>
      </c>
      <c r="C634" s="76"/>
      <c r="D634" s="29"/>
      <c r="E634" s="29"/>
      <c r="F634" s="29"/>
      <c r="G634" s="29"/>
      <c r="H634" s="29" t="str">
        <f t="shared" si="1"/>
        <v/>
      </c>
      <c r="I634" s="29" t="str">
        <f t="shared" si="2"/>
        <v/>
      </c>
      <c r="J634" s="29" t="str">
        <f>IF(A634="", "", IFERROR(VLOOKUP(A634, 'Master Roster'!A:H, 8, FALSE) - F634, ""))</f>
        <v/>
      </c>
      <c r="K634" s="29" t="s">
        <v>175</v>
      </c>
      <c r="L634" s="29" t="b">
        <v>0</v>
      </c>
      <c r="M634" s="29"/>
      <c r="N634" s="29" t="s">
        <v>175</v>
      </c>
      <c r="O634" s="29" t="str">
        <f>IF(ISBLANK(A634), "", LET(entry_day, VLOOKUP(A634, 'Master Roster'!$A:$G, 7, FALSE), start_date, DATE(E634, MONTH(D634&amp;" 1"), entry_day), end_date, EDATE(start_date, 1), period, TEXT(start_date, "mmm d, yyyy") &amp; " - " &amp; TEXT(end_date, "mmm d, yyyy"), HYPERLINK("https://wa.me/" &amp; VLOOKUP(A634, 'Master Roster'!$A:$F, 6, FALSE) &amp; "?text=" &amp; ENCODEURL("Hello " &amp; IFERROR(IF(VLOOKUP(A634, 'Master Roster'!$A:$J, 10, FALSE)="Male", "Mr. ", "Ms. "), "") &amp; B634 &amp; ", payment of K" &amp; F634 &amp; " received for " &amp; period &amp; ". Receipt No: " &amp; N634), "Send Receipt")))</f>
        <v/>
      </c>
    </row>
    <row r="635">
      <c r="A635" s="29"/>
      <c r="B635" s="29" t="s">
        <v>175</v>
      </c>
      <c r="C635" s="76"/>
      <c r="D635" s="29"/>
      <c r="E635" s="29"/>
      <c r="F635" s="29"/>
      <c r="G635" s="29"/>
      <c r="H635" s="29" t="str">
        <f t="shared" si="1"/>
        <v/>
      </c>
      <c r="I635" s="29" t="str">
        <f t="shared" si="2"/>
        <v/>
      </c>
      <c r="J635" s="29" t="str">
        <f>IF(A635="", "", IFERROR(VLOOKUP(A635, 'Master Roster'!A:H, 8, FALSE) - F635, ""))</f>
        <v/>
      </c>
      <c r="K635" s="29" t="s">
        <v>175</v>
      </c>
      <c r="L635" s="29" t="b">
        <v>0</v>
      </c>
      <c r="M635" s="29"/>
      <c r="N635" s="29" t="s">
        <v>175</v>
      </c>
      <c r="O635" s="29" t="str">
        <f>IF(ISBLANK(A635), "", LET(entry_day, VLOOKUP(A635, 'Master Roster'!$A:$G, 7, FALSE), start_date, DATE(E635, MONTH(D635&amp;" 1"), entry_day), end_date, EDATE(start_date, 1), period, TEXT(start_date, "mmm d, yyyy") &amp; " - " &amp; TEXT(end_date, "mmm d, yyyy"), HYPERLINK("https://wa.me/" &amp; VLOOKUP(A635, 'Master Roster'!$A:$F, 6, FALSE) &amp; "?text=" &amp; ENCODEURL("Hello " &amp; IFERROR(IF(VLOOKUP(A635, 'Master Roster'!$A:$J, 10, FALSE)="Male", "Mr. ", "Ms. "), "") &amp; B635 &amp; ", payment of K" &amp; F635 &amp; " received for " &amp; period &amp; ". Receipt No: " &amp; N635), "Send Receipt")))</f>
        <v/>
      </c>
    </row>
    <row r="636">
      <c r="A636" s="29"/>
      <c r="B636" s="29" t="s">
        <v>175</v>
      </c>
      <c r="C636" s="76"/>
      <c r="D636" s="29"/>
      <c r="E636" s="29"/>
      <c r="F636" s="29"/>
      <c r="G636" s="29"/>
      <c r="H636" s="29" t="str">
        <f t="shared" si="1"/>
        <v/>
      </c>
      <c r="I636" s="29" t="str">
        <f t="shared" si="2"/>
        <v/>
      </c>
      <c r="J636" s="29" t="str">
        <f>IF(A636="", "", IFERROR(VLOOKUP(A636, 'Master Roster'!A:H, 8, FALSE) - F636, ""))</f>
        <v/>
      </c>
      <c r="K636" s="29" t="s">
        <v>175</v>
      </c>
      <c r="L636" s="29" t="b">
        <v>0</v>
      </c>
      <c r="M636" s="29"/>
      <c r="N636" s="29" t="s">
        <v>175</v>
      </c>
      <c r="O636" s="29" t="str">
        <f>IF(ISBLANK(A636), "", LET(entry_day, VLOOKUP(A636, 'Master Roster'!$A:$G, 7, FALSE), start_date, DATE(E636, MONTH(D636&amp;" 1"), entry_day), end_date, EDATE(start_date, 1), period, TEXT(start_date, "mmm d, yyyy") &amp; " - " &amp; TEXT(end_date, "mmm d, yyyy"), HYPERLINK("https://wa.me/" &amp; VLOOKUP(A636, 'Master Roster'!$A:$F, 6, FALSE) &amp; "?text=" &amp; ENCODEURL("Hello " &amp; IFERROR(IF(VLOOKUP(A636, 'Master Roster'!$A:$J, 10, FALSE)="Male", "Mr. ", "Ms. "), "") &amp; B636 &amp; ", payment of K" &amp; F636 &amp; " received for " &amp; period &amp; ". Receipt No: " &amp; N636), "Send Receipt")))</f>
        <v/>
      </c>
    </row>
    <row r="637">
      <c r="A637" s="29"/>
      <c r="B637" s="29" t="s">
        <v>175</v>
      </c>
      <c r="C637" s="76"/>
      <c r="D637" s="29"/>
      <c r="E637" s="29"/>
      <c r="F637" s="29"/>
      <c r="G637" s="29"/>
      <c r="H637" s="29" t="str">
        <f t="shared" si="1"/>
        <v/>
      </c>
      <c r="I637" s="29" t="str">
        <f t="shared" si="2"/>
        <v/>
      </c>
      <c r="J637" s="29" t="str">
        <f>IF(A637="", "", IFERROR(VLOOKUP(A637, 'Master Roster'!A:H, 8, FALSE) - F637, ""))</f>
        <v/>
      </c>
      <c r="K637" s="29" t="s">
        <v>175</v>
      </c>
      <c r="L637" s="29" t="b">
        <v>0</v>
      </c>
      <c r="M637" s="29"/>
      <c r="N637" s="29" t="s">
        <v>175</v>
      </c>
      <c r="O637" s="29" t="str">
        <f>IF(ISBLANK(A637), "", LET(entry_day, VLOOKUP(A637, 'Master Roster'!$A:$G, 7, FALSE), start_date, DATE(E637, MONTH(D637&amp;" 1"), entry_day), end_date, EDATE(start_date, 1), period, TEXT(start_date, "mmm d, yyyy") &amp; " - " &amp; TEXT(end_date, "mmm d, yyyy"), HYPERLINK("https://wa.me/" &amp; VLOOKUP(A637, 'Master Roster'!$A:$F, 6, FALSE) &amp; "?text=" &amp; ENCODEURL("Hello " &amp; IFERROR(IF(VLOOKUP(A637, 'Master Roster'!$A:$J, 10, FALSE)="Male", "Mr. ", "Ms. "), "") &amp; B637 &amp; ", payment of K" &amp; F637 &amp; " received for " &amp; period &amp; ". Receipt No: " &amp; N637), "Send Receipt")))</f>
        <v/>
      </c>
    </row>
    <row r="638">
      <c r="A638" s="29"/>
      <c r="B638" s="29" t="s">
        <v>175</v>
      </c>
      <c r="C638" s="76"/>
      <c r="D638" s="29"/>
      <c r="E638" s="29"/>
      <c r="F638" s="29"/>
      <c r="G638" s="29"/>
      <c r="H638" s="29" t="str">
        <f t="shared" si="1"/>
        <v/>
      </c>
      <c r="I638" s="29" t="str">
        <f t="shared" si="2"/>
        <v/>
      </c>
      <c r="J638" s="29" t="str">
        <f>IF(A638="", "", IFERROR(VLOOKUP(A638, 'Master Roster'!A:H, 8, FALSE) - F638, ""))</f>
        <v/>
      </c>
      <c r="K638" s="29" t="s">
        <v>175</v>
      </c>
      <c r="L638" s="29" t="b">
        <v>0</v>
      </c>
      <c r="M638" s="29"/>
      <c r="N638" s="29" t="s">
        <v>175</v>
      </c>
      <c r="O638" s="29" t="str">
        <f>IF(ISBLANK(A638), "", LET(entry_day, VLOOKUP(A638, 'Master Roster'!$A:$G, 7, FALSE), start_date, DATE(E638, MONTH(D638&amp;" 1"), entry_day), end_date, EDATE(start_date, 1), period, TEXT(start_date, "mmm d, yyyy") &amp; " - " &amp; TEXT(end_date, "mmm d, yyyy"), HYPERLINK("https://wa.me/" &amp; VLOOKUP(A638, 'Master Roster'!$A:$F, 6, FALSE) &amp; "?text=" &amp; ENCODEURL("Hello " &amp; IFERROR(IF(VLOOKUP(A638, 'Master Roster'!$A:$J, 10, FALSE)="Male", "Mr. ", "Ms. "), "") &amp; B638 &amp; ", payment of K" &amp; F638 &amp; " received for " &amp; period &amp; ". Receipt No: " &amp; N638), "Send Receipt")))</f>
        <v/>
      </c>
    </row>
    <row r="639">
      <c r="A639" s="29"/>
      <c r="B639" s="29" t="s">
        <v>175</v>
      </c>
      <c r="C639" s="76"/>
      <c r="D639" s="29"/>
      <c r="E639" s="29"/>
      <c r="F639" s="29"/>
      <c r="G639" s="29"/>
      <c r="H639" s="29" t="str">
        <f t="shared" si="1"/>
        <v/>
      </c>
      <c r="I639" s="29" t="str">
        <f t="shared" si="2"/>
        <v/>
      </c>
      <c r="J639" s="29" t="str">
        <f>IF(A639="", "", IFERROR(VLOOKUP(A639, 'Master Roster'!A:H, 8, FALSE) - F639, ""))</f>
        <v/>
      </c>
      <c r="K639" s="29" t="s">
        <v>175</v>
      </c>
      <c r="L639" s="29" t="b">
        <v>0</v>
      </c>
      <c r="M639" s="29"/>
      <c r="N639" s="29" t="s">
        <v>175</v>
      </c>
      <c r="O639" s="29" t="str">
        <f>IF(ISBLANK(A639), "", LET(entry_day, VLOOKUP(A639, 'Master Roster'!$A:$G, 7, FALSE), start_date, DATE(E639, MONTH(D639&amp;" 1"), entry_day), end_date, EDATE(start_date, 1), period, TEXT(start_date, "mmm d, yyyy") &amp; " - " &amp; TEXT(end_date, "mmm d, yyyy"), HYPERLINK("https://wa.me/" &amp; VLOOKUP(A639, 'Master Roster'!$A:$F, 6, FALSE) &amp; "?text=" &amp; ENCODEURL("Hello " &amp; IFERROR(IF(VLOOKUP(A639, 'Master Roster'!$A:$J, 10, FALSE)="Male", "Mr. ", "Ms. "), "") &amp; B639 &amp; ", payment of K" &amp; F639 &amp; " received for " &amp; period &amp; ". Receipt No: " &amp; N639), "Send Receipt")))</f>
        <v/>
      </c>
    </row>
    <row r="640">
      <c r="A640" s="29"/>
      <c r="B640" s="29" t="s">
        <v>175</v>
      </c>
      <c r="C640" s="76"/>
      <c r="D640" s="29"/>
      <c r="E640" s="29"/>
      <c r="F640" s="29"/>
      <c r="G640" s="29"/>
      <c r="H640" s="29" t="str">
        <f t="shared" si="1"/>
        <v/>
      </c>
      <c r="I640" s="29" t="str">
        <f t="shared" si="2"/>
        <v/>
      </c>
      <c r="J640" s="29" t="str">
        <f>IF(A640="", "", IFERROR(VLOOKUP(A640, 'Master Roster'!A:H, 8, FALSE) - F640, ""))</f>
        <v/>
      </c>
      <c r="K640" s="29" t="s">
        <v>175</v>
      </c>
      <c r="L640" s="29" t="b">
        <v>0</v>
      </c>
      <c r="M640" s="29"/>
      <c r="N640" s="29" t="s">
        <v>175</v>
      </c>
      <c r="O640" s="29" t="str">
        <f>IF(ISBLANK(A640), "", LET(entry_day, VLOOKUP(A640, 'Master Roster'!$A:$G, 7, FALSE), start_date, DATE(E640, MONTH(D640&amp;" 1"), entry_day), end_date, EDATE(start_date, 1), period, TEXT(start_date, "mmm d, yyyy") &amp; " - " &amp; TEXT(end_date, "mmm d, yyyy"), HYPERLINK("https://wa.me/" &amp; VLOOKUP(A640, 'Master Roster'!$A:$F, 6, FALSE) &amp; "?text=" &amp; ENCODEURL("Hello " &amp; IFERROR(IF(VLOOKUP(A640, 'Master Roster'!$A:$J, 10, FALSE)="Male", "Mr. ", "Ms. "), "") &amp; B640 &amp; ", payment of K" &amp; F640 &amp; " received for " &amp; period &amp; ". Receipt No: " &amp; N640), "Send Receipt")))</f>
        <v/>
      </c>
    </row>
    <row r="641">
      <c r="A641" s="29"/>
      <c r="B641" s="29" t="s">
        <v>175</v>
      </c>
      <c r="C641" s="76"/>
      <c r="D641" s="29"/>
      <c r="E641" s="29"/>
      <c r="F641" s="29"/>
      <c r="G641" s="29"/>
      <c r="H641" s="29" t="str">
        <f t="shared" si="1"/>
        <v/>
      </c>
      <c r="I641" s="29" t="str">
        <f t="shared" si="2"/>
        <v/>
      </c>
      <c r="J641" s="29" t="str">
        <f>IF(A641="", "", IFERROR(VLOOKUP(A641, 'Master Roster'!A:H, 8, FALSE) - F641, ""))</f>
        <v/>
      </c>
      <c r="K641" s="29" t="s">
        <v>175</v>
      </c>
      <c r="L641" s="29" t="b">
        <v>0</v>
      </c>
      <c r="M641" s="29"/>
      <c r="N641" s="29" t="s">
        <v>175</v>
      </c>
      <c r="O641" s="29" t="str">
        <f>IF(ISBLANK(A641), "", LET(entry_day, VLOOKUP(A641, 'Master Roster'!$A:$G, 7, FALSE), start_date, DATE(E641, MONTH(D641&amp;" 1"), entry_day), end_date, EDATE(start_date, 1), period, TEXT(start_date, "mmm d, yyyy") &amp; " - " &amp; TEXT(end_date, "mmm d, yyyy"), HYPERLINK("https://wa.me/" &amp; VLOOKUP(A641, 'Master Roster'!$A:$F, 6, FALSE) &amp; "?text=" &amp; ENCODEURL("Hello " &amp; IFERROR(IF(VLOOKUP(A641, 'Master Roster'!$A:$J, 10, FALSE)="Male", "Mr. ", "Ms. "), "") &amp; B641 &amp; ", payment of K" &amp; F641 &amp; " received for " &amp; period &amp; ". Receipt No: " &amp; N641), "Send Receipt")))</f>
        <v/>
      </c>
    </row>
    <row r="642">
      <c r="A642" s="29"/>
      <c r="B642" s="29" t="s">
        <v>175</v>
      </c>
      <c r="C642" s="76"/>
      <c r="D642" s="29"/>
      <c r="E642" s="29"/>
      <c r="F642" s="29"/>
      <c r="G642" s="29"/>
      <c r="H642" s="29" t="str">
        <f t="shared" si="1"/>
        <v/>
      </c>
      <c r="I642" s="29" t="str">
        <f t="shared" si="2"/>
        <v/>
      </c>
      <c r="J642" s="29" t="str">
        <f>IF(A642="", "", IFERROR(VLOOKUP(A642, 'Master Roster'!A:H, 8, FALSE) - F642, ""))</f>
        <v/>
      </c>
      <c r="K642" s="29" t="s">
        <v>175</v>
      </c>
      <c r="L642" s="29" t="b">
        <v>0</v>
      </c>
      <c r="M642" s="29"/>
      <c r="N642" s="29" t="s">
        <v>175</v>
      </c>
      <c r="O642" s="29" t="str">
        <f>IF(ISBLANK(A642), "", LET(entry_day, VLOOKUP(A642, 'Master Roster'!$A:$G, 7, FALSE), start_date, DATE(E642, MONTH(D642&amp;" 1"), entry_day), end_date, EDATE(start_date, 1), period, TEXT(start_date, "mmm d, yyyy") &amp; " - " &amp; TEXT(end_date, "mmm d, yyyy"), HYPERLINK("https://wa.me/" &amp; VLOOKUP(A642, 'Master Roster'!$A:$F, 6, FALSE) &amp; "?text=" &amp; ENCODEURL("Hello " &amp; IFERROR(IF(VLOOKUP(A642, 'Master Roster'!$A:$J, 10, FALSE)="Male", "Mr. ", "Ms. "), "") &amp; B642 &amp; ", payment of K" &amp; F642 &amp; " received for " &amp; period &amp; ". Receipt No: " &amp; N642), "Send Receipt")))</f>
        <v/>
      </c>
    </row>
    <row r="643">
      <c r="A643" s="29"/>
      <c r="B643" s="29" t="s">
        <v>175</v>
      </c>
      <c r="C643" s="76"/>
      <c r="D643" s="29"/>
      <c r="E643" s="29"/>
      <c r="F643" s="29"/>
      <c r="G643" s="29"/>
      <c r="H643" s="29" t="str">
        <f t="shared" si="1"/>
        <v/>
      </c>
      <c r="I643" s="29" t="str">
        <f t="shared" si="2"/>
        <v/>
      </c>
      <c r="J643" s="29" t="str">
        <f>IF(A643="", "", IFERROR(VLOOKUP(A643, 'Master Roster'!A:H, 8, FALSE) - F643, ""))</f>
        <v/>
      </c>
      <c r="K643" s="29" t="s">
        <v>175</v>
      </c>
      <c r="L643" s="29" t="b">
        <v>0</v>
      </c>
      <c r="M643" s="29"/>
      <c r="N643" s="29" t="s">
        <v>175</v>
      </c>
      <c r="O643" s="29" t="str">
        <f>IF(ISBLANK(A643), "", LET(entry_day, VLOOKUP(A643, 'Master Roster'!$A:$G, 7, FALSE), start_date, DATE(E643, MONTH(D643&amp;" 1"), entry_day), end_date, EDATE(start_date, 1), period, TEXT(start_date, "mmm d, yyyy") &amp; " - " &amp; TEXT(end_date, "mmm d, yyyy"), HYPERLINK("https://wa.me/" &amp; VLOOKUP(A643, 'Master Roster'!$A:$F, 6, FALSE) &amp; "?text=" &amp; ENCODEURL("Hello " &amp; IFERROR(IF(VLOOKUP(A643, 'Master Roster'!$A:$J, 10, FALSE)="Male", "Mr. ", "Ms. "), "") &amp; B643 &amp; ", payment of K" &amp; F643 &amp; " received for " &amp; period &amp; ". Receipt No: " &amp; N643), "Send Receipt")))</f>
        <v/>
      </c>
    </row>
    <row r="644">
      <c r="A644" s="29"/>
      <c r="B644" s="29" t="s">
        <v>175</v>
      </c>
      <c r="C644" s="76"/>
      <c r="D644" s="29"/>
      <c r="E644" s="29"/>
      <c r="F644" s="29"/>
      <c r="G644" s="29"/>
      <c r="H644" s="29" t="str">
        <f t="shared" si="1"/>
        <v/>
      </c>
      <c r="I644" s="29" t="str">
        <f t="shared" si="2"/>
        <v/>
      </c>
      <c r="J644" s="29" t="str">
        <f>IF(A644="", "", IFERROR(VLOOKUP(A644, 'Master Roster'!A:H, 8, FALSE) - F644, ""))</f>
        <v/>
      </c>
      <c r="K644" s="29" t="s">
        <v>175</v>
      </c>
      <c r="L644" s="29" t="b">
        <v>0</v>
      </c>
      <c r="M644" s="29"/>
      <c r="N644" s="29" t="s">
        <v>175</v>
      </c>
      <c r="O644" s="29" t="str">
        <f>IF(ISBLANK(A644), "", LET(entry_day, VLOOKUP(A644, 'Master Roster'!$A:$G, 7, FALSE), start_date, DATE(E644, MONTH(D644&amp;" 1"), entry_day), end_date, EDATE(start_date, 1), period, TEXT(start_date, "mmm d, yyyy") &amp; " - " &amp; TEXT(end_date, "mmm d, yyyy"), HYPERLINK("https://wa.me/" &amp; VLOOKUP(A644, 'Master Roster'!$A:$F, 6, FALSE) &amp; "?text=" &amp; ENCODEURL("Hello " &amp; IFERROR(IF(VLOOKUP(A644, 'Master Roster'!$A:$J, 10, FALSE)="Male", "Mr. ", "Ms. "), "") &amp; B644 &amp; ", payment of K" &amp; F644 &amp; " received for " &amp; period &amp; ". Receipt No: " &amp; N644), "Send Receipt")))</f>
        <v/>
      </c>
    </row>
    <row r="645">
      <c r="A645" s="29"/>
      <c r="B645" s="29" t="s">
        <v>175</v>
      </c>
      <c r="C645" s="76"/>
      <c r="D645" s="29"/>
      <c r="E645" s="29"/>
      <c r="F645" s="29"/>
      <c r="G645" s="29"/>
      <c r="H645" s="29" t="str">
        <f t="shared" si="1"/>
        <v/>
      </c>
      <c r="I645" s="29" t="str">
        <f t="shared" si="2"/>
        <v/>
      </c>
      <c r="J645" s="29" t="str">
        <f>IF(A645="", "", IFERROR(VLOOKUP(A645, 'Master Roster'!A:H, 8, FALSE) - F645, ""))</f>
        <v/>
      </c>
      <c r="K645" s="29" t="s">
        <v>175</v>
      </c>
      <c r="L645" s="29" t="b">
        <v>0</v>
      </c>
      <c r="M645" s="29"/>
      <c r="N645" s="29" t="s">
        <v>175</v>
      </c>
      <c r="O645" s="29" t="str">
        <f>IF(ISBLANK(A645), "", LET(entry_day, VLOOKUP(A645, 'Master Roster'!$A:$G, 7, FALSE), start_date, DATE(E645, MONTH(D645&amp;" 1"), entry_day), end_date, EDATE(start_date, 1), period, TEXT(start_date, "mmm d, yyyy") &amp; " - " &amp; TEXT(end_date, "mmm d, yyyy"), HYPERLINK("https://wa.me/" &amp; VLOOKUP(A645, 'Master Roster'!$A:$F, 6, FALSE) &amp; "?text=" &amp; ENCODEURL("Hello " &amp; IFERROR(IF(VLOOKUP(A645, 'Master Roster'!$A:$J, 10, FALSE)="Male", "Mr. ", "Ms. "), "") &amp; B645 &amp; ", payment of K" &amp; F645 &amp; " received for " &amp; period &amp; ". Receipt No: " &amp; N645), "Send Receipt")))</f>
        <v/>
      </c>
    </row>
    <row r="646">
      <c r="A646" s="29"/>
      <c r="B646" s="29" t="s">
        <v>175</v>
      </c>
      <c r="C646" s="76"/>
      <c r="D646" s="29"/>
      <c r="E646" s="29"/>
      <c r="F646" s="29"/>
      <c r="G646" s="29"/>
      <c r="H646" s="29" t="str">
        <f t="shared" si="1"/>
        <v/>
      </c>
      <c r="I646" s="29" t="str">
        <f t="shared" si="2"/>
        <v/>
      </c>
      <c r="J646" s="29" t="str">
        <f>IF(A646="", "", IFERROR(VLOOKUP(A646, 'Master Roster'!A:H, 8, FALSE) - F646, ""))</f>
        <v/>
      </c>
      <c r="K646" s="29" t="s">
        <v>175</v>
      </c>
      <c r="L646" s="29" t="b">
        <v>0</v>
      </c>
      <c r="M646" s="29"/>
      <c r="N646" s="29" t="s">
        <v>175</v>
      </c>
      <c r="O646" s="29" t="str">
        <f>IF(ISBLANK(A646), "", LET(entry_day, VLOOKUP(A646, 'Master Roster'!$A:$G, 7, FALSE), start_date, DATE(E646, MONTH(D646&amp;" 1"), entry_day), end_date, EDATE(start_date, 1), period, TEXT(start_date, "mmm d, yyyy") &amp; " - " &amp; TEXT(end_date, "mmm d, yyyy"), HYPERLINK("https://wa.me/" &amp; VLOOKUP(A646, 'Master Roster'!$A:$F, 6, FALSE) &amp; "?text=" &amp; ENCODEURL("Hello " &amp; IFERROR(IF(VLOOKUP(A646, 'Master Roster'!$A:$J, 10, FALSE)="Male", "Mr. ", "Ms. "), "") &amp; B646 &amp; ", payment of K" &amp; F646 &amp; " received for " &amp; period &amp; ". Receipt No: " &amp; N646), "Send Receipt")))</f>
        <v/>
      </c>
    </row>
    <row r="647">
      <c r="A647" s="29"/>
      <c r="B647" s="29" t="s">
        <v>175</v>
      </c>
      <c r="C647" s="76"/>
      <c r="D647" s="29"/>
      <c r="E647" s="29"/>
      <c r="F647" s="29"/>
      <c r="G647" s="29"/>
      <c r="H647" s="29" t="str">
        <f t="shared" si="1"/>
        <v/>
      </c>
      <c r="I647" s="29" t="str">
        <f t="shared" si="2"/>
        <v/>
      </c>
      <c r="J647" s="29" t="str">
        <f>IF(A647="", "", IFERROR(VLOOKUP(A647, 'Master Roster'!A:H, 8, FALSE) - F647, ""))</f>
        <v/>
      </c>
      <c r="K647" s="29" t="s">
        <v>175</v>
      </c>
      <c r="L647" s="29" t="b">
        <v>0</v>
      </c>
      <c r="M647" s="29"/>
      <c r="N647" s="29" t="s">
        <v>175</v>
      </c>
      <c r="O647" s="29" t="str">
        <f>IF(ISBLANK(A647), "", LET(entry_day, VLOOKUP(A647, 'Master Roster'!$A:$G, 7, FALSE), start_date, DATE(E647, MONTH(D647&amp;" 1"), entry_day), end_date, EDATE(start_date, 1), period, TEXT(start_date, "mmm d, yyyy") &amp; " - " &amp; TEXT(end_date, "mmm d, yyyy"), HYPERLINK("https://wa.me/" &amp; VLOOKUP(A647, 'Master Roster'!$A:$F, 6, FALSE) &amp; "?text=" &amp; ENCODEURL("Hello " &amp; IFERROR(IF(VLOOKUP(A647, 'Master Roster'!$A:$J, 10, FALSE)="Male", "Mr. ", "Ms. "), "") &amp; B647 &amp; ", payment of K" &amp; F647 &amp; " received for " &amp; period &amp; ". Receipt No: " &amp; N647), "Send Receipt")))</f>
        <v/>
      </c>
    </row>
    <row r="648">
      <c r="A648" s="29"/>
      <c r="B648" s="29" t="s">
        <v>175</v>
      </c>
      <c r="C648" s="76"/>
      <c r="D648" s="29"/>
      <c r="E648" s="29"/>
      <c r="F648" s="29"/>
      <c r="G648" s="29"/>
      <c r="H648" s="29" t="str">
        <f t="shared" si="1"/>
        <v/>
      </c>
      <c r="I648" s="29" t="str">
        <f t="shared" si="2"/>
        <v/>
      </c>
      <c r="J648" s="29" t="str">
        <f>IF(A648="", "", IFERROR(VLOOKUP(A648, 'Master Roster'!A:H, 8, FALSE) - F648, ""))</f>
        <v/>
      </c>
      <c r="K648" s="29" t="s">
        <v>175</v>
      </c>
      <c r="L648" s="29" t="b">
        <v>0</v>
      </c>
      <c r="M648" s="29"/>
      <c r="N648" s="29" t="s">
        <v>175</v>
      </c>
      <c r="O648" s="29" t="str">
        <f>IF(ISBLANK(A648), "", LET(entry_day, VLOOKUP(A648, 'Master Roster'!$A:$G, 7, FALSE), start_date, DATE(E648, MONTH(D648&amp;" 1"), entry_day), end_date, EDATE(start_date, 1), period, TEXT(start_date, "mmm d, yyyy") &amp; " - " &amp; TEXT(end_date, "mmm d, yyyy"), HYPERLINK("https://wa.me/" &amp; VLOOKUP(A648, 'Master Roster'!$A:$F, 6, FALSE) &amp; "?text=" &amp; ENCODEURL("Hello " &amp; IFERROR(IF(VLOOKUP(A648, 'Master Roster'!$A:$J, 10, FALSE)="Male", "Mr. ", "Ms. "), "") &amp; B648 &amp; ", payment of K" &amp; F648 &amp; " received for " &amp; period &amp; ". Receipt No: " &amp; N648), "Send Receipt")))</f>
        <v/>
      </c>
    </row>
    <row r="649">
      <c r="A649" s="29"/>
      <c r="B649" s="29" t="s">
        <v>175</v>
      </c>
      <c r="C649" s="76"/>
      <c r="D649" s="29"/>
      <c r="E649" s="29"/>
      <c r="F649" s="29"/>
      <c r="G649" s="29"/>
      <c r="H649" s="29" t="str">
        <f t="shared" si="1"/>
        <v/>
      </c>
      <c r="I649" s="29" t="str">
        <f t="shared" si="2"/>
        <v/>
      </c>
      <c r="J649" s="29" t="str">
        <f>IF(A649="", "", IFERROR(VLOOKUP(A649, 'Master Roster'!A:H, 8, FALSE) - F649, ""))</f>
        <v/>
      </c>
      <c r="K649" s="29" t="s">
        <v>175</v>
      </c>
      <c r="L649" s="29" t="b">
        <v>0</v>
      </c>
      <c r="M649" s="29"/>
      <c r="N649" s="29" t="s">
        <v>175</v>
      </c>
      <c r="O649" s="29" t="str">
        <f>IF(ISBLANK(A649), "", LET(entry_day, VLOOKUP(A649, 'Master Roster'!$A:$G, 7, FALSE), start_date, DATE(E649, MONTH(D649&amp;" 1"), entry_day), end_date, EDATE(start_date, 1), period, TEXT(start_date, "mmm d, yyyy") &amp; " - " &amp; TEXT(end_date, "mmm d, yyyy"), HYPERLINK("https://wa.me/" &amp; VLOOKUP(A649, 'Master Roster'!$A:$F, 6, FALSE) &amp; "?text=" &amp; ENCODEURL("Hello " &amp; IFERROR(IF(VLOOKUP(A649, 'Master Roster'!$A:$J, 10, FALSE)="Male", "Mr. ", "Ms. "), "") &amp; B649 &amp; ", payment of K" &amp; F649 &amp; " received for " &amp; period &amp; ". Receipt No: " &amp; N649), "Send Receipt")))</f>
        <v/>
      </c>
    </row>
    <row r="650">
      <c r="A650" s="29"/>
      <c r="B650" s="29" t="s">
        <v>175</v>
      </c>
      <c r="C650" s="76"/>
      <c r="D650" s="29"/>
      <c r="E650" s="29"/>
      <c r="F650" s="29"/>
      <c r="G650" s="29"/>
      <c r="H650" s="29" t="str">
        <f t="shared" si="1"/>
        <v/>
      </c>
      <c r="I650" s="29" t="str">
        <f t="shared" si="2"/>
        <v/>
      </c>
      <c r="J650" s="29" t="str">
        <f>IF(A650="", "", IFERROR(VLOOKUP(A650, 'Master Roster'!A:H, 8, FALSE) - F650, ""))</f>
        <v/>
      </c>
      <c r="K650" s="29" t="s">
        <v>175</v>
      </c>
      <c r="L650" s="29" t="b">
        <v>0</v>
      </c>
      <c r="M650" s="29"/>
      <c r="N650" s="29" t="s">
        <v>175</v>
      </c>
      <c r="O650" s="29" t="str">
        <f>IF(ISBLANK(A650), "", LET(entry_day, VLOOKUP(A650, 'Master Roster'!$A:$G, 7, FALSE), start_date, DATE(E650, MONTH(D650&amp;" 1"), entry_day), end_date, EDATE(start_date, 1), period, TEXT(start_date, "mmm d, yyyy") &amp; " - " &amp; TEXT(end_date, "mmm d, yyyy"), HYPERLINK("https://wa.me/" &amp; VLOOKUP(A650, 'Master Roster'!$A:$F, 6, FALSE) &amp; "?text=" &amp; ENCODEURL("Hello " &amp; IFERROR(IF(VLOOKUP(A650, 'Master Roster'!$A:$J, 10, FALSE)="Male", "Mr. ", "Ms. "), "") &amp; B650 &amp; ", payment of K" &amp; F650 &amp; " received for " &amp; period &amp; ". Receipt No: " &amp; N650), "Send Receipt")))</f>
        <v/>
      </c>
    </row>
    <row r="651">
      <c r="A651" s="29"/>
      <c r="B651" s="29" t="s">
        <v>175</v>
      </c>
      <c r="C651" s="76"/>
      <c r="D651" s="29"/>
      <c r="E651" s="29"/>
      <c r="F651" s="29"/>
      <c r="G651" s="29"/>
      <c r="H651" s="29" t="str">
        <f t="shared" si="1"/>
        <v/>
      </c>
      <c r="I651" s="29" t="str">
        <f t="shared" si="2"/>
        <v/>
      </c>
      <c r="J651" s="29" t="str">
        <f>IF(A651="", "", IFERROR(VLOOKUP(A651, 'Master Roster'!A:H, 8, FALSE) - F651, ""))</f>
        <v/>
      </c>
      <c r="K651" s="29" t="s">
        <v>175</v>
      </c>
      <c r="L651" s="29" t="b">
        <v>0</v>
      </c>
      <c r="M651" s="29"/>
      <c r="N651" s="29" t="s">
        <v>175</v>
      </c>
      <c r="O651" s="29" t="str">
        <f>IF(ISBLANK(A651), "", LET(entry_day, VLOOKUP(A651, 'Master Roster'!$A:$G, 7, FALSE), start_date, DATE(E651, MONTH(D651&amp;" 1"), entry_day), end_date, EDATE(start_date, 1), period, TEXT(start_date, "mmm d, yyyy") &amp; " - " &amp; TEXT(end_date, "mmm d, yyyy"), HYPERLINK("https://wa.me/" &amp; VLOOKUP(A651, 'Master Roster'!$A:$F, 6, FALSE) &amp; "?text=" &amp; ENCODEURL("Hello " &amp; IFERROR(IF(VLOOKUP(A651, 'Master Roster'!$A:$J, 10, FALSE)="Male", "Mr. ", "Ms. "), "") &amp; B651 &amp; ", payment of K" &amp; F651 &amp; " received for " &amp; period &amp; ". Receipt No: " &amp; N651), "Send Receipt")))</f>
        <v/>
      </c>
    </row>
    <row r="652">
      <c r="A652" s="29"/>
      <c r="B652" s="29" t="s">
        <v>175</v>
      </c>
      <c r="C652" s="76"/>
      <c r="D652" s="29"/>
      <c r="E652" s="29"/>
      <c r="F652" s="29"/>
      <c r="G652" s="29"/>
      <c r="H652" s="29" t="str">
        <f t="shared" si="1"/>
        <v/>
      </c>
      <c r="I652" s="29" t="str">
        <f t="shared" si="2"/>
        <v/>
      </c>
      <c r="J652" s="29" t="str">
        <f>IF(A652="", "", IFERROR(VLOOKUP(A652, 'Master Roster'!A:H, 8, FALSE) - F652, ""))</f>
        <v/>
      </c>
      <c r="K652" s="29" t="s">
        <v>175</v>
      </c>
      <c r="L652" s="29" t="b">
        <v>0</v>
      </c>
      <c r="M652" s="29"/>
      <c r="N652" s="29" t="s">
        <v>175</v>
      </c>
      <c r="O652" s="29" t="str">
        <f>IF(ISBLANK(A652), "", LET(entry_day, VLOOKUP(A652, 'Master Roster'!$A:$G, 7, FALSE), start_date, DATE(E652, MONTH(D652&amp;" 1"), entry_day), end_date, EDATE(start_date, 1), period, TEXT(start_date, "mmm d, yyyy") &amp; " - " &amp; TEXT(end_date, "mmm d, yyyy"), HYPERLINK("https://wa.me/" &amp; VLOOKUP(A652, 'Master Roster'!$A:$F, 6, FALSE) &amp; "?text=" &amp; ENCODEURL("Hello " &amp; IFERROR(IF(VLOOKUP(A652, 'Master Roster'!$A:$J, 10, FALSE)="Male", "Mr. ", "Ms. "), "") &amp; B652 &amp; ", payment of K" &amp; F652 &amp; " received for " &amp; period &amp; ". Receipt No: " &amp; N652), "Send Receipt")))</f>
        <v/>
      </c>
    </row>
    <row r="653">
      <c r="A653" s="29"/>
      <c r="B653" s="29" t="s">
        <v>175</v>
      </c>
      <c r="C653" s="76"/>
      <c r="D653" s="29"/>
      <c r="E653" s="29"/>
      <c r="F653" s="29"/>
      <c r="G653" s="29"/>
      <c r="H653" s="29" t="str">
        <f t="shared" si="1"/>
        <v/>
      </c>
      <c r="I653" s="29" t="str">
        <f t="shared" si="2"/>
        <v/>
      </c>
      <c r="J653" s="29" t="str">
        <f>IF(A653="", "", IFERROR(VLOOKUP(A653, 'Master Roster'!A:H, 8, FALSE) - F653, ""))</f>
        <v/>
      </c>
      <c r="K653" s="29" t="s">
        <v>175</v>
      </c>
      <c r="L653" s="29" t="b">
        <v>0</v>
      </c>
      <c r="M653" s="29"/>
      <c r="N653" s="29" t="s">
        <v>175</v>
      </c>
      <c r="O653" s="29" t="str">
        <f>IF(ISBLANK(A653), "", LET(entry_day, VLOOKUP(A653, 'Master Roster'!$A:$G, 7, FALSE), start_date, DATE(E653, MONTH(D653&amp;" 1"), entry_day), end_date, EDATE(start_date, 1), period, TEXT(start_date, "mmm d, yyyy") &amp; " - " &amp; TEXT(end_date, "mmm d, yyyy"), HYPERLINK("https://wa.me/" &amp; VLOOKUP(A653, 'Master Roster'!$A:$F, 6, FALSE) &amp; "?text=" &amp; ENCODEURL("Hello " &amp; IFERROR(IF(VLOOKUP(A653, 'Master Roster'!$A:$J, 10, FALSE)="Male", "Mr. ", "Ms. "), "") &amp; B653 &amp; ", payment of K" &amp; F653 &amp; " received for " &amp; period &amp; ". Receipt No: " &amp; N653), "Send Receipt")))</f>
        <v/>
      </c>
    </row>
    <row r="654">
      <c r="A654" s="29"/>
      <c r="B654" s="29" t="s">
        <v>175</v>
      </c>
      <c r="C654" s="76"/>
      <c r="D654" s="29"/>
      <c r="E654" s="29"/>
      <c r="F654" s="29"/>
      <c r="G654" s="29"/>
      <c r="H654" s="29" t="str">
        <f t="shared" si="1"/>
        <v/>
      </c>
      <c r="I654" s="29" t="str">
        <f t="shared" si="2"/>
        <v/>
      </c>
      <c r="J654" s="29" t="str">
        <f>IF(A654="", "", IFERROR(VLOOKUP(A654, 'Master Roster'!A:H, 8, FALSE) - F654, ""))</f>
        <v/>
      </c>
      <c r="K654" s="29" t="s">
        <v>175</v>
      </c>
      <c r="L654" s="29" t="b">
        <v>0</v>
      </c>
      <c r="M654" s="29"/>
      <c r="N654" s="29" t="s">
        <v>175</v>
      </c>
      <c r="O654" s="29" t="str">
        <f>IF(ISBLANK(A654), "", LET(entry_day, VLOOKUP(A654, 'Master Roster'!$A:$G, 7, FALSE), start_date, DATE(E654, MONTH(D654&amp;" 1"), entry_day), end_date, EDATE(start_date, 1), period, TEXT(start_date, "mmm d, yyyy") &amp; " - " &amp; TEXT(end_date, "mmm d, yyyy"), HYPERLINK("https://wa.me/" &amp; VLOOKUP(A654, 'Master Roster'!$A:$F, 6, FALSE) &amp; "?text=" &amp; ENCODEURL("Hello " &amp; IFERROR(IF(VLOOKUP(A654, 'Master Roster'!$A:$J, 10, FALSE)="Male", "Mr. ", "Ms. "), "") &amp; B654 &amp; ", payment of K" &amp; F654 &amp; " received for " &amp; period &amp; ". Receipt No: " &amp; N654), "Send Receipt")))</f>
        <v/>
      </c>
    </row>
    <row r="655">
      <c r="A655" s="29"/>
      <c r="B655" s="29" t="s">
        <v>175</v>
      </c>
      <c r="C655" s="76"/>
      <c r="D655" s="29"/>
      <c r="E655" s="29"/>
      <c r="F655" s="29"/>
      <c r="G655" s="29"/>
      <c r="H655" s="29" t="str">
        <f t="shared" si="1"/>
        <v/>
      </c>
      <c r="I655" s="29" t="str">
        <f t="shared" si="2"/>
        <v/>
      </c>
      <c r="J655" s="29" t="str">
        <f>IF(A655="", "", IFERROR(VLOOKUP(A655, 'Master Roster'!A:H, 8, FALSE) - F655, ""))</f>
        <v/>
      </c>
      <c r="K655" s="29" t="s">
        <v>175</v>
      </c>
      <c r="L655" s="29" t="b">
        <v>0</v>
      </c>
      <c r="M655" s="29"/>
      <c r="N655" s="29" t="s">
        <v>175</v>
      </c>
      <c r="O655" s="29" t="str">
        <f>IF(ISBLANK(A655), "", LET(entry_day, VLOOKUP(A655, 'Master Roster'!$A:$G, 7, FALSE), start_date, DATE(E655, MONTH(D655&amp;" 1"), entry_day), end_date, EDATE(start_date, 1), period, TEXT(start_date, "mmm d, yyyy") &amp; " - " &amp; TEXT(end_date, "mmm d, yyyy"), HYPERLINK("https://wa.me/" &amp; VLOOKUP(A655, 'Master Roster'!$A:$F, 6, FALSE) &amp; "?text=" &amp; ENCODEURL("Hello " &amp; IFERROR(IF(VLOOKUP(A655, 'Master Roster'!$A:$J, 10, FALSE)="Male", "Mr. ", "Ms. "), "") &amp; B655 &amp; ", payment of K" &amp; F655 &amp; " received for " &amp; period &amp; ". Receipt No: " &amp; N655), "Send Receipt")))</f>
        <v/>
      </c>
    </row>
    <row r="656">
      <c r="A656" s="29"/>
      <c r="B656" s="29" t="s">
        <v>175</v>
      </c>
      <c r="C656" s="76"/>
      <c r="D656" s="29"/>
      <c r="E656" s="29"/>
      <c r="F656" s="29"/>
      <c r="G656" s="29"/>
      <c r="H656" s="29" t="str">
        <f t="shared" si="1"/>
        <v/>
      </c>
      <c r="I656" s="29" t="str">
        <f t="shared" si="2"/>
        <v/>
      </c>
      <c r="J656" s="29" t="str">
        <f>IF(A656="", "", IFERROR(VLOOKUP(A656, 'Master Roster'!A:H, 8, FALSE) - F656, ""))</f>
        <v/>
      </c>
      <c r="K656" s="29" t="s">
        <v>175</v>
      </c>
      <c r="L656" s="29" t="b">
        <v>0</v>
      </c>
      <c r="M656" s="29"/>
      <c r="N656" s="29" t="s">
        <v>175</v>
      </c>
      <c r="O656" s="29" t="str">
        <f>IF(ISBLANK(A656), "", LET(entry_day, VLOOKUP(A656, 'Master Roster'!$A:$G, 7, FALSE), start_date, DATE(E656, MONTH(D656&amp;" 1"), entry_day), end_date, EDATE(start_date, 1), period, TEXT(start_date, "mmm d, yyyy") &amp; " - " &amp; TEXT(end_date, "mmm d, yyyy"), HYPERLINK("https://wa.me/" &amp; VLOOKUP(A656, 'Master Roster'!$A:$F, 6, FALSE) &amp; "?text=" &amp; ENCODEURL("Hello " &amp; IFERROR(IF(VLOOKUP(A656, 'Master Roster'!$A:$J, 10, FALSE)="Male", "Mr. ", "Ms. "), "") &amp; B656 &amp; ", payment of K" &amp; F656 &amp; " received for " &amp; period &amp; ". Receipt No: " &amp; N656), "Send Receipt")))</f>
        <v/>
      </c>
    </row>
    <row r="657">
      <c r="A657" s="29"/>
      <c r="B657" s="29" t="s">
        <v>175</v>
      </c>
      <c r="C657" s="76"/>
      <c r="D657" s="29"/>
      <c r="E657" s="29"/>
      <c r="F657" s="29"/>
      <c r="G657" s="29"/>
      <c r="H657" s="29" t="str">
        <f t="shared" si="1"/>
        <v/>
      </c>
      <c r="I657" s="29" t="str">
        <f t="shared" si="2"/>
        <v/>
      </c>
      <c r="J657" s="29" t="str">
        <f>IF(A657="", "", IFERROR(VLOOKUP(A657, 'Master Roster'!A:H, 8, FALSE) - F657, ""))</f>
        <v/>
      </c>
      <c r="K657" s="29" t="s">
        <v>175</v>
      </c>
      <c r="L657" s="29" t="b">
        <v>0</v>
      </c>
      <c r="M657" s="29"/>
      <c r="N657" s="29" t="s">
        <v>175</v>
      </c>
      <c r="O657" s="29" t="str">
        <f>IF(ISBLANK(A657), "", LET(entry_day, VLOOKUP(A657, 'Master Roster'!$A:$G, 7, FALSE), start_date, DATE(E657, MONTH(D657&amp;" 1"), entry_day), end_date, EDATE(start_date, 1), period, TEXT(start_date, "mmm d, yyyy") &amp; " - " &amp; TEXT(end_date, "mmm d, yyyy"), HYPERLINK("https://wa.me/" &amp; VLOOKUP(A657, 'Master Roster'!$A:$F, 6, FALSE) &amp; "?text=" &amp; ENCODEURL("Hello " &amp; IFERROR(IF(VLOOKUP(A657, 'Master Roster'!$A:$J, 10, FALSE)="Male", "Mr. ", "Ms. "), "") &amp; B657 &amp; ", payment of K" &amp; F657 &amp; " received for " &amp; period &amp; ". Receipt No: " &amp; N657), "Send Receipt")))</f>
        <v/>
      </c>
    </row>
    <row r="658">
      <c r="A658" s="29"/>
      <c r="B658" s="29" t="s">
        <v>175</v>
      </c>
      <c r="C658" s="76"/>
      <c r="D658" s="29"/>
      <c r="E658" s="29"/>
      <c r="F658" s="29"/>
      <c r="G658" s="29"/>
      <c r="H658" s="29" t="str">
        <f t="shared" si="1"/>
        <v/>
      </c>
      <c r="I658" s="29" t="str">
        <f t="shared" si="2"/>
        <v/>
      </c>
      <c r="J658" s="29" t="str">
        <f>IF(A658="", "", IFERROR(VLOOKUP(A658, 'Master Roster'!A:H, 8, FALSE) - F658, ""))</f>
        <v/>
      </c>
      <c r="K658" s="29" t="s">
        <v>175</v>
      </c>
      <c r="L658" s="29" t="b">
        <v>0</v>
      </c>
      <c r="M658" s="29"/>
      <c r="N658" s="29" t="s">
        <v>175</v>
      </c>
      <c r="O658" s="29" t="str">
        <f>IF(ISBLANK(A658), "", LET(entry_day, VLOOKUP(A658, 'Master Roster'!$A:$G, 7, FALSE), start_date, DATE(E658, MONTH(D658&amp;" 1"), entry_day), end_date, EDATE(start_date, 1), period, TEXT(start_date, "mmm d, yyyy") &amp; " - " &amp; TEXT(end_date, "mmm d, yyyy"), HYPERLINK("https://wa.me/" &amp; VLOOKUP(A658, 'Master Roster'!$A:$F, 6, FALSE) &amp; "?text=" &amp; ENCODEURL("Hello " &amp; IFERROR(IF(VLOOKUP(A658, 'Master Roster'!$A:$J, 10, FALSE)="Male", "Mr. ", "Ms. "), "") &amp; B658 &amp; ", payment of K" &amp; F658 &amp; " received for " &amp; period &amp; ". Receipt No: " &amp; N658), "Send Receipt")))</f>
        <v/>
      </c>
    </row>
    <row r="659">
      <c r="A659" s="29"/>
      <c r="B659" s="29" t="s">
        <v>175</v>
      </c>
      <c r="C659" s="76"/>
      <c r="D659" s="29"/>
      <c r="E659" s="29"/>
      <c r="F659" s="29"/>
      <c r="G659" s="29"/>
      <c r="H659" s="29" t="str">
        <f t="shared" si="1"/>
        <v/>
      </c>
      <c r="I659" s="29" t="str">
        <f t="shared" si="2"/>
        <v/>
      </c>
      <c r="J659" s="29" t="str">
        <f>IF(A659="", "", IFERROR(VLOOKUP(A659, 'Master Roster'!A:H, 8, FALSE) - F659, ""))</f>
        <v/>
      </c>
      <c r="K659" s="29" t="s">
        <v>175</v>
      </c>
      <c r="L659" s="29" t="b">
        <v>0</v>
      </c>
      <c r="M659" s="29"/>
      <c r="N659" s="29" t="s">
        <v>175</v>
      </c>
      <c r="O659" s="29" t="str">
        <f>IF(ISBLANK(A659), "", LET(entry_day, VLOOKUP(A659, 'Master Roster'!$A:$G, 7, FALSE), start_date, DATE(E659, MONTH(D659&amp;" 1"), entry_day), end_date, EDATE(start_date, 1), period, TEXT(start_date, "mmm d, yyyy") &amp; " - " &amp; TEXT(end_date, "mmm d, yyyy"), HYPERLINK("https://wa.me/" &amp; VLOOKUP(A659, 'Master Roster'!$A:$F, 6, FALSE) &amp; "?text=" &amp; ENCODEURL("Hello " &amp; IFERROR(IF(VLOOKUP(A659, 'Master Roster'!$A:$J, 10, FALSE)="Male", "Mr. ", "Ms. "), "") &amp; B659 &amp; ", payment of K" &amp; F659 &amp; " received for " &amp; period &amp; ". Receipt No: " &amp; N659), "Send Receipt")))</f>
        <v/>
      </c>
    </row>
    <row r="660">
      <c r="A660" s="29"/>
      <c r="B660" s="29" t="s">
        <v>175</v>
      </c>
      <c r="C660" s="76"/>
      <c r="D660" s="29"/>
      <c r="E660" s="29"/>
      <c r="F660" s="29"/>
      <c r="G660" s="29"/>
      <c r="H660" s="29" t="str">
        <f t="shared" si="1"/>
        <v/>
      </c>
      <c r="I660" s="29" t="str">
        <f t="shared" si="2"/>
        <v/>
      </c>
      <c r="J660" s="29" t="str">
        <f>IF(A660="", "", IFERROR(VLOOKUP(A660, 'Master Roster'!A:H, 8, FALSE) - F660, ""))</f>
        <v/>
      </c>
      <c r="K660" s="29" t="s">
        <v>175</v>
      </c>
      <c r="L660" s="29" t="b">
        <v>0</v>
      </c>
      <c r="M660" s="29"/>
      <c r="N660" s="29" t="s">
        <v>175</v>
      </c>
      <c r="O660" s="29" t="str">
        <f>IF(ISBLANK(A660), "", LET(entry_day, VLOOKUP(A660, 'Master Roster'!$A:$G, 7, FALSE), start_date, DATE(E660, MONTH(D660&amp;" 1"), entry_day), end_date, EDATE(start_date, 1), period, TEXT(start_date, "mmm d, yyyy") &amp; " - " &amp; TEXT(end_date, "mmm d, yyyy"), HYPERLINK("https://wa.me/" &amp; VLOOKUP(A660, 'Master Roster'!$A:$F, 6, FALSE) &amp; "?text=" &amp; ENCODEURL("Hello " &amp; IFERROR(IF(VLOOKUP(A660, 'Master Roster'!$A:$J, 10, FALSE)="Male", "Mr. ", "Ms. "), "") &amp; B660 &amp; ", payment of K" &amp; F660 &amp; " received for " &amp; period &amp; ". Receipt No: " &amp; N660), "Send Receipt")))</f>
        <v/>
      </c>
    </row>
    <row r="661">
      <c r="A661" s="29"/>
      <c r="B661" s="29" t="s">
        <v>175</v>
      </c>
      <c r="C661" s="76"/>
      <c r="D661" s="29"/>
      <c r="E661" s="29"/>
      <c r="F661" s="29"/>
      <c r="G661" s="29"/>
      <c r="H661" s="29" t="str">
        <f t="shared" si="1"/>
        <v/>
      </c>
      <c r="I661" s="29" t="str">
        <f t="shared" si="2"/>
        <v/>
      </c>
      <c r="J661" s="29" t="str">
        <f>IF(A661="", "", IFERROR(VLOOKUP(A661, 'Master Roster'!A:H, 8, FALSE) - F661, ""))</f>
        <v/>
      </c>
      <c r="K661" s="29" t="s">
        <v>175</v>
      </c>
      <c r="L661" s="29" t="b">
        <v>0</v>
      </c>
      <c r="M661" s="29"/>
      <c r="N661" s="29" t="s">
        <v>175</v>
      </c>
      <c r="O661" s="29" t="str">
        <f>IF(ISBLANK(A661), "", LET(entry_day, VLOOKUP(A661, 'Master Roster'!$A:$G, 7, FALSE), start_date, DATE(E661, MONTH(D661&amp;" 1"), entry_day), end_date, EDATE(start_date, 1), period, TEXT(start_date, "mmm d, yyyy") &amp; " - " &amp; TEXT(end_date, "mmm d, yyyy"), HYPERLINK("https://wa.me/" &amp; VLOOKUP(A661, 'Master Roster'!$A:$F, 6, FALSE) &amp; "?text=" &amp; ENCODEURL("Hello " &amp; IFERROR(IF(VLOOKUP(A661, 'Master Roster'!$A:$J, 10, FALSE)="Male", "Mr. ", "Ms. "), "") &amp; B661 &amp; ", payment of K" &amp; F661 &amp; " received for " &amp; period &amp; ". Receipt No: " &amp; N661), "Send Receipt")))</f>
        <v/>
      </c>
    </row>
    <row r="662">
      <c r="A662" s="29"/>
      <c r="B662" s="29" t="s">
        <v>175</v>
      </c>
      <c r="C662" s="76"/>
      <c r="D662" s="29"/>
      <c r="E662" s="29"/>
      <c r="F662" s="29"/>
      <c r="G662" s="29"/>
      <c r="H662" s="29" t="str">
        <f t="shared" si="1"/>
        <v/>
      </c>
      <c r="I662" s="29" t="str">
        <f t="shared" si="2"/>
        <v/>
      </c>
      <c r="J662" s="29" t="str">
        <f>IF(A662="", "", IFERROR(VLOOKUP(A662, 'Master Roster'!A:H, 8, FALSE) - F662, ""))</f>
        <v/>
      </c>
      <c r="K662" s="29" t="s">
        <v>175</v>
      </c>
      <c r="L662" s="29" t="b">
        <v>0</v>
      </c>
      <c r="M662" s="29"/>
      <c r="N662" s="29" t="s">
        <v>175</v>
      </c>
      <c r="O662" s="29" t="str">
        <f>IF(ISBLANK(A662), "", LET(entry_day, VLOOKUP(A662, 'Master Roster'!$A:$G, 7, FALSE), start_date, DATE(E662, MONTH(D662&amp;" 1"), entry_day), end_date, EDATE(start_date, 1), period, TEXT(start_date, "mmm d, yyyy") &amp; " - " &amp; TEXT(end_date, "mmm d, yyyy"), HYPERLINK("https://wa.me/" &amp; VLOOKUP(A662, 'Master Roster'!$A:$F, 6, FALSE) &amp; "?text=" &amp; ENCODEURL("Hello " &amp; IFERROR(IF(VLOOKUP(A662, 'Master Roster'!$A:$J, 10, FALSE)="Male", "Mr. ", "Ms. "), "") &amp; B662 &amp; ", payment of K" &amp; F662 &amp; " received for " &amp; period &amp; ". Receipt No: " &amp; N662), "Send Receipt")))</f>
        <v/>
      </c>
    </row>
    <row r="663">
      <c r="A663" s="29"/>
      <c r="B663" s="29" t="s">
        <v>175</v>
      </c>
      <c r="C663" s="76"/>
      <c r="D663" s="29"/>
      <c r="E663" s="29"/>
      <c r="F663" s="29"/>
      <c r="G663" s="29"/>
      <c r="H663" s="29" t="str">
        <f t="shared" si="1"/>
        <v/>
      </c>
      <c r="I663" s="29" t="str">
        <f t="shared" si="2"/>
        <v/>
      </c>
      <c r="J663" s="29" t="str">
        <f>IF(A663="", "", IFERROR(VLOOKUP(A663, 'Master Roster'!A:H, 8, FALSE) - F663, ""))</f>
        <v/>
      </c>
      <c r="K663" s="29" t="s">
        <v>175</v>
      </c>
      <c r="L663" s="29" t="b">
        <v>0</v>
      </c>
      <c r="M663" s="29"/>
      <c r="N663" s="29" t="s">
        <v>175</v>
      </c>
      <c r="O663" s="29" t="str">
        <f>IF(ISBLANK(A663), "", LET(entry_day, VLOOKUP(A663, 'Master Roster'!$A:$G, 7, FALSE), start_date, DATE(E663, MONTH(D663&amp;" 1"), entry_day), end_date, EDATE(start_date, 1), period, TEXT(start_date, "mmm d, yyyy") &amp; " - " &amp; TEXT(end_date, "mmm d, yyyy"), HYPERLINK("https://wa.me/" &amp; VLOOKUP(A663, 'Master Roster'!$A:$F, 6, FALSE) &amp; "?text=" &amp; ENCODEURL("Hello " &amp; IFERROR(IF(VLOOKUP(A663, 'Master Roster'!$A:$J, 10, FALSE)="Male", "Mr. ", "Ms. "), "") &amp; B663 &amp; ", payment of K" &amp; F663 &amp; " received for " &amp; period &amp; ". Receipt No: " &amp; N663), "Send Receipt")))</f>
        <v/>
      </c>
    </row>
    <row r="664">
      <c r="A664" s="29"/>
      <c r="B664" s="29" t="s">
        <v>175</v>
      </c>
      <c r="C664" s="76"/>
      <c r="D664" s="29"/>
      <c r="E664" s="29"/>
      <c r="F664" s="29"/>
      <c r="G664" s="29"/>
      <c r="H664" s="29" t="str">
        <f t="shared" si="1"/>
        <v/>
      </c>
      <c r="I664" s="29" t="str">
        <f t="shared" si="2"/>
        <v/>
      </c>
      <c r="J664" s="29" t="str">
        <f>IF(A664="", "", IFERROR(VLOOKUP(A664, 'Master Roster'!A:H, 8, FALSE) - F664, ""))</f>
        <v/>
      </c>
      <c r="K664" s="29" t="s">
        <v>175</v>
      </c>
      <c r="L664" s="29" t="b">
        <v>0</v>
      </c>
      <c r="M664" s="29"/>
      <c r="N664" s="29" t="s">
        <v>175</v>
      </c>
      <c r="O664" s="29" t="str">
        <f>IF(ISBLANK(A664), "", LET(entry_day, VLOOKUP(A664, 'Master Roster'!$A:$G, 7, FALSE), start_date, DATE(E664, MONTH(D664&amp;" 1"), entry_day), end_date, EDATE(start_date, 1), period, TEXT(start_date, "mmm d, yyyy") &amp; " - " &amp; TEXT(end_date, "mmm d, yyyy"), HYPERLINK("https://wa.me/" &amp; VLOOKUP(A664, 'Master Roster'!$A:$F, 6, FALSE) &amp; "?text=" &amp; ENCODEURL("Hello " &amp; IFERROR(IF(VLOOKUP(A664, 'Master Roster'!$A:$J, 10, FALSE)="Male", "Mr. ", "Ms. "), "") &amp; B664 &amp; ", payment of K" &amp; F664 &amp; " received for " &amp; period &amp; ". Receipt No: " &amp; N664), "Send Receipt")))</f>
        <v/>
      </c>
    </row>
    <row r="665">
      <c r="A665" s="29"/>
      <c r="B665" s="29" t="s">
        <v>175</v>
      </c>
      <c r="C665" s="76"/>
      <c r="D665" s="29"/>
      <c r="E665" s="29"/>
      <c r="F665" s="29"/>
      <c r="G665" s="29"/>
      <c r="H665" s="29" t="str">
        <f t="shared" si="1"/>
        <v/>
      </c>
      <c r="I665" s="29" t="str">
        <f t="shared" si="2"/>
        <v/>
      </c>
      <c r="J665" s="29" t="str">
        <f>IF(A665="", "", IFERROR(VLOOKUP(A665, 'Master Roster'!A:H, 8, FALSE) - F665, ""))</f>
        <v/>
      </c>
      <c r="K665" s="29" t="s">
        <v>175</v>
      </c>
      <c r="L665" s="29" t="b">
        <v>0</v>
      </c>
      <c r="M665" s="29"/>
      <c r="N665" s="29" t="s">
        <v>175</v>
      </c>
      <c r="O665" s="29" t="str">
        <f>IF(ISBLANK(A665), "", LET(entry_day, VLOOKUP(A665, 'Master Roster'!$A:$G, 7, FALSE), start_date, DATE(E665, MONTH(D665&amp;" 1"), entry_day), end_date, EDATE(start_date, 1), period, TEXT(start_date, "mmm d, yyyy") &amp; " - " &amp; TEXT(end_date, "mmm d, yyyy"), HYPERLINK("https://wa.me/" &amp; VLOOKUP(A665, 'Master Roster'!$A:$F, 6, FALSE) &amp; "?text=" &amp; ENCODEURL("Hello " &amp; IFERROR(IF(VLOOKUP(A665, 'Master Roster'!$A:$J, 10, FALSE)="Male", "Mr. ", "Ms. "), "") &amp; B665 &amp; ", payment of K" &amp; F665 &amp; " received for " &amp; period &amp; ". Receipt No: " &amp; N665), "Send Receipt")))</f>
        <v/>
      </c>
    </row>
    <row r="666">
      <c r="A666" s="29"/>
      <c r="B666" s="29" t="s">
        <v>175</v>
      </c>
      <c r="C666" s="76"/>
      <c r="D666" s="29"/>
      <c r="E666" s="29"/>
      <c r="F666" s="29"/>
      <c r="G666" s="29"/>
      <c r="H666" s="29" t="str">
        <f t="shared" si="1"/>
        <v/>
      </c>
      <c r="I666" s="29" t="str">
        <f t="shared" si="2"/>
        <v/>
      </c>
      <c r="J666" s="29" t="str">
        <f>IF(A666="", "", IFERROR(VLOOKUP(A666, 'Master Roster'!A:H, 8, FALSE) - F666, ""))</f>
        <v/>
      </c>
      <c r="K666" s="29" t="s">
        <v>175</v>
      </c>
      <c r="L666" s="29" t="b">
        <v>0</v>
      </c>
      <c r="M666" s="29"/>
      <c r="N666" s="29" t="s">
        <v>175</v>
      </c>
      <c r="O666" s="29" t="str">
        <f>IF(ISBLANK(A666), "", LET(entry_day, VLOOKUP(A666, 'Master Roster'!$A:$G, 7, FALSE), start_date, DATE(E666, MONTH(D666&amp;" 1"), entry_day), end_date, EDATE(start_date, 1), period, TEXT(start_date, "mmm d, yyyy") &amp; " - " &amp; TEXT(end_date, "mmm d, yyyy"), HYPERLINK("https://wa.me/" &amp; VLOOKUP(A666, 'Master Roster'!$A:$F, 6, FALSE) &amp; "?text=" &amp; ENCODEURL("Hello " &amp; IFERROR(IF(VLOOKUP(A666, 'Master Roster'!$A:$J, 10, FALSE)="Male", "Mr. ", "Ms. "), "") &amp; B666 &amp; ", payment of K" &amp; F666 &amp; " received for " &amp; period &amp; ". Receipt No: " &amp; N666), "Send Receipt")))</f>
        <v/>
      </c>
    </row>
    <row r="667">
      <c r="A667" s="29"/>
      <c r="B667" s="29" t="s">
        <v>175</v>
      </c>
      <c r="C667" s="76"/>
      <c r="D667" s="29"/>
      <c r="E667" s="29"/>
      <c r="F667" s="29"/>
      <c r="G667" s="29"/>
      <c r="H667" s="29" t="str">
        <f t="shared" si="1"/>
        <v/>
      </c>
      <c r="I667" s="29" t="str">
        <f t="shared" si="2"/>
        <v/>
      </c>
      <c r="J667" s="29" t="str">
        <f>IF(A667="", "", IFERROR(VLOOKUP(A667, 'Master Roster'!A:H, 8, FALSE) - F667, ""))</f>
        <v/>
      </c>
      <c r="K667" s="29" t="s">
        <v>175</v>
      </c>
      <c r="L667" s="29" t="b">
        <v>0</v>
      </c>
      <c r="M667" s="29"/>
      <c r="N667" s="29" t="s">
        <v>175</v>
      </c>
      <c r="O667" s="29" t="str">
        <f>IF(ISBLANK(A667), "", LET(entry_day, VLOOKUP(A667, 'Master Roster'!$A:$G, 7, FALSE), start_date, DATE(E667, MONTH(D667&amp;" 1"), entry_day), end_date, EDATE(start_date, 1), period, TEXT(start_date, "mmm d, yyyy") &amp; " - " &amp; TEXT(end_date, "mmm d, yyyy"), HYPERLINK("https://wa.me/" &amp; VLOOKUP(A667, 'Master Roster'!$A:$F, 6, FALSE) &amp; "?text=" &amp; ENCODEURL("Hello " &amp; IFERROR(IF(VLOOKUP(A667, 'Master Roster'!$A:$J, 10, FALSE)="Male", "Mr. ", "Ms. "), "") &amp; B667 &amp; ", payment of K" &amp; F667 &amp; " received for " &amp; period &amp; ". Receipt No: " &amp; N667), "Send Receipt")))</f>
        <v/>
      </c>
    </row>
    <row r="668">
      <c r="A668" s="29"/>
      <c r="B668" s="29" t="s">
        <v>175</v>
      </c>
      <c r="C668" s="76"/>
      <c r="D668" s="29"/>
      <c r="E668" s="29"/>
      <c r="F668" s="29"/>
      <c r="G668" s="29"/>
      <c r="H668" s="29" t="str">
        <f t="shared" si="1"/>
        <v/>
      </c>
      <c r="I668" s="29" t="str">
        <f t="shared" si="2"/>
        <v/>
      </c>
      <c r="J668" s="29" t="str">
        <f>IF(A668="", "", IFERROR(VLOOKUP(A668, 'Master Roster'!A:H, 8, FALSE) - F668, ""))</f>
        <v/>
      </c>
      <c r="K668" s="29" t="s">
        <v>175</v>
      </c>
      <c r="L668" s="29" t="b">
        <v>0</v>
      </c>
      <c r="M668" s="29"/>
      <c r="N668" s="29" t="s">
        <v>175</v>
      </c>
      <c r="O668" s="29" t="str">
        <f>IF(ISBLANK(A668), "", LET(entry_day, VLOOKUP(A668, 'Master Roster'!$A:$G, 7, FALSE), start_date, DATE(E668, MONTH(D668&amp;" 1"), entry_day), end_date, EDATE(start_date, 1), period, TEXT(start_date, "mmm d, yyyy") &amp; " - " &amp; TEXT(end_date, "mmm d, yyyy"), HYPERLINK("https://wa.me/" &amp; VLOOKUP(A668, 'Master Roster'!$A:$F, 6, FALSE) &amp; "?text=" &amp; ENCODEURL("Hello " &amp; IFERROR(IF(VLOOKUP(A668, 'Master Roster'!$A:$J, 10, FALSE)="Male", "Mr. ", "Ms. "), "") &amp; B668 &amp; ", payment of K" &amp; F668 &amp; " received for " &amp; period &amp; ". Receipt No: " &amp; N668), "Send Receipt")))</f>
        <v/>
      </c>
    </row>
    <row r="669">
      <c r="A669" s="29"/>
      <c r="B669" s="29" t="s">
        <v>175</v>
      </c>
      <c r="C669" s="76"/>
      <c r="D669" s="29"/>
      <c r="E669" s="29"/>
      <c r="F669" s="29"/>
      <c r="G669" s="29"/>
      <c r="H669" s="29" t="str">
        <f t="shared" si="1"/>
        <v/>
      </c>
      <c r="I669" s="29" t="str">
        <f t="shared" si="2"/>
        <v/>
      </c>
      <c r="J669" s="29" t="str">
        <f>IF(A669="", "", IFERROR(VLOOKUP(A669, 'Master Roster'!A:H, 8, FALSE) - F669, ""))</f>
        <v/>
      </c>
      <c r="K669" s="29" t="s">
        <v>175</v>
      </c>
      <c r="L669" s="29" t="b">
        <v>0</v>
      </c>
      <c r="M669" s="29"/>
      <c r="N669" s="29" t="s">
        <v>175</v>
      </c>
      <c r="O669" s="29" t="str">
        <f>IF(ISBLANK(A669), "", LET(entry_day, VLOOKUP(A669, 'Master Roster'!$A:$G, 7, FALSE), start_date, DATE(E669, MONTH(D669&amp;" 1"), entry_day), end_date, EDATE(start_date, 1), period, TEXT(start_date, "mmm d, yyyy") &amp; " - " &amp; TEXT(end_date, "mmm d, yyyy"), HYPERLINK("https://wa.me/" &amp; VLOOKUP(A669, 'Master Roster'!$A:$F, 6, FALSE) &amp; "?text=" &amp; ENCODEURL("Hello " &amp; IFERROR(IF(VLOOKUP(A669, 'Master Roster'!$A:$J, 10, FALSE)="Male", "Mr. ", "Ms. "), "") &amp; B669 &amp; ", payment of K" &amp; F669 &amp; " received for " &amp; period &amp; ". Receipt No: " &amp; N669), "Send Receipt")))</f>
        <v/>
      </c>
    </row>
    <row r="670">
      <c r="A670" s="29"/>
      <c r="B670" s="29" t="s">
        <v>175</v>
      </c>
      <c r="C670" s="76"/>
      <c r="D670" s="29"/>
      <c r="E670" s="29"/>
      <c r="F670" s="29"/>
      <c r="G670" s="29"/>
      <c r="H670" s="29" t="str">
        <f t="shared" si="1"/>
        <v/>
      </c>
      <c r="I670" s="29" t="str">
        <f t="shared" si="2"/>
        <v/>
      </c>
      <c r="J670" s="29" t="str">
        <f>IF(A670="", "", IFERROR(VLOOKUP(A670, 'Master Roster'!A:H, 8, FALSE) - F670, ""))</f>
        <v/>
      </c>
      <c r="K670" s="29" t="s">
        <v>175</v>
      </c>
      <c r="L670" s="29" t="b">
        <v>0</v>
      </c>
      <c r="M670" s="29"/>
      <c r="N670" s="29" t="s">
        <v>175</v>
      </c>
      <c r="O670" s="29" t="str">
        <f>IF(ISBLANK(A670), "", LET(entry_day, VLOOKUP(A670, 'Master Roster'!$A:$G, 7, FALSE), start_date, DATE(E670, MONTH(D670&amp;" 1"), entry_day), end_date, EDATE(start_date, 1), period, TEXT(start_date, "mmm d, yyyy") &amp; " - " &amp; TEXT(end_date, "mmm d, yyyy"), HYPERLINK("https://wa.me/" &amp; VLOOKUP(A670, 'Master Roster'!$A:$F, 6, FALSE) &amp; "?text=" &amp; ENCODEURL("Hello " &amp; IFERROR(IF(VLOOKUP(A670, 'Master Roster'!$A:$J, 10, FALSE)="Male", "Mr. ", "Ms. "), "") &amp; B670 &amp; ", payment of K" &amp; F670 &amp; " received for " &amp; period &amp; ". Receipt No: " &amp; N670), "Send Receipt")))</f>
        <v/>
      </c>
    </row>
    <row r="671">
      <c r="A671" s="29"/>
      <c r="B671" s="29" t="s">
        <v>175</v>
      </c>
      <c r="C671" s="76"/>
      <c r="D671" s="29"/>
      <c r="E671" s="29"/>
      <c r="F671" s="29"/>
      <c r="G671" s="29"/>
      <c r="H671" s="29" t="str">
        <f t="shared" si="1"/>
        <v/>
      </c>
      <c r="I671" s="29" t="str">
        <f t="shared" si="2"/>
        <v/>
      </c>
      <c r="J671" s="29" t="str">
        <f>IF(A671="", "", IFERROR(VLOOKUP(A671, 'Master Roster'!A:H, 8, FALSE) - F671, ""))</f>
        <v/>
      </c>
      <c r="K671" s="29" t="s">
        <v>175</v>
      </c>
      <c r="L671" s="29" t="b">
        <v>0</v>
      </c>
      <c r="M671" s="29"/>
      <c r="N671" s="29" t="s">
        <v>175</v>
      </c>
      <c r="O671" s="29" t="str">
        <f>IF(ISBLANK(A671), "", LET(entry_day, VLOOKUP(A671, 'Master Roster'!$A:$G, 7, FALSE), start_date, DATE(E671, MONTH(D671&amp;" 1"), entry_day), end_date, EDATE(start_date, 1), period, TEXT(start_date, "mmm d, yyyy") &amp; " - " &amp; TEXT(end_date, "mmm d, yyyy"), HYPERLINK("https://wa.me/" &amp; VLOOKUP(A671, 'Master Roster'!$A:$F, 6, FALSE) &amp; "?text=" &amp; ENCODEURL("Hello " &amp; IFERROR(IF(VLOOKUP(A671, 'Master Roster'!$A:$J, 10, FALSE)="Male", "Mr. ", "Ms. "), "") &amp; B671 &amp; ", payment of K" &amp; F671 &amp; " received for " &amp; period &amp; ". Receipt No: " &amp; N671), "Send Receipt")))</f>
        <v/>
      </c>
    </row>
    <row r="672">
      <c r="A672" s="29"/>
      <c r="B672" s="29" t="s">
        <v>175</v>
      </c>
      <c r="C672" s="76"/>
      <c r="D672" s="29"/>
      <c r="E672" s="29"/>
      <c r="F672" s="29"/>
      <c r="G672" s="29"/>
      <c r="H672" s="29" t="str">
        <f t="shared" si="1"/>
        <v/>
      </c>
      <c r="I672" s="29" t="str">
        <f t="shared" si="2"/>
        <v/>
      </c>
      <c r="J672" s="29" t="str">
        <f>IF(A672="", "", IFERROR(VLOOKUP(A672, 'Master Roster'!A:H, 8, FALSE) - F672, ""))</f>
        <v/>
      </c>
      <c r="K672" s="29" t="s">
        <v>175</v>
      </c>
      <c r="L672" s="29" t="b">
        <v>0</v>
      </c>
      <c r="M672" s="29"/>
      <c r="N672" s="29" t="s">
        <v>175</v>
      </c>
      <c r="O672" s="29" t="str">
        <f>IF(ISBLANK(A672), "", LET(entry_day, VLOOKUP(A672, 'Master Roster'!$A:$G, 7, FALSE), start_date, DATE(E672, MONTH(D672&amp;" 1"), entry_day), end_date, EDATE(start_date, 1), period, TEXT(start_date, "mmm d, yyyy") &amp; " - " &amp; TEXT(end_date, "mmm d, yyyy"), HYPERLINK("https://wa.me/" &amp; VLOOKUP(A672, 'Master Roster'!$A:$F, 6, FALSE) &amp; "?text=" &amp; ENCODEURL("Hello " &amp; IFERROR(IF(VLOOKUP(A672, 'Master Roster'!$A:$J, 10, FALSE)="Male", "Mr. ", "Ms. "), "") &amp; B672 &amp; ", payment of K" &amp; F672 &amp; " received for " &amp; period &amp; ". Receipt No: " &amp; N672), "Send Receipt")))</f>
        <v/>
      </c>
    </row>
    <row r="673">
      <c r="A673" s="29"/>
      <c r="B673" s="29" t="s">
        <v>175</v>
      </c>
      <c r="C673" s="76"/>
      <c r="D673" s="29"/>
      <c r="E673" s="29"/>
      <c r="F673" s="29"/>
      <c r="G673" s="29"/>
      <c r="H673" s="29" t="str">
        <f t="shared" si="1"/>
        <v/>
      </c>
      <c r="I673" s="29" t="str">
        <f t="shared" si="2"/>
        <v/>
      </c>
      <c r="J673" s="29" t="str">
        <f>IF(A673="", "", IFERROR(VLOOKUP(A673, 'Master Roster'!A:H, 8, FALSE) - F673, ""))</f>
        <v/>
      </c>
      <c r="K673" s="29" t="s">
        <v>175</v>
      </c>
      <c r="L673" s="29" t="b">
        <v>0</v>
      </c>
      <c r="M673" s="29"/>
      <c r="N673" s="29" t="s">
        <v>175</v>
      </c>
      <c r="O673" s="29" t="str">
        <f>IF(ISBLANK(A673), "", LET(entry_day, VLOOKUP(A673, 'Master Roster'!$A:$G, 7, FALSE), start_date, DATE(E673, MONTH(D673&amp;" 1"), entry_day), end_date, EDATE(start_date, 1), period, TEXT(start_date, "mmm d, yyyy") &amp; " - " &amp; TEXT(end_date, "mmm d, yyyy"), HYPERLINK("https://wa.me/" &amp; VLOOKUP(A673, 'Master Roster'!$A:$F, 6, FALSE) &amp; "?text=" &amp; ENCODEURL("Hello " &amp; IFERROR(IF(VLOOKUP(A673, 'Master Roster'!$A:$J, 10, FALSE)="Male", "Mr. ", "Ms. "), "") &amp; B673 &amp; ", payment of K" &amp; F673 &amp; " received for " &amp; period &amp; ". Receipt No: " &amp; N673), "Send Receipt")))</f>
        <v/>
      </c>
    </row>
    <row r="674">
      <c r="A674" s="29"/>
      <c r="B674" s="29" t="s">
        <v>175</v>
      </c>
      <c r="C674" s="76"/>
      <c r="D674" s="29"/>
      <c r="E674" s="29"/>
      <c r="F674" s="29"/>
      <c r="G674" s="29"/>
      <c r="H674" s="29" t="str">
        <f t="shared" si="1"/>
        <v/>
      </c>
      <c r="I674" s="29" t="str">
        <f t="shared" si="2"/>
        <v/>
      </c>
      <c r="J674" s="29" t="str">
        <f>IF(A674="", "", IFERROR(VLOOKUP(A674, 'Master Roster'!A:H, 8, FALSE) - F674, ""))</f>
        <v/>
      </c>
      <c r="K674" s="29" t="s">
        <v>175</v>
      </c>
      <c r="L674" s="29" t="b">
        <v>0</v>
      </c>
      <c r="M674" s="29"/>
      <c r="N674" s="29" t="s">
        <v>175</v>
      </c>
      <c r="O674" s="29" t="str">
        <f>IF(ISBLANK(A674), "", LET(entry_day, VLOOKUP(A674, 'Master Roster'!$A:$G, 7, FALSE), start_date, DATE(E674, MONTH(D674&amp;" 1"), entry_day), end_date, EDATE(start_date, 1), period, TEXT(start_date, "mmm d, yyyy") &amp; " - " &amp; TEXT(end_date, "mmm d, yyyy"), HYPERLINK("https://wa.me/" &amp; VLOOKUP(A674, 'Master Roster'!$A:$F, 6, FALSE) &amp; "?text=" &amp; ENCODEURL("Hello " &amp; IFERROR(IF(VLOOKUP(A674, 'Master Roster'!$A:$J, 10, FALSE)="Male", "Mr. ", "Ms. "), "") &amp; B674 &amp; ", payment of K" &amp; F674 &amp; " received for " &amp; period &amp; ". Receipt No: " &amp; N674), "Send Receipt")))</f>
        <v/>
      </c>
    </row>
    <row r="675">
      <c r="A675" s="29"/>
      <c r="B675" s="29" t="s">
        <v>175</v>
      </c>
      <c r="C675" s="76"/>
      <c r="D675" s="29"/>
      <c r="E675" s="29"/>
      <c r="F675" s="29"/>
      <c r="G675" s="29"/>
      <c r="H675" s="29" t="str">
        <f t="shared" si="1"/>
        <v/>
      </c>
      <c r="I675" s="29" t="str">
        <f t="shared" si="2"/>
        <v/>
      </c>
      <c r="J675" s="29" t="str">
        <f>IF(A675="", "", IFERROR(VLOOKUP(A675, 'Master Roster'!A:H, 8, FALSE) - F675, ""))</f>
        <v/>
      </c>
      <c r="K675" s="29" t="s">
        <v>175</v>
      </c>
      <c r="L675" s="29" t="b">
        <v>0</v>
      </c>
      <c r="M675" s="29"/>
      <c r="N675" s="29" t="s">
        <v>175</v>
      </c>
      <c r="O675" s="29" t="str">
        <f>IF(ISBLANK(A675), "", LET(entry_day, VLOOKUP(A675, 'Master Roster'!$A:$G, 7, FALSE), start_date, DATE(E675, MONTH(D675&amp;" 1"), entry_day), end_date, EDATE(start_date, 1), period, TEXT(start_date, "mmm d, yyyy") &amp; " - " &amp; TEXT(end_date, "mmm d, yyyy"), HYPERLINK("https://wa.me/" &amp; VLOOKUP(A675, 'Master Roster'!$A:$F, 6, FALSE) &amp; "?text=" &amp; ENCODEURL("Hello " &amp; IFERROR(IF(VLOOKUP(A675, 'Master Roster'!$A:$J, 10, FALSE)="Male", "Mr. ", "Ms. "), "") &amp; B675 &amp; ", payment of K" &amp; F675 &amp; " received for " &amp; period &amp; ". Receipt No: " &amp; N675), "Send Receipt")))</f>
        <v/>
      </c>
    </row>
    <row r="676">
      <c r="A676" s="29"/>
      <c r="B676" s="29" t="s">
        <v>175</v>
      </c>
      <c r="C676" s="76"/>
      <c r="D676" s="29"/>
      <c r="E676" s="29"/>
      <c r="F676" s="29"/>
      <c r="G676" s="29"/>
      <c r="H676" s="29" t="str">
        <f t="shared" si="1"/>
        <v/>
      </c>
      <c r="I676" s="29" t="str">
        <f t="shared" si="2"/>
        <v/>
      </c>
      <c r="J676" s="29" t="str">
        <f>IF(A676="", "", IFERROR(VLOOKUP(A676, 'Master Roster'!A:H, 8, FALSE) - F676, ""))</f>
        <v/>
      </c>
      <c r="K676" s="29" t="s">
        <v>175</v>
      </c>
      <c r="L676" s="29" t="b">
        <v>0</v>
      </c>
      <c r="M676" s="29"/>
      <c r="N676" s="29" t="s">
        <v>175</v>
      </c>
      <c r="O676" s="29" t="str">
        <f>IF(ISBLANK(A676), "", LET(entry_day, VLOOKUP(A676, 'Master Roster'!$A:$G, 7, FALSE), start_date, DATE(E676, MONTH(D676&amp;" 1"), entry_day), end_date, EDATE(start_date, 1), period, TEXT(start_date, "mmm d, yyyy") &amp; " - " &amp; TEXT(end_date, "mmm d, yyyy"), HYPERLINK("https://wa.me/" &amp; VLOOKUP(A676, 'Master Roster'!$A:$F, 6, FALSE) &amp; "?text=" &amp; ENCODEURL("Hello " &amp; IFERROR(IF(VLOOKUP(A676, 'Master Roster'!$A:$J, 10, FALSE)="Male", "Mr. ", "Ms. "), "") &amp; B676 &amp; ", payment of K" &amp; F676 &amp; " received for " &amp; period &amp; ". Receipt No: " &amp; N676), "Send Receipt")))</f>
        <v/>
      </c>
    </row>
    <row r="677">
      <c r="A677" s="29"/>
      <c r="B677" s="29" t="s">
        <v>175</v>
      </c>
      <c r="C677" s="76"/>
      <c r="D677" s="29"/>
      <c r="E677" s="29"/>
      <c r="F677" s="29"/>
      <c r="G677" s="29"/>
      <c r="H677" s="29" t="str">
        <f t="shared" si="1"/>
        <v/>
      </c>
      <c r="I677" s="29" t="str">
        <f t="shared" si="2"/>
        <v/>
      </c>
      <c r="J677" s="29" t="str">
        <f>IF(A677="", "", IFERROR(VLOOKUP(A677, 'Master Roster'!A:H, 8, FALSE) - F677, ""))</f>
        <v/>
      </c>
      <c r="K677" s="29" t="s">
        <v>175</v>
      </c>
      <c r="L677" s="29" t="b">
        <v>0</v>
      </c>
      <c r="M677" s="29"/>
      <c r="N677" s="29" t="s">
        <v>175</v>
      </c>
      <c r="O677" s="29" t="str">
        <f>IF(ISBLANK(A677), "", LET(entry_day, VLOOKUP(A677, 'Master Roster'!$A:$G, 7, FALSE), start_date, DATE(E677, MONTH(D677&amp;" 1"), entry_day), end_date, EDATE(start_date, 1), period, TEXT(start_date, "mmm d, yyyy") &amp; " - " &amp; TEXT(end_date, "mmm d, yyyy"), HYPERLINK("https://wa.me/" &amp; VLOOKUP(A677, 'Master Roster'!$A:$F, 6, FALSE) &amp; "?text=" &amp; ENCODEURL("Hello " &amp; IFERROR(IF(VLOOKUP(A677, 'Master Roster'!$A:$J, 10, FALSE)="Male", "Mr. ", "Ms. "), "") &amp; B677 &amp; ", payment of K" &amp; F677 &amp; " received for " &amp; period &amp; ". Receipt No: " &amp; N677), "Send Receipt")))</f>
        <v/>
      </c>
    </row>
    <row r="678">
      <c r="A678" s="29"/>
      <c r="B678" s="29" t="s">
        <v>175</v>
      </c>
      <c r="C678" s="76"/>
      <c r="D678" s="29"/>
      <c r="E678" s="29"/>
      <c r="F678" s="29"/>
      <c r="G678" s="29"/>
      <c r="H678" s="29" t="str">
        <f t="shared" si="1"/>
        <v/>
      </c>
      <c r="I678" s="29" t="str">
        <f t="shared" si="2"/>
        <v/>
      </c>
      <c r="J678" s="29" t="str">
        <f>IF(A678="", "", IFERROR(VLOOKUP(A678, 'Master Roster'!A:H, 8, FALSE) - F678, ""))</f>
        <v/>
      </c>
      <c r="K678" s="29" t="s">
        <v>175</v>
      </c>
      <c r="L678" s="29" t="b">
        <v>0</v>
      </c>
      <c r="M678" s="29"/>
      <c r="N678" s="29" t="s">
        <v>175</v>
      </c>
      <c r="O678" s="29" t="str">
        <f>IF(ISBLANK(A678), "", LET(entry_day, VLOOKUP(A678, 'Master Roster'!$A:$G, 7, FALSE), start_date, DATE(E678, MONTH(D678&amp;" 1"), entry_day), end_date, EDATE(start_date, 1), period, TEXT(start_date, "mmm d, yyyy") &amp; " - " &amp; TEXT(end_date, "mmm d, yyyy"), HYPERLINK("https://wa.me/" &amp; VLOOKUP(A678, 'Master Roster'!$A:$F, 6, FALSE) &amp; "?text=" &amp; ENCODEURL("Hello " &amp; IFERROR(IF(VLOOKUP(A678, 'Master Roster'!$A:$J, 10, FALSE)="Male", "Mr. ", "Ms. "), "") &amp; B678 &amp; ", payment of K" &amp; F678 &amp; " received for " &amp; period &amp; ". Receipt No: " &amp; N678), "Send Receipt")))</f>
        <v/>
      </c>
    </row>
    <row r="679">
      <c r="A679" s="29"/>
      <c r="B679" s="29" t="s">
        <v>175</v>
      </c>
      <c r="C679" s="76"/>
      <c r="D679" s="29"/>
      <c r="E679" s="29"/>
      <c r="F679" s="29"/>
      <c r="G679" s="29"/>
      <c r="H679" s="29" t="str">
        <f t="shared" si="1"/>
        <v/>
      </c>
      <c r="I679" s="29" t="str">
        <f t="shared" si="2"/>
        <v/>
      </c>
      <c r="J679" s="29" t="str">
        <f>IF(A679="", "", IFERROR(VLOOKUP(A679, 'Master Roster'!A:H, 8, FALSE) - F679, ""))</f>
        <v/>
      </c>
      <c r="K679" s="29" t="s">
        <v>175</v>
      </c>
      <c r="L679" s="29" t="b">
        <v>0</v>
      </c>
      <c r="M679" s="29"/>
      <c r="N679" s="29" t="s">
        <v>175</v>
      </c>
      <c r="O679" s="29" t="str">
        <f>IF(ISBLANK(A679), "", LET(entry_day, VLOOKUP(A679, 'Master Roster'!$A:$G, 7, FALSE), start_date, DATE(E679, MONTH(D679&amp;" 1"), entry_day), end_date, EDATE(start_date, 1), period, TEXT(start_date, "mmm d, yyyy") &amp; " - " &amp; TEXT(end_date, "mmm d, yyyy"), HYPERLINK("https://wa.me/" &amp; VLOOKUP(A679, 'Master Roster'!$A:$F, 6, FALSE) &amp; "?text=" &amp; ENCODEURL("Hello " &amp; IFERROR(IF(VLOOKUP(A679, 'Master Roster'!$A:$J, 10, FALSE)="Male", "Mr. ", "Ms. "), "") &amp; B679 &amp; ", payment of K" &amp; F679 &amp; " received for " &amp; period &amp; ". Receipt No: " &amp; N679), "Send Receipt")))</f>
        <v/>
      </c>
    </row>
    <row r="680">
      <c r="A680" s="29"/>
      <c r="B680" s="29" t="s">
        <v>175</v>
      </c>
      <c r="C680" s="76"/>
      <c r="D680" s="29"/>
      <c r="E680" s="29"/>
      <c r="F680" s="29"/>
      <c r="G680" s="29"/>
      <c r="H680" s="29" t="str">
        <f t="shared" si="1"/>
        <v/>
      </c>
      <c r="I680" s="29" t="str">
        <f t="shared" si="2"/>
        <v/>
      </c>
      <c r="J680" s="29" t="str">
        <f>IF(A680="", "", IFERROR(VLOOKUP(A680, 'Master Roster'!A:H, 8, FALSE) - F680, ""))</f>
        <v/>
      </c>
      <c r="K680" s="29" t="s">
        <v>175</v>
      </c>
      <c r="L680" s="29" t="b">
        <v>0</v>
      </c>
      <c r="M680" s="29"/>
      <c r="N680" s="29" t="s">
        <v>175</v>
      </c>
      <c r="O680" s="29" t="str">
        <f>IF(ISBLANK(A680), "", LET(entry_day, VLOOKUP(A680, 'Master Roster'!$A:$G, 7, FALSE), start_date, DATE(E680, MONTH(D680&amp;" 1"), entry_day), end_date, EDATE(start_date, 1), period, TEXT(start_date, "mmm d, yyyy") &amp; " - " &amp; TEXT(end_date, "mmm d, yyyy"), HYPERLINK("https://wa.me/" &amp; VLOOKUP(A680, 'Master Roster'!$A:$F, 6, FALSE) &amp; "?text=" &amp; ENCODEURL("Hello " &amp; IFERROR(IF(VLOOKUP(A680, 'Master Roster'!$A:$J, 10, FALSE)="Male", "Mr. ", "Ms. "), "") &amp; B680 &amp; ", payment of K" &amp; F680 &amp; " received for " &amp; period &amp; ". Receipt No: " &amp; N680), "Send Receipt")))</f>
        <v/>
      </c>
    </row>
    <row r="681">
      <c r="A681" s="29"/>
      <c r="B681" s="29" t="s">
        <v>175</v>
      </c>
      <c r="C681" s="76"/>
      <c r="D681" s="29"/>
      <c r="E681" s="29"/>
      <c r="F681" s="29"/>
      <c r="G681" s="29"/>
      <c r="H681" s="29" t="str">
        <f t="shared" si="1"/>
        <v/>
      </c>
      <c r="I681" s="29" t="str">
        <f t="shared" si="2"/>
        <v/>
      </c>
      <c r="J681" s="29" t="str">
        <f>IF(A681="", "", IFERROR(VLOOKUP(A681, 'Master Roster'!A:H, 8, FALSE) - F681, ""))</f>
        <v/>
      </c>
      <c r="K681" s="29" t="s">
        <v>175</v>
      </c>
      <c r="L681" s="29" t="b">
        <v>0</v>
      </c>
      <c r="M681" s="29"/>
      <c r="N681" s="29" t="s">
        <v>175</v>
      </c>
      <c r="O681" s="29" t="str">
        <f>IF(ISBLANK(A681), "", LET(entry_day, VLOOKUP(A681, 'Master Roster'!$A:$G, 7, FALSE), start_date, DATE(E681, MONTH(D681&amp;" 1"), entry_day), end_date, EDATE(start_date, 1), period, TEXT(start_date, "mmm d, yyyy") &amp; " - " &amp; TEXT(end_date, "mmm d, yyyy"), HYPERLINK("https://wa.me/" &amp; VLOOKUP(A681, 'Master Roster'!$A:$F, 6, FALSE) &amp; "?text=" &amp; ENCODEURL("Hello " &amp; IFERROR(IF(VLOOKUP(A681, 'Master Roster'!$A:$J, 10, FALSE)="Male", "Mr. ", "Ms. "), "") &amp; B681 &amp; ", payment of K" &amp; F681 &amp; " received for " &amp; period &amp; ". Receipt No: " &amp; N681), "Send Receipt")))</f>
        <v/>
      </c>
    </row>
    <row r="682">
      <c r="A682" s="29"/>
      <c r="B682" s="29" t="s">
        <v>175</v>
      </c>
      <c r="C682" s="76"/>
      <c r="D682" s="29"/>
      <c r="E682" s="29"/>
      <c r="F682" s="29"/>
      <c r="G682" s="29"/>
      <c r="H682" s="29" t="str">
        <f t="shared" si="1"/>
        <v/>
      </c>
      <c r="I682" s="29" t="str">
        <f t="shared" si="2"/>
        <v/>
      </c>
      <c r="J682" s="29" t="str">
        <f>IF(A682="", "", IFERROR(VLOOKUP(A682, 'Master Roster'!A:H, 8, FALSE) - F682, ""))</f>
        <v/>
      </c>
      <c r="K682" s="29" t="s">
        <v>175</v>
      </c>
      <c r="L682" s="29" t="b">
        <v>0</v>
      </c>
      <c r="M682" s="29"/>
      <c r="N682" s="29" t="s">
        <v>175</v>
      </c>
      <c r="O682" s="29" t="str">
        <f>IF(ISBLANK(A682), "", LET(entry_day, VLOOKUP(A682, 'Master Roster'!$A:$G, 7, FALSE), start_date, DATE(E682, MONTH(D682&amp;" 1"), entry_day), end_date, EDATE(start_date, 1), period, TEXT(start_date, "mmm d, yyyy") &amp; " - " &amp; TEXT(end_date, "mmm d, yyyy"), HYPERLINK("https://wa.me/" &amp; VLOOKUP(A682, 'Master Roster'!$A:$F, 6, FALSE) &amp; "?text=" &amp; ENCODEURL("Hello " &amp; IFERROR(IF(VLOOKUP(A682, 'Master Roster'!$A:$J, 10, FALSE)="Male", "Mr. ", "Ms. "), "") &amp; B682 &amp; ", payment of K" &amp; F682 &amp; " received for " &amp; period &amp; ". Receipt No: " &amp; N682), "Send Receipt")))</f>
        <v/>
      </c>
    </row>
    <row r="683">
      <c r="A683" s="29"/>
      <c r="B683" s="29" t="s">
        <v>175</v>
      </c>
      <c r="C683" s="76"/>
      <c r="D683" s="29"/>
      <c r="E683" s="29"/>
      <c r="F683" s="29"/>
      <c r="G683" s="29"/>
      <c r="H683" s="29" t="str">
        <f t="shared" si="1"/>
        <v/>
      </c>
      <c r="I683" s="29" t="str">
        <f t="shared" si="2"/>
        <v/>
      </c>
      <c r="J683" s="29" t="str">
        <f>IF(A683="", "", IFERROR(VLOOKUP(A683, 'Master Roster'!A:H, 8, FALSE) - F683, ""))</f>
        <v/>
      </c>
      <c r="K683" s="29" t="s">
        <v>175</v>
      </c>
      <c r="L683" s="29" t="b">
        <v>0</v>
      </c>
      <c r="M683" s="29"/>
      <c r="N683" s="29" t="s">
        <v>175</v>
      </c>
      <c r="O683" s="29" t="str">
        <f>IF(ISBLANK(A683), "", LET(entry_day, VLOOKUP(A683, 'Master Roster'!$A:$G, 7, FALSE), start_date, DATE(E683, MONTH(D683&amp;" 1"), entry_day), end_date, EDATE(start_date, 1), period, TEXT(start_date, "mmm d, yyyy") &amp; " - " &amp; TEXT(end_date, "mmm d, yyyy"), HYPERLINK("https://wa.me/" &amp; VLOOKUP(A683, 'Master Roster'!$A:$F, 6, FALSE) &amp; "?text=" &amp; ENCODEURL("Hello " &amp; IFERROR(IF(VLOOKUP(A683, 'Master Roster'!$A:$J, 10, FALSE)="Male", "Mr. ", "Ms. "), "") &amp; B683 &amp; ", payment of K" &amp; F683 &amp; " received for " &amp; period &amp; ". Receipt No: " &amp; N683), "Send Receipt")))</f>
        <v/>
      </c>
    </row>
    <row r="684">
      <c r="A684" s="29"/>
      <c r="B684" s="29" t="s">
        <v>175</v>
      </c>
      <c r="C684" s="76"/>
      <c r="D684" s="29"/>
      <c r="E684" s="29"/>
      <c r="F684" s="29"/>
      <c r="G684" s="29"/>
      <c r="H684" s="29" t="str">
        <f t="shared" si="1"/>
        <v/>
      </c>
      <c r="I684" s="29" t="str">
        <f t="shared" si="2"/>
        <v/>
      </c>
      <c r="J684" s="29" t="str">
        <f>IF(A684="", "", IFERROR(VLOOKUP(A684, 'Master Roster'!A:H, 8, FALSE) - F684, ""))</f>
        <v/>
      </c>
      <c r="K684" s="29" t="s">
        <v>175</v>
      </c>
      <c r="L684" s="29" t="b">
        <v>0</v>
      </c>
      <c r="M684" s="29"/>
      <c r="N684" s="29" t="s">
        <v>175</v>
      </c>
      <c r="O684" s="29" t="str">
        <f>IF(ISBLANK(A684), "", LET(entry_day, VLOOKUP(A684, 'Master Roster'!$A:$G, 7, FALSE), start_date, DATE(E684, MONTH(D684&amp;" 1"), entry_day), end_date, EDATE(start_date, 1), period, TEXT(start_date, "mmm d, yyyy") &amp; " - " &amp; TEXT(end_date, "mmm d, yyyy"), HYPERLINK("https://wa.me/" &amp; VLOOKUP(A684, 'Master Roster'!$A:$F, 6, FALSE) &amp; "?text=" &amp; ENCODEURL("Hello " &amp; IFERROR(IF(VLOOKUP(A684, 'Master Roster'!$A:$J, 10, FALSE)="Male", "Mr. ", "Ms. "), "") &amp; B684 &amp; ", payment of K" &amp; F684 &amp; " received for " &amp; period &amp; ". Receipt No: " &amp; N684), "Send Receipt")))</f>
        <v/>
      </c>
    </row>
    <row r="685">
      <c r="A685" s="29"/>
      <c r="B685" s="29" t="s">
        <v>175</v>
      </c>
      <c r="C685" s="76"/>
      <c r="D685" s="29"/>
      <c r="E685" s="29"/>
      <c r="F685" s="29"/>
      <c r="G685" s="29"/>
      <c r="H685" s="29" t="str">
        <f t="shared" si="1"/>
        <v/>
      </c>
      <c r="I685" s="29" t="str">
        <f t="shared" si="2"/>
        <v/>
      </c>
      <c r="J685" s="29" t="str">
        <f>IF(A685="", "", IFERROR(VLOOKUP(A685, 'Master Roster'!A:H, 8, FALSE) - F685, ""))</f>
        <v/>
      </c>
      <c r="K685" s="29" t="s">
        <v>175</v>
      </c>
      <c r="L685" s="29" t="b">
        <v>0</v>
      </c>
      <c r="M685" s="29"/>
      <c r="N685" s="29" t="s">
        <v>175</v>
      </c>
      <c r="O685" s="29" t="str">
        <f>IF(ISBLANK(A685), "", LET(entry_day, VLOOKUP(A685, 'Master Roster'!$A:$G, 7, FALSE), start_date, DATE(E685, MONTH(D685&amp;" 1"), entry_day), end_date, EDATE(start_date, 1), period, TEXT(start_date, "mmm d, yyyy") &amp; " - " &amp; TEXT(end_date, "mmm d, yyyy"), HYPERLINK("https://wa.me/" &amp; VLOOKUP(A685, 'Master Roster'!$A:$F, 6, FALSE) &amp; "?text=" &amp; ENCODEURL("Hello " &amp; IFERROR(IF(VLOOKUP(A685, 'Master Roster'!$A:$J, 10, FALSE)="Male", "Mr. ", "Ms. "), "") &amp; B685 &amp; ", payment of K" &amp; F685 &amp; " received for " &amp; period &amp; ". Receipt No: " &amp; N685), "Send Receipt")))</f>
        <v/>
      </c>
    </row>
    <row r="686">
      <c r="A686" s="29"/>
      <c r="B686" s="29" t="s">
        <v>175</v>
      </c>
      <c r="C686" s="76"/>
      <c r="D686" s="29"/>
      <c r="E686" s="29"/>
      <c r="F686" s="29"/>
      <c r="G686" s="29"/>
      <c r="H686" s="29" t="str">
        <f t="shared" si="1"/>
        <v/>
      </c>
      <c r="I686" s="29" t="str">
        <f t="shared" si="2"/>
        <v/>
      </c>
      <c r="J686" s="29" t="str">
        <f>IF(A686="", "", IFERROR(VLOOKUP(A686, 'Master Roster'!A:H, 8, FALSE) - F686, ""))</f>
        <v/>
      </c>
      <c r="K686" s="29" t="s">
        <v>175</v>
      </c>
      <c r="L686" s="29" t="b">
        <v>0</v>
      </c>
      <c r="M686" s="29"/>
      <c r="N686" s="29" t="s">
        <v>175</v>
      </c>
      <c r="O686" s="29" t="str">
        <f>IF(ISBLANK(A686), "", LET(entry_day, VLOOKUP(A686, 'Master Roster'!$A:$G, 7, FALSE), start_date, DATE(E686, MONTH(D686&amp;" 1"), entry_day), end_date, EDATE(start_date, 1), period, TEXT(start_date, "mmm d, yyyy") &amp; " - " &amp; TEXT(end_date, "mmm d, yyyy"), HYPERLINK("https://wa.me/" &amp; VLOOKUP(A686, 'Master Roster'!$A:$F, 6, FALSE) &amp; "?text=" &amp; ENCODEURL("Hello " &amp; IFERROR(IF(VLOOKUP(A686, 'Master Roster'!$A:$J, 10, FALSE)="Male", "Mr. ", "Ms. "), "") &amp; B686 &amp; ", payment of K" &amp; F686 &amp; " received for " &amp; period &amp; ". Receipt No: " &amp; N686), "Send Receipt")))</f>
        <v/>
      </c>
    </row>
    <row r="687">
      <c r="A687" s="29"/>
      <c r="B687" s="29" t="s">
        <v>175</v>
      </c>
      <c r="C687" s="76"/>
      <c r="D687" s="29"/>
      <c r="E687" s="29"/>
      <c r="F687" s="29"/>
      <c r="G687" s="29"/>
      <c r="H687" s="29" t="str">
        <f t="shared" si="1"/>
        <v/>
      </c>
      <c r="I687" s="29" t="str">
        <f t="shared" si="2"/>
        <v/>
      </c>
      <c r="J687" s="29" t="str">
        <f>IF(A687="", "", IFERROR(VLOOKUP(A687, 'Master Roster'!A:H, 8, FALSE) - F687, ""))</f>
        <v/>
      </c>
      <c r="K687" s="29" t="s">
        <v>175</v>
      </c>
      <c r="L687" s="29" t="b">
        <v>0</v>
      </c>
      <c r="M687" s="29"/>
      <c r="N687" s="29" t="s">
        <v>175</v>
      </c>
      <c r="O687" s="29" t="str">
        <f>IF(ISBLANK(A687), "", LET(entry_day, VLOOKUP(A687, 'Master Roster'!$A:$G, 7, FALSE), start_date, DATE(E687, MONTH(D687&amp;" 1"), entry_day), end_date, EDATE(start_date, 1), period, TEXT(start_date, "mmm d, yyyy") &amp; " - " &amp; TEXT(end_date, "mmm d, yyyy"), HYPERLINK("https://wa.me/" &amp; VLOOKUP(A687, 'Master Roster'!$A:$F, 6, FALSE) &amp; "?text=" &amp; ENCODEURL("Hello " &amp; IFERROR(IF(VLOOKUP(A687, 'Master Roster'!$A:$J, 10, FALSE)="Male", "Mr. ", "Ms. "), "") &amp; B687 &amp; ", payment of K" &amp; F687 &amp; " received for " &amp; period &amp; ". Receipt No: " &amp; N687), "Send Receipt")))</f>
        <v/>
      </c>
    </row>
    <row r="688">
      <c r="A688" s="29"/>
      <c r="B688" s="29" t="s">
        <v>175</v>
      </c>
      <c r="C688" s="76"/>
      <c r="D688" s="29"/>
      <c r="E688" s="29"/>
      <c r="F688" s="29"/>
      <c r="G688" s="29"/>
      <c r="H688" s="29" t="str">
        <f t="shared" si="1"/>
        <v/>
      </c>
      <c r="I688" s="29" t="str">
        <f t="shared" si="2"/>
        <v/>
      </c>
      <c r="J688" s="29" t="str">
        <f>IF(A688="", "", IFERROR(VLOOKUP(A688, 'Master Roster'!A:H, 8, FALSE) - F688, ""))</f>
        <v/>
      </c>
      <c r="K688" s="29" t="s">
        <v>175</v>
      </c>
      <c r="L688" s="29" t="b">
        <v>0</v>
      </c>
      <c r="M688" s="29"/>
      <c r="N688" s="29" t="s">
        <v>175</v>
      </c>
      <c r="O688" s="29" t="str">
        <f>IF(ISBLANK(A688), "", LET(entry_day, VLOOKUP(A688, 'Master Roster'!$A:$G, 7, FALSE), start_date, DATE(E688, MONTH(D688&amp;" 1"), entry_day), end_date, EDATE(start_date, 1), period, TEXT(start_date, "mmm d, yyyy") &amp; " - " &amp; TEXT(end_date, "mmm d, yyyy"), HYPERLINK("https://wa.me/" &amp; VLOOKUP(A688, 'Master Roster'!$A:$F, 6, FALSE) &amp; "?text=" &amp; ENCODEURL("Hello " &amp; IFERROR(IF(VLOOKUP(A688, 'Master Roster'!$A:$J, 10, FALSE)="Male", "Mr. ", "Ms. "), "") &amp; B688 &amp; ", payment of K" &amp; F688 &amp; " received for " &amp; period &amp; ". Receipt No: " &amp; N688), "Send Receipt")))</f>
        <v/>
      </c>
    </row>
    <row r="689">
      <c r="A689" s="29"/>
      <c r="B689" s="29" t="s">
        <v>175</v>
      </c>
      <c r="C689" s="76"/>
      <c r="D689" s="29"/>
      <c r="E689" s="29"/>
      <c r="F689" s="29"/>
      <c r="G689" s="29"/>
      <c r="H689" s="29" t="str">
        <f t="shared" si="1"/>
        <v/>
      </c>
      <c r="I689" s="29" t="str">
        <f t="shared" si="2"/>
        <v/>
      </c>
      <c r="J689" s="29" t="str">
        <f>IF(A689="", "", IFERROR(VLOOKUP(A689, 'Master Roster'!A:H, 8, FALSE) - F689, ""))</f>
        <v/>
      </c>
      <c r="K689" s="29" t="s">
        <v>175</v>
      </c>
      <c r="L689" s="29" t="b">
        <v>0</v>
      </c>
      <c r="M689" s="29"/>
      <c r="N689" s="29" t="s">
        <v>175</v>
      </c>
      <c r="O689" s="29" t="str">
        <f>IF(ISBLANK(A689), "", LET(entry_day, VLOOKUP(A689, 'Master Roster'!$A:$G, 7, FALSE), start_date, DATE(E689, MONTH(D689&amp;" 1"), entry_day), end_date, EDATE(start_date, 1), period, TEXT(start_date, "mmm d, yyyy") &amp; " - " &amp; TEXT(end_date, "mmm d, yyyy"), HYPERLINK("https://wa.me/" &amp; VLOOKUP(A689, 'Master Roster'!$A:$F, 6, FALSE) &amp; "?text=" &amp; ENCODEURL("Hello " &amp; IFERROR(IF(VLOOKUP(A689, 'Master Roster'!$A:$J, 10, FALSE)="Male", "Mr. ", "Ms. "), "") &amp; B689 &amp; ", payment of K" &amp; F689 &amp; " received for " &amp; period &amp; ". Receipt No: " &amp; N689), "Send Receipt")))</f>
        <v/>
      </c>
    </row>
    <row r="690">
      <c r="A690" s="29"/>
      <c r="B690" s="29" t="s">
        <v>175</v>
      </c>
      <c r="C690" s="76"/>
      <c r="D690" s="29"/>
      <c r="E690" s="29"/>
      <c r="F690" s="29"/>
      <c r="G690" s="29"/>
      <c r="H690" s="29" t="str">
        <f t="shared" si="1"/>
        <v/>
      </c>
      <c r="I690" s="29" t="str">
        <f t="shared" si="2"/>
        <v/>
      </c>
      <c r="J690" s="29" t="str">
        <f>IF(A690="", "", IFERROR(VLOOKUP(A690, 'Master Roster'!A:H, 8, FALSE) - F690, ""))</f>
        <v/>
      </c>
      <c r="K690" s="29" t="s">
        <v>175</v>
      </c>
      <c r="L690" s="29" t="b">
        <v>0</v>
      </c>
      <c r="M690" s="29"/>
      <c r="N690" s="29" t="s">
        <v>175</v>
      </c>
      <c r="O690" s="29" t="str">
        <f>IF(ISBLANK(A690), "", LET(entry_day, VLOOKUP(A690, 'Master Roster'!$A:$G, 7, FALSE), start_date, DATE(E690, MONTH(D690&amp;" 1"), entry_day), end_date, EDATE(start_date, 1), period, TEXT(start_date, "mmm d, yyyy") &amp; " - " &amp; TEXT(end_date, "mmm d, yyyy"), HYPERLINK("https://wa.me/" &amp; VLOOKUP(A690, 'Master Roster'!$A:$F, 6, FALSE) &amp; "?text=" &amp; ENCODEURL("Hello " &amp; IFERROR(IF(VLOOKUP(A690, 'Master Roster'!$A:$J, 10, FALSE)="Male", "Mr. ", "Ms. "), "") &amp; B690 &amp; ", payment of K" &amp; F690 &amp; " received for " &amp; period &amp; ". Receipt No: " &amp; N690), "Send Receipt")))</f>
        <v/>
      </c>
    </row>
    <row r="691">
      <c r="A691" s="29"/>
      <c r="B691" s="29" t="s">
        <v>175</v>
      </c>
      <c r="C691" s="76"/>
      <c r="D691" s="29"/>
      <c r="E691" s="29"/>
      <c r="F691" s="29"/>
      <c r="G691" s="29"/>
      <c r="H691" s="29" t="str">
        <f t="shared" si="1"/>
        <v/>
      </c>
      <c r="I691" s="29" t="str">
        <f t="shared" si="2"/>
        <v/>
      </c>
      <c r="J691" s="29" t="str">
        <f>IF(A691="", "", IFERROR(VLOOKUP(A691, 'Master Roster'!A:H, 8, FALSE) - F691, ""))</f>
        <v/>
      </c>
      <c r="K691" s="29" t="s">
        <v>175</v>
      </c>
      <c r="L691" s="29" t="b">
        <v>0</v>
      </c>
      <c r="M691" s="29"/>
      <c r="N691" s="29" t="s">
        <v>175</v>
      </c>
      <c r="O691" s="29" t="str">
        <f>IF(ISBLANK(A691), "", LET(entry_day, VLOOKUP(A691, 'Master Roster'!$A:$G, 7, FALSE), start_date, DATE(E691, MONTH(D691&amp;" 1"), entry_day), end_date, EDATE(start_date, 1), period, TEXT(start_date, "mmm d, yyyy") &amp; " - " &amp; TEXT(end_date, "mmm d, yyyy"), HYPERLINK("https://wa.me/" &amp; VLOOKUP(A691, 'Master Roster'!$A:$F, 6, FALSE) &amp; "?text=" &amp; ENCODEURL("Hello " &amp; IFERROR(IF(VLOOKUP(A691, 'Master Roster'!$A:$J, 10, FALSE)="Male", "Mr. ", "Ms. "), "") &amp; B691 &amp; ", payment of K" &amp; F691 &amp; " received for " &amp; period &amp; ". Receipt No: " &amp; N691), "Send Receipt")))</f>
        <v/>
      </c>
    </row>
    <row r="692">
      <c r="A692" s="29"/>
      <c r="B692" s="29" t="s">
        <v>175</v>
      </c>
      <c r="C692" s="76"/>
      <c r="D692" s="29"/>
      <c r="E692" s="29"/>
      <c r="F692" s="29"/>
      <c r="G692" s="29"/>
      <c r="H692" s="29" t="str">
        <f t="shared" si="1"/>
        <v/>
      </c>
      <c r="I692" s="29" t="str">
        <f t="shared" si="2"/>
        <v/>
      </c>
      <c r="J692" s="29" t="str">
        <f>IF(A692="", "", IFERROR(VLOOKUP(A692, 'Master Roster'!A:H, 8, FALSE) - F692, ""))</f>
        <v/>
      </c>
      <c r="K692" s="29" t="s">
        <v>175</v>
      </c>
      <c r="L692" s="29" t="b">
        <v>0</v>
      </c>
      <c r="M692" s="29"/>
      <c r="N692" s="29" t="s">
        <v>175</v>
      </c>
      <c r="O692" s="29" t="str">
        <f>IF(ISBLANK(A692), "", LET(entry_day, VLOOKUP(A692, 'Master Roster'!$A:$G, 7, FALSE), start_date, DATE(E692, MONTH(D692&amp;" 1"), entry_day), end_date, EDATE(start_date, 1), period, TEXT(start_date, "mmm d, yyyy") &amp; " - " &amp; TEXT(end_date, "mmm d, yyyy"), HYPERLINK("https://wa.me/" &amp; VLOOKUP(A692, 'Master Roster'!$A:$F, 6, FALSE) &amp; "?text=" &amp; ENCODEURL("Hello " &amp; IFERROR(IF(VLOOKUP(A692, 'Master Roster'!$A:$J, 10, FALSE)="Male", "Mr. ", "Ms. "), "") &amp; B692 &amp; ", payment of K" &amp; F692 &amp; " received for " &amp; period &amp; ". Receipt No: " &amp; N692), "Send Receipt")))</f>
        <v/>
      </c>
    </row>
    <row r="693">
      <c r="A693" s="29"/>
      <c r="B693" s="29" t="s">
        <v>175</v>
      </c>
      <c r="C693" s="76"/>
      <c r="D693" s="29"/>
      <c r="E693" s="29"/>
      <c r="F693" s="29"/>
      <c r="G693" s="29"/>
      <c r="H693" s="29" t="str">
        <f t="shared" si="1"/>
        <v/>
      </c>
      <c r="I693" s="29" t="str">
        <f t="shared" si="2"/>
        <v/>
      </c>
      <c r="J693" s="29" t="str">
        <f>IF(A693="", "", IFERROR(VLOOKUP(A693, 'Master Roster'!A:H, 8, FALSE) - F693, ""))</f>
        <v/>
      </c>
      <c r="K693" s="29" t="s">
        <v>175</v>
      </c>
      <c r="L693" s="29" t="b">
        <v>0</v>
      </c>
      <c r="M693" s="29"/>
      <c r="N693" s="29" t="s">
        <v>175</v>
      </c>
      <c r="O693" s="29" t="str">
        <f>IF(ISBLANK(A693), "", LET(entry_day, VLOOKUP(A693, 'Master Roster'!$A:$G, 7, FALSE), start_date, DATE(E693, MONTH(D693&amp;" 1"), entry_day), end_date, EDATE(start_date, 1), period, TEXT(start_date, "mmm d, yyyy") &amp; " - " &amp; TEXT(end_date, "mmm d, yyyy"), HYPERLINK("https://wa.me/" &amp; VLOOKUP(A693, 'Master Roster'!$A:$F, 6, FALSE) &amp; "?text=" &amp; ENCODEURL("Hello " &amp; IFERROR(IF(VLOOKUP(A693, 'Master Roster'!$A:$J, 10, FALSE)="Male", "Mr. ", "Ms. "), "") &amp; B693 &amp; ", payment of K" &amp; F693 &amp; " received for " &amp; period &amp; ". Receipt No: " &amp; N693), "Send Receipt")))</f>
        <v/>
      </c>
    </row>
    <row r="694">
      <c r="A694" s="29"/>
      <c r="B694" s="29" t="s">
        <v>175</v>
      </c>
      <c r="C694" s="76"/>
      <c r="D694" s="29"/>
      <c r="E694" s="29"/>
      <c r="F694" s="29"/>
      <c r="G694" s="29"/>
      <c r="H694" s="29" t="str">
        <f t="shared" si="1"/>
        <v/>
      </c>
      <c r="I694" s="29" t="str">
        <f t="shared" si="2"/>
        <v/>
      </c>
      <c r="J694" s="29" t="str">
        <f>IF(A694="", "", IFERROR(VLOOKUP(A694, 'Master Roster'!A:H, 8, FALSE) - F694, ""))</f>
        <v/>
      </c>
      <c r="K694" s="29" t="s">
        <v>175</v>
      </c>
      <c r="L694" s="29" t="b">
        <v>0</v>
      </c>
      <c r="M694" s="29"/>
      <c r="N694" s="29" t="s">
        <v>175</v>
      </c>
      <c r="O694" s="29" t="str">
        <f>IF(ISBLANK(A694), "", LET(entry_day, VLOOKUP(A694, 'Master Roster'!$A:$G, 7, FALSE), start_date, DATE(E694, MONTH(D694&amp;" 1"), entry_day), end_date, EDATE(start_date, 1), period, TEXT(start_date, "mmm d, yyyy") &amp; " - " &amp; TEXT(end_date, "mmm d, yyyy"), HYPERLINK("https://wa.me/" &amp; VLOOKUP(A694, 'Master Roster'!$A:$F, 6, FALSE) &amp; "?text=" &amp; ENCODEURL("Hello " &amp; IFERROR(IF(VLOOKUP(A694, 'Master Roster'!$A:$J, 10, FALSE)="Male", "Mr. ", "Ms. "), "") &amp; B694 &amp; ", payment of K" &amp; F694 &amp; " received for " &amp; period &amp; ". Receipt No: " &amp; N694), "Send Receipt")))</f>
        <v/>
      </c>
    </row>
    <row r="695">
      <c r="A695" s="29"/>
      <c r="B695" s="29" t="s">
        <v>175</v>
      </c>
      <c r="C695" s="76"/>
      <c r="D695" s="29"/>
      <c r="E695" s="29"/>
      <c r="F695" s="29"/>
      <c r="G695" s="29"/>
      <c r="H695" s="29" t="str">
        <f t="shared" si="1"/>
        <v/>
      </c>
      <c r="I695" s="29" t="str">
        <f t="shared" si="2"/>
        <v/>
      </c>
      <c r="J695" s="29" t="str">
        <f>IF(A695="", "", IFERROR(VLOOKUP(A695, 'Master Roster'!A:H, 8, FALSE) - F695, ""))</f>
        <v/>
      </c>
      <c r="K695" s="29" t="s">
        <v>175</v>
      </c>
      <c r="L695" s="29" t="b">
        <v>0</v>
      </c>
      <c r="M695" s="29"/>
      <c r="N695" s="29" t="s">
        <v>175</v>
      </c>
      <c r="O695" s="29" t="str">
        <f>IF(ISBLANK(A695), "", LET(entry_day, VLOOKUP(A695, 'Master Roster'!$A:$G, 7, FALSE), start_date, DATE(E695, MONTH(D695&amp;" 1"), entry_day), end_date, EDATE(start_date, 1), period, TEXT(start_date, "mmm d, yyyy") &amp; " - " &amp; TEXT(end_date, "mmm d, yyyy"), HYPERLINK("https://wa.me/" &amp; VLOOKUP(A695, 'Master Roster'!$A:$F, 6, FALSE) &amp; "?text=" &amp; ENCODEURL("Hello " &amp; IFERROR(IF(VLOOKUP(A695, 'Master Roster'!$A:$J, 10, FALSE)="Male", "Mr. ", "Ms. "), "") &amp; B695 &amp; ", payment of K" &amp; F695 &amp; " received for " &amp; period &amp; ". Receipt No: " &amp; N695), "Send Receipt")))</f>
        <v/>
      </c>
    </row>
    <row r="696">
      <c r="A696" s="29"/>
      <c r="B696" s="29" t="s">
        <v>175</v>
      </c>
      <c r="C696" s="76"/>
      <c r="D696" s="29"/>
      <c r="E696" s="29"/>
      <c r="F696" s="29"/>
      <c r="G696" s="29"/>
      <c r="H696" s="29" t="str">
        <f t="shared" si="1"/>
        <v/>
      </c>
      <c r="I696" s="29" t="str">
        <f t="shared" si="2"/>
        <v/>
      </c>
      <c r="J696" s="29" t="str">
        <f>IF(A696="", "", IFERROR(VLOOKUP(A696, 'Master Roster'!A:H, 8, FALSE) - F696, ""))</f>
        <v/>
      </c>
      <c r="K696" s="29" t="s">
        <v>175</v>
      </c>
      <c r="L696" s="29" t="b">
        <v>0</v>
      </c>
      <c r="M696" s="29"/>
      <c r="N696" s="29" t="s">
        <v>175</v>
      </c>
      <c r="O696" s="29" t="str">
        <f>IF(ISBLANK(A696), "", LET(entry_day, VLOOKUP(A696, 'Master Roster'!$A:$G, 7, FALSE), start_date, DATE(E696, MONTH(D696&amp;" 1"), entry_day), end_date, EDATE(start_date, 1), period, TEXT(start_date, "mmm d, yyyy") &amp; " - " &amp; TEXT(end_date, "mmm d, yyyy"), HYPERLINK("https://wa.me/" &amp; VLOOKUP(A696, 'Master Roster'!$A:$F, 6, FALSE) &amp; "?text=" &amp; ENCODEURL("Hello " &amp; IFERROR(IF(VLOOKUP(A696, 'Master Roster'!$A:$J, 10, FALSE)="Male", "Mr. ", "Ms. "), "") &amp; B696 &amp; ", payment of K" &amp; F696 &amp; " received for " &amp; period &amp; ". Receipt No: " &amp; N696), "Send Receipt")))</f>
        <v/>
      </c>
    </row>
    <row r="697">
      <c r="A697" s="29"/>
      <c r="B697" s="29" t="s">
        <v>175</v>
      </c>
      <c r="C697" s="76"/>
      <c r="D697" s="29"/>
      <c r="E697" s="29"/>
      <c r="F697" s="29"/>
      <c r="G697" s="29"/>
      <c r="H697" s="29" t="str">
        <f t="shared" si="1"/>
        <v/>
      </c>
      <c r="I697" s="29" t="str">
        <f t="shared" si="2"/>
        <v/>
      </c>
      <c r="J697" s="29" t="str">
        <f>IF(A697="", "", IFERROR(VLOOKUP(A697, 'Master Roster'!A:H, 8, FALSE) - F697, ""))</f>
        <v/>
      </c>
      <c r="K697" s="29" t="s">
        <v>175</v>
      </c>
      <c r="L697" s="29" t="b">
        <v>0</v>
      </c>
      <c r="M697" s="29"/>
      <c r="N697" s="29" t="s">
        <v>175</v>
      </c>
      <c r="O697" s="29" t="str">
        <f>IF(ISBLANK(A697), "", LET(entry_day, VLOOKUP(A697, 'Master Roster'!$A:$G, 7, FALSE), start_date, DATE(E697, MONTH(D697&amp;" 1"), entry_day), end_date, EDATE(start_date, 1), period, TEXT(start_date, "mmm d, yyyy") &amp; " - " &amp; TEXT(end_date, "mmm d, yyyy"), HYPERLINK("https://wa.me/" &amp; VLOOKUP(A697, 'Master Roster'!$A:$F, 6, FALSE) &amp; "?text=" &amp; ENCODEURL("Hello " &amp; IFERROR(IF(VLOOKUP(A697, 'Master Roster'!$A:$J, 10, FALSE)="Male", "Mr. ", "Ms. "), "") &amp; B697 &amp; ", payment of K" &amp; F697 &amp; " received for " &amp; period &amp; ". Receipt No: " &amp; N697), "Send Receipt")))</f>
        <v/>
      </c>
    </row>
    <row r="698">
      <c r="A698" s="29"/>
      <c r="B698" s="29" t="s">
        <v>175</v>
      </c>
      <c r="C698" s="76"/>
      <c r="D698" s="29"/>
      <c r="E698" s="29"/>
      <c r="F698" s="29"/>
      <c r="G698" s="29"/>
      <c r="H698" s="29" t="str">
        <f t="shared" si="1"/>
        <v/>
      </c>
      <c r="I698" s="29" t="str">
        <f t="shared" si="2"/>
        <v/>
      </c>
      <c r="J698" s="29" t="str">
        <f>IF(A698="", "", IFERROR(VLOOKUP(A698, 'Master Roster'!A:H, 8, FALSE) - F698, ""))</f>
        <v/>
      </c>
      <c r="K698" s="29" t="s">
        <v>175</v>
      </c>
      <c r="L698" s="29" t="b">
        <v>0</v>
      </c>
      <c r="M698" s="29"/>
      <c r="N698" s="29" t="s">
        <v>175</v>
      </c>
      <c r="O698" s="29" t="str">
        <f>IF(ISBLANK(A698), "", LET(entry_day, VLOOKUP(A698, 'Master Roster'!$A:$G, 7, FALSE), start_date, DATE(E698, MONTH(D698&amp;" 1"), entry_day), end_date, EDATE(start_date, 1), period, TEXT(start_date, "mmm d, yyyy") &amp; " - " &amp; TEXT(end_date, "mmm d, yyyy"), HYPERLINK("https://wa.me/" &amp; VLOOKUP(A698, 'Master Roster'!$A:$F, 6, FALSE) &amp; "?text=" &amp; ENCODEURL("Hello " &amp; IFERROR(IF(VLOOKUP(A698, 'Master Roster'!$A:$J, 10, FALSE)="Male", "Mr. ", "Ms. "), "") &amp; B698 &amp; ", payment of K" &amp; F698 &amp; " received for " &amp; period &amp; ". Receipt No: " &amp; N698), "Send Receipt")))</f>
        <v/>
      </c>
    </row>
    <row r="699">
      <c r="A699" s="29"/>
      <c r="B699" s="29" t="s">
        <v>175</v>
      </c>
      <c r="C699" s="76"/>
      <c r="D699" s="29"/>
      <c r="E699" s="29"/>
      <c r="F699" s="29"/>
      <c r="G699" s="29"/>
      <c r="H699" s="29" t="str">
        <f t="shared" si="1"/>
        <v/>
      </c>
      <c r="I699" s="29" t="str">
        <f t="shared" si="2"/>
        <v/>
      </c>
      <c r="J699" s="29" t="str">
        <f>IF(A699="", "", IFERROR(VLOOKUP(A699, 'Master Roster'!A:H, 8, FALSE) - F699, ""))</f>
        <v/>
      </c>
      <c r="K699" s="29" t="s">
        <v>175</v>
      </c>
      <c r="L699" s="29" t="b">
        <v>0</v>
      </c>
      <c r="M699" s="29"/>
      <c r="N699" s="29" t="s">
        <v>175</v>
      </c>
      <c r="O699" s="29" t="str">
        <f>IF(ISBLANK(A699), "", LET(entry_day, VLOOKUP(A699, 'Master Roster'!$A:$G, 7, FALSE), start_date, DATE(E699, MONTH(D699&amp;" 1"), entry_day), end_date, EDATE(start_date, 1), period, TEXT(start_date, "mmm d, yyyy") &amp; " - " &amp; TEXT(end_date, "mmm d, yyyy"), HYPERLINK("https://wa.me/" &amp; VLOOKUP(A699, 'Master Roster'!$A:$F, 6, FALSE) &amp; "?text=" &amp; ENCODEURL("Hello " &amp; IFERROR(IF(VLOOKUP(A699, 'Master Roster'!$A:$J, 10, FALSE)="Male", "Mr. ", "Ms. "), "") &amp; B699 &amp; ", payment of K" &amp; F699 &amp; " received for " &amp; period &amp; ". Receipt No: " &amp; N699), "Send Receipt")))</f>
        <v/>
      </c>
    </row>
    <row r="700">
      <c r="A700" s="29"/>
      <c r="B700" s="29" t="s">
        <v>175</v>
      </c>
      <c r="C700" s="76"/>
      <c r="D700" s="29"/>
      <c r="E700" s="29"/>
      <c r="F700" s="29"/>
      <c r="G700" s="29"/>
      <c r="H700" s="29" t="str">
        <f t="shared" si="1"/>
        <v/>
      </c>
      <c r="I700" s="29" t="str">
        <f t="shared" si="2"/>
        <v/>
      </c>
      <c r="J700" s="29" t="str">
        <f>IF(A700="", "", IFERROR(VLOOKUP(A700, 'Master Roster'!A:H, 8, FALSE) - F700, ""))</f>
        <v/>
      </c>
      <c r="K700" s="29" t="s">
        <v>175</v>
      </c>
      <c r="L700" s="29" t="b">
        <v>0</v>
      </c>
      <c r="M700" s="29"/>
      <c r="N700" s="29" t="s">
        <v>175</v>
      </c>
      <c r="O700" s="29" t="str">
        <f>IF(ISBLANK(A700), "", LET(entry_day, VLOOKUP(A700, 'Master Roster'!$A:$G, 7, FALSE), start_date, DATE(E700, MONTH(D700&amp;" 1"), entry_day), end_date, EDATE(start_date, 1), period, TEXT(start_date, "mmm d, yyyy") &amp; " - " &amp; TEXT(end_date, "mmm d, yyyy"), HYPERLINK("https://wa.me/" &amp; VLOOKUP(A700, 'Master Roster'!$A:$F, 6, FALSE) &amp; "?text=" &amp; ENCODEURL("Hello " &amp; IFERROR(IF(VLOOKUP(A700, 'Master Roster'!$A:$J, 10, FALSE)="Male", "Mr. ", "Ms. "), "") &amp; B700 &amp; ", payment of K" &amp; F700 &amp; " received for " &amp; period &amp; ". Receipt No: " &amp; N700), "Send Receipt")))</f>
        <v/>
      </c>
    </row>
    <row r="701">
      <c r="A701" s="29"/>
      <c r="B701" s="29" t="s">
        <v>175</v>
      </c>
      <c r="C701" s="76"/>
      <c r="D701" s="29"/>
      <c r="E701" s="29"/>
      <c r="F701" s="29"/>
      <c r="G701" s="29"/>
      <c r="H701" s="29" t="str">
        <f t="shared" si="1"/>
        <v/>
      </c>
      <c r="I701" s="29" t="str">
        <f t="shared" si="2"/>
        <v/>
      </c>
      <c r="J701" s="29" t="str">
        <f>IF(A701="", "", IFERROR(VLOOKUP(A701, 'Master Roster'!A:H, 8, FALSE) - F701, ""))</f>
        <v/>
      </c>
      <c r="K701" s="29" t="s">
        <v>175</v>
      </c>
      <c r="L701" s="29" t="b">
        <v>0</v>
      </c>
      <c r="M701" s="29"/>
      <c r="N701" s="29" t="s">
        <v>175</v>
      </c>
      <c r="O701" s="29" t="str">
        <f>IF(ISBLANK(A701), "", LET(entry_day, VLOOKUP(A701, 'Master Roster'!$A:$G, 7, FALSE), start_date, DATE(E701, MONTH(D701&amp;" 1"), entry_day), end_date, EDATE(start_date, 1), period, TEXT(start_date, "mmm d, yyyy") &amp; " - " &amp; TEXT(end_date, "mmm d, yyyy"), HYPERLINK("https://wa.me/" &amp; VLOOKUP(A701, 'Master Roster'!$A:$F, 6, FALSE) &amp; "?text=" &amp; ENCODEURL("Hello " &amp; IFERROR(IF(VLOOKUP(A701, 'Master Roster'!$A:$J, 10, FALSE)="Male", "Mr. ", "Ms. "), "") &amp; B701 &amp; ", payment of K" &amp; F701 &amp; " received for " &amp; period &amp; ". Receipt No: " &amp; N701), "Send Receipt")))</f>
        <v/>
      </c>
    </row>
    <row r="702">
      <c r="A702" s="29"/>
      <c r="B702" s="29" t="s">
        <v>175</v>
      </c>
      <c r="C702" s="76"/>
      <c r="D702" s="29"/>
      <c r="E702" s="29"/>
      <c r="F702" s="29"/>
      <c r="G702" s="29"/>
      <c r="H702" s="29" t="str">
        <f t="shared" si="1"/>
        <v/>
      </c>
      <c r="I702" s="29" t="str">
        <f t="shared" si="2"/>
        <v/>
      </c>
      <c r="J702" s="29" t="str">
        <f>IF(A702="", "", IFERROR(VLOOKUP(A702, 'Master Roster'!A:H, 8, FALSE) - F702, ""))</f>
        <v/>
      </c>
      <c r="K702" s="29" t="s">
        <v>175</v>
      </c>
      <c r="L702" s="29" t="b">
        <v>0</v>
      </c>
      <c r="M702" s="29"/>
      <c r="N702" s="29" t="s">
        <v>175</v>
      </c>
      <c r="O702" s="29" t="str">
        <f>IF(ISBLANK(A702), "", LET(entry_day, VLOOKUP(A702, 'Master Roster'!$A:$G, 7, FALSE), start_date, DATE(E702, MONTH(D702&amp;" 1"), entry_day), end_date, EDATE(start_date, 1), period, TEXT(start_date, "mmm d, yyyy") &amp; " - " &amp; TEXT(end_date, "mmm d, yyyy"), HYPERLINK("https://wa.me/" &amp; VLOOKUP(A702, 'Master Roster'!$A:$F, 6, FALSE) &amp; "?text=" &amp; ENCODEURL("Hello " &amp; IFERROR(IF(VLOOKUP(A702, 'Master Roster'!$A:$J, 10, FALSE)="Male", "Mr. ", "Ms. "), "") &amp; B702 &amp; ", payment of K" &amp; F702 &amp; " received for " &amp; period &amp; ". Receipt No: " &amp; N702), "Send Receipt")))</f>
        <v/>
      </c>
    </row>
    <row r="703">
      <c r="A703" s="29"/>
      <c r="B703" s="29" t="s">
        <v>175</v>
      </c>
      <c r="C703" s="76"/>
      <c r="D703" s="29"/>
      <c r="E703" s="29"/>
      <c r="F703" s="29"/>
      <c r="G703" s="29"/>
      <c r="H703" s="29" t="str">
        <f t="shared" si="1"/>
        <v/>
      </c>
      <c r="I703" s="29" t="str">
        <f t="shared" si="2"/>
        <v/>
      </c>
      <c r="J703" s="29" t="str">
        <f>IF(A703="", "", IFERROR(VLOOKUP(A703, 'Master Roster'!A:H, 8, FALSE) - F703, ""))</f>
        <v/>
      </c>
      <c r="K703" s="29" t="s">
        <v>175</v>
      </c>
      <c r="L703" s="29" t="b">
        <v>0</v>
      </c>
      <c r="M703" s="29"/>
      <c r="N703" s="29" t="s">
        <v>175</v>
      </c>
      <c r="O703" s="29" t="str">
        <f>IF(ISBLANK(A703), "", LET(entry_day, VLOOKUP(A703, 'Master Roster'!$A:$G, 7, FALSE), start_date, DATE(E703, MONTH(D703&amp;" 1"), entry_day), end_date, EDATE(start_date, 1), period, TEXT(start_date, "mmm d, yyyy") &amp; " - " &amp; TEXT(end_date, "mmm d, yyyy"), HYPERLINK("https://wa.me/" &amp; VLOOKUP(A703, 'Master Roster'!$A:$F, 6, FALSE) &amp; "?text=" &amp; ENCODEURL("Hello " &amp; IFERROR(IF(VLOOKUP(A703, 'Master Roster'!$A:$J, 10, FALSE)="Male", "Mr. ", "Ms. "), "") &amp; B703 &amp; ", payment of K" &amp; F703 &amp; " received for " &amp; period &amp; ". Receipt No: " &amp; N703), "Send Receipt")))</f>
        <v/>
      </c>
    </row>
    <row r="704">
      <c r="A704" s="29"/>
      <c r="B704" s="29" t="s">
        <v>175</v>
      </c>
      <c r="C704" s="76"/>
      <c r="D704" s="29"/>
      <c r="E704" s="29"/>
      <c r="F704" s="29"/>
      <c r="G704" s="29"/>
      <c r="H704" s="29" t="str">
        <f t="shared" si="1"/>
        <v/>
      </c>
      <c r="I704" s="29" t="str">
        <f t="shared" si="2"/>
        <v/>
      </c>
      <c r="J704" s="29" t="str">
        <f>IF(A704="", "", IFERROR(VLOOKUP(A704, 'Master Roster'!A:H, 8, FALSE) - F704, ""))</f>
        <v/>
      </c>
      <c r="K704" s="29" t="s">
        <v>175</v>
      </c>
      <c r="L704" s="29" t="b">
        <v>0</v>
      </c>
      <c r="M704" s="29"/>
      <c r="N704" s="29" t="s">
        <v>175</v>
      </c>
      <c r="O704" s="29" t="str">
        <f>IF(ISBLANK(A704), "", LET(entry_day, VLOOKUP(A704, 'Master Roster'!$A:$G, 7, FALSE), start_date, DATE(E704, MONTH(D704&amp;" 1"), entry_day), end_date, EDATE(start_date, 1), period, TEXT(start_date, "mmm d, yyyy") &amp; " - " &amp; TEXT(end_date, "mmm d, yyyy"), HYPERLINK("https://wa.me/" &amp; VLOOKUP(A704, 'Master Roster'!$A:$F, 6, FALSE) &amp; "?text=" &amp; ENCODEURL("Hello " &amp; IFERROR(IF(VLOOKUP(A704, 'Master Roster'!$A:$J, 10, FALSE)="Male", "Mr. ", "Ms. "), "") &amp; B704 &amp; ", payment of K" &amp; F704 &amp; " received for " &amp; period &amp; ". Receipt No: " &amp; N704), "Send Receipt")))</f>
        <v/>
      </c>
    </row>
    <row r="705">
      <c r="A705" s="29"/>
      <c r="B705" s="29" t="s">
        <v>175</v>
      </c>
      <c r="C705" s="76"/>
      <c r="D705" s="29"/>
      <c r="E705" s="29"/>
      <c r="F705" s="29"/>
      <c r="G705" s="29"/>
      <c r="H705" s="29" t="str">
        <f t="shared" si="1"/>
        <v/>
      </c>
      <c r="I705" s="29" t="str">
        <f t="shared" si="2"/>
        <v/>
      </c>
      <c r="J705" s="29" t="str">
        <f>IF(A705="", "", IFERROR(VLOOKUP(A705, 'Master Roster'!A:H, 8, FALSE) - F705, ""))</f>
        <v/>
      </c>
      <c r="K705" s="29" t="s">
        <v>175</v>
      </c>
      <c r="L705" s="29" t="b">
        <v>0</v>
      </c>
      <c r="M705" s="29"/>
      <c r="N705" s="29" t="s">
        <v>175</v>
      </c>
      <c r="O705" s="29" t="str">
        <f>IF(ISBLANK(A705), "", LET(entry_day, VLOOKUP(A705, 'Master Roster'!$A:$G, 7, FALSE), start_date, DATE(E705, MONTH(D705&amp;" 1"), entry_day), end_date, EDATE(start_date, 1), period, TEXT(start_date, "mmm d, yyyy") &amp; " - " &amp; TEXT(end_date, "mmm d, yyyy"), HYPERLINK("https://wa.me/" &amp; VLOOKUP(A705, 'Master Roster'!$A:$F, 6, FALSE) &amp; "?text=" &amp; ENCODEURL("Hello " &amp; IFERROR(IF(VLOOKUP(A705, 'Master Roster'!$A:$J, 10, FALSE)="Male", "Mr. ", "Ms. "), "") &amp; B705 &amp; ", payment of K" &amp; F705 &amp; " received for " &amp; period &amp; ". Receipt No: " &amp; N705), "Send Receipt")))</f>
        <v/>
      </c>
    </row>
    <row r="706">
      <c r="A706" s="29"/>
      <c r="B706" s="29" t="s">
        <v>175</v>
      </c>
      <c r="C706" s="76"/>
      <c r="D706" s="29"/>
      <c r="E706" s="29"/>
      <c r="F706" s="29"/>
      <c r="G706" s="29"/>
      <c r="H706" s="29" t="str">
        <f t="shared" si="1"/>
        <v/>
      </c>
      <c r="I706" s="29" t="str">
        <f t="shared" si="2"/>
        <v/>
      </c>
      <c r="J706" s="29" t="str">
        <f>IF(A706="", "", IFERROR(VLOOKUP(A706, 'Master Roster'!A:H, 8, FALSE) - F706, ""))</f>
        <v/>
      </c>
      <c r="K706" s="29" t="s">
        <v>175</v>
      </c>
      <c r="L706" s="29" t="b">
        <v>0</v>
      </c>
      <c r="M706" s="29"/>
      <c r="N706" s="29" t="s">
        <v>175</v>
      </c>
      <c r="O706" s="29" t="str">
        <f>IF(ISBLANK(A706), "", LET(entry_day, VLOOKUP(A706, 'Master Roster'!$A:$G, 7, FALSE), start_date, DATE(E706, MONTH(D706&amp;" 1"), entry_day), end_date, EDATE(start_date, 1), period, TEXT(start_date, "mmm d, yyyy") &amp; " - " &amp; TEXT(end_date, "mmm d, yyyy"), HYPERLINK("https://wa.me/" &amp; VLOOKUP(A706, 'Master Roster'!$A:$F, 6, FALSE) &amp; "?text=" &amp; ENCODEURL("Hello " &amp; IFERROR(IF(VLOOKUP(A706, 'Master Roster'!$A:$J, 10, FALSE)="Male", "Mr. ", "Ms. "), "") &amp; B706 &amp; ", payment of K" &amp; F706 &amp; " received for " &amp; period &amp; ". Receipt No: " &amp; N706), "Send Receipt")))</f>
        <v/>
      </c>
    </row>
    <row r="707">
      <c r="A707" s="29"/>
      <c r="B707" s="29" t="s">
        <v>175</v>
      </c>
      <c r="C707" s="76"/>
      <c r="D707" s="29"/>
      <c r="E707" s="29"/>
      <c r="F707" s="29"/>
      <c r="G707" s="29"/>
      <c r="H707" s="29" t="str">
        <f t="shared" si="1"/>
        <v/>
      </c>
      <c r="I707" s="29" t="str">
        <f t="shared" si="2"/>
        <v/>
      </c>
      <c r="J707" s="29" t="str">
        <f>IF(A707="", "", IFERROR(VLOOKUP(A707, 'Master Roster'!A:H, 8, FALSE) - F707, ""))</f>
        <v/>
      </c>
      <c r="K707" s="29" t="s">
        <v>175</v>
      </c>
      <c r="L707" s="29" t="b">
        <v>0</v>
      </c>
      <c r="M707" s="29"/>
      <c r="N707" s="29" t="s">
        <v>175</v>
      </c>
      <c r="O707" s="29" t="str">
        <f>IF(ISBLANK(A707), "", LET(entry_day, VLOOKUP(A707, 'Master Roster'!$A:$G, 7, FALSE), start_date, DATE(E707, MONTH(D707&amp;" 1"), entry_day), end_date, EDATE(start_date, 1), period, TEXT(start_date, "mmm d, yyyy") &amp; " - " &amp; TEXT(end_date, "mmm d, yyyy"), HYPERLINK("https://wa.me/" &amp; VLOOKUP(A707, 'Master Roster'!$A:$F, 6, FALSE) &amp; "?text=" &amp; ENCODEURL("Hello " &amp; IFERROR(IF(VLOOKUP(A707, 'Master Roster'!$A:$J, 10, FALSE)="Male", "Mr. ", "Ms. "), "") &amp; B707 &amp; ", payment of K" &amp; F707 &amp; " received for " &amp; period &amp; ". Receipt No: " &amp; N707), "Send Receipt")))</f>
        <v/>
      </c>
    </row>
    <row r="708">
      <c r="A708" s="29"/>
      <c r="B708" s="29" t="s">
        <v>175</v>
      </c>
      <c r="C708" s="76"/>
      <c r="D708" s="29"/>
      <c r="E708" s="29"/>
      <c r="F708" s="29"/>
      <c r="G708" s="29"/>
      <c r="H708" s="29" t="str">
        <f t="shared" si="1"/>
        <v/>
      </c>
      <c r="I708" s="29" t="str">
        <f t="shared" si="2"/>
        <v/>
      </c>
      <c r="J708" s="29" t="str">
        <f>IF(A708="", "", IFERROR(VLOOKUP(A708, 'Master Roster'!A:H, 8, FALSE) - F708, ""))</f>
        <v/>
      </c>
      <c r="K708" s="29" t="s">
        <v>175</v>
      </c>
      <c r="L708" s="29" t="b">
        <v>0</v>
      </c>
      <c r="M708" s="29"/>
      <c r="N708" s="29" t="s">
        <v>175</v>
      </c>
      <c r="O708" s="29" t="str">
        <f>IF(ISBLANK(A708), "", LET(entry_day, VLOOKUP(A708, 'Master Roster'!$A:$G, 7, FALSE), start_date, DATE(E708, MONTH(D708&amp;" 1"), entry_day), end_date, EDATE(start_date, 1), period, TEXT(start_date, "mmm d, yyyy") &amp; " - " &amp; TEXT(end_date, "mmm d, yyyy"), HYPERLINK("https://wa.me/" &amp; VLOOKUP(A708, 'Master Roster'!$A:$F, 6, FALSE) &amp; "?text=" &amp; ENCODEURL("Hello " &amp; IFERROR(IF(VLOOKUP(A708, 'Master Roster'!$A:$J, 10, FALSE)="Male", "Mr. ", "Ms. "), "") &amp; B708 &amp; ", payment of K" &amp; F708 &amp; " received for " &amp; period &amp; ". Receipt No: " &amp; N708), "Send Receipt")))</f>
        <v/>
      </c>
    </row>
    <row r="709">
      <c r="A709" s="29"/>
      <c r="B709" s="29" t="s">
        <v>175</v>
      </c>
      <c r="C709" s="76"/>
      <c r="D709" s="29"/>
      <c r="E709" s="29"/>
      <c r="F709" s="29"/>
      <c r="G709" s="29"/>
      <c r="H709" s="29" t="str">
        <f t="shared" si="1"/>
        <v/>
      </c>
      <c r="I709" s="29" t="str">
        <f t="shared" si="2"/>
        <v/>
      </c>
      <c r="J709" s="29" t="str">
        <f>IF(A709="", "", IFERROR(VLOOKUP(A709, 'Master Roster'!A:H, 8, FALSE) - F709, ""))</f>
        <v/>
      </c>
      <c r="K709" s="29" t="s">
        <v>175</v>
      </c>
      <c r="L709" s="29" t="b">
        <v>0</v>
      </c>
      <c r="M709" s="29"/>
      <c r="N709" s="29" t="s">
        <v>175</v>
      </c>
      <c r="O709" s="29" t="str">
        <f>IF(ISBLANK(A709), "", LET(entry_day, VLOOKUP(A709, 'Master Roster'!$A:$G, 7, FALSE), start_date, DATE(E709, MONTH(D709&amp;" 1"), entry_day), end_date, EDATE(start_date, 1), period, TEXT(start_date, "mmm d, yyyy") &amp; " - " &amp; TEXT(end_date, "mmm d, yyyy"), HYPERLINK("https://wa.me/" &amp; VLOOKUP(A709, 'Master Roster'!$A:$F, 6, FALSE) &amp; "?text=" &amp; ENCODEURL("Hello " &amp; IFERROR(IF(VLOOKUP(A709, 'Master Roster'!$A:$J, 10, FALSE)="Male", "Mr. ", "Ms. "), "") &amp; B709 &amp; ", payment of K" &amp; F709 &amp; " received for " &amp; period &amp; ". Receipt No: " &amp; N709), "Send Receipt")))</f>
        <v/>
      </c>
    </row>
    <row r="710">
      <c r="A710" s="29"/>
      <c r="B710" s="29" t="s">
        <v>175</v>
      </c>
      <c r="C710" s="76"/>
      <c r="D710" s="29"/>
      <c r="E710" s="29"/>
      <c r="F710" s="29"/>
      <c r="G710" s="29"/>
      <c r="H710" s="29" t="str">
        <f t="shared" si="1"/>
        <v/>
      </c>
      <c r="I710" s="29" t="str">
        <f t="shared" si="2"/>
        <v/>
      </c>
      <c r="J710" s="29" t="str">
        <f>IF(A710="", "", IFERROR(VLOOKUP(A710, 'Master Roster'!A:H, 8, FALSE) - F710, ""))</f>
        <v/>
      </c>
      <c r="K710" s="29" t="s">
        <v>175</v>
      </c>
      <c r="L710" s="29" t="b">
        <v>0</v>
      </c>
      <c r="M710" s="29"/>
      <c r="N710" s="29" t="s">
        <v>175</v>
      </c>
      <c r="O710" s="29" t="str">
        <f>IF(ISBLANK(A710), "", LET(entry_day, VLOOKUP(A710, 'Master Roster'!$A:$G, 7, FALSE), start_date, DATE(E710, MONTH(D710&amp;" 1"), entry_day), end_date, EDATE(start_date, 1), period, TEXT(start_date, "mmm d, yyyy") &amp; " - " &amp; TEXT(end_date, "mmm d, yyyy"), HYPERLINK("https://wa.me/" &amp; VLOOKUP(A710, 'Master Roster'!$A:$F, 6, FALSE) &amp; "?text=" &amp; ENCODEURL("Hello " &amp; IFERROR(IF(VLOOKUP(A710, 'Master Roster'!$A:$J, 10, FALSE)="Male", "Mr. ", "Ms. "), "") &amp; B710 &amp; ", payment of K" &amp; F710 &amp; " received for " &amp; period &amp; ". Receipt No: " &amp; N710), "Send Receipt")))</f>
        <v/>
      </c>
    </row>
    <row r="711">
      <c r="A711" s="29"/>
      <c r="B711" s="29" t="s">
        <v>175</v>
      </c>
      <c r="C711" s="76"/>
      <c r="D711" s="29"/>
      <c r="E711" s="29"/>
      <c r="F711" s="29"/>
      <c r="G711" s="29"/>
      <c r="H711" s="29" t="str">
        <f t="shared" si="1"/>
        <v/>
      </c>
      <c r="I711" s="29" t="str">
        <f t="shared" si="2"/>
        <v/>
      </c>
      <c r="J711" s="29" t="str">
        <f>IF(A711="", "", IFERROR(VLOOKUP(A711, 'Master Roster'!A:H, 8, FALSE) - F711, ""))</f>
        <v/>
      </c>
      <c r="K711" s="29" t="s">
        <v>175</v>
      </c>
      <c r="L711" s="29" t="b">
        <v>0</v>
      </c>
      <c r="M711" s="29"/>
      <c r="N711" s="29" t="s">
        <v>175</v>
      </c>
      <c r="O711" s="29" t="str">
        <f>IF(ISBLANK(A711), "", LET(entry_day, VLOOKUP(A711, 'Master Roster'!$A:$G, 7, FALSE), start_date, DATE(E711, MONTH(D711&amp;" 1"), entry_day), end_date, EDATE(start_date, 1), period, TEXT(start_date, "mmm d, yyyy") &amp; " - " &amp; TEXT(end_date, "mmm d, yyyy"), HYPERLINK("https://wa.me/" &amp; VLOOKUP(A711, 'Master Roster'!$A:$F, 6, FALSE) &amp; "?text=" &amp; ENCODEURL("Hello " &amp; IFERROR(IF(VLOOKUP(A711, 'Master Roster'!$A:$J, 10, FALSE)="Male", "Mr. ", "Ms. "), "") &amp; B711 &amp; ", payment of K" &amp; F711 &amp; " received for " &amp; period &amp; ". Receipt No: " &amp; N711), "Send Receipt")))</f>
        <v/>
      </c>
    </row>
    <row r="712">
      <c r="A712" s="29"/>
      <c r="B712" s="29" t="s">
        <v>175</v>
      </c>
      <c r="C712" s="76"/>
      <c r="D712" s="29"/>
      <c r="E712" s="29"/>
      <c r="F712" s="29"/>
      <c r="G712" s="29"/>
      <c r="H712" s="29" t="str">
        <f t="shared" si="1"/>
        <v/>
      </c>
      <c r="I712" s="29" t="str">
        <f t="shared" si="2"/>
        <v/>
      </c>
      <c r="J712" s="29" t="str">
        <f>IF(A712="", "", IFERROR(VLOOKUP(A712, 'Master Roster'!A:H, 8, FALSE) - F712, ""))</f>
        <v/>
      </c>
      <c r="K712" s="29" t="s">
        <v>175</v>
      </c>
      <c r="L712" s="29" t="b">
        <v>0</v>
      </c>
      <c r="M712" s="29"/>
      <c r="N712" s="29" t="s">
        <v>175</v>
      </c>
      <c r="O712" s="29" t="str">
        <f>IF(ISBLANK(A712), "", LET(entry_day, VLOOKUP(A712, 'Master Roster'!$A:$G, 7, FALSE), start_date, DATE(E712, MONTH(D712&amp;" 1"), entry_day), end_date, EDATE(start_date, 1), period, TEXT(start_date, "mmm d, yyyy") &amp; " - " &amp; TEXT(end_date, "mmm d, yyyy"), HYPERLINK("https://wa.me/" &amp; VLOOKUP(A712, 'Master Roster'!$A:$F, 6, FALSE) &amp; "?text=" &amp; ENCODEURL("Hello " &amp; IFERROR(IF(VLOOKUP(A712, 'Master Roster'!$A:$J, 10, FALSE)="Male", "Mr. ", "Ms. "), "") &amp; B712 &amp; ", payment of K" &amp; F712 &amp; " received for " &amp; period &amp; ". Receipt No: " &amp; N712), "Send Receipt")))</f>
        <v/>
      </c>
    </row>
    <row r="713">
      <c r="A713" s="29"/>
      <c r="B713" s="29" t="s">
        <v>175</v>
      </c>
      <c r="C713" s="76"/>
      <c r="D713" s="29"/>
      <c r="E713" s="29"/>
      <c r="F713" s="29"/>
      <c r="G713" s="29"/>
      <c r="H713" s="29" t="str">
        <f t="shared" si="1"/>
        <v/>
      </c>
      <c r="I713" s="29" t="str">
        <f t="shared" si="2"/>
        <v/>
      </c>
      <c r="J713" s="29" t="str">
        <f>IF(A713="", "", IFERROR(VLOOKUP(A713, 'Master Roster'!A:H, 8, FALSE) - F713, ""))</f>
        <v/>
      </c>
      <c r="K713" s="29" t="s">
        <v>175</v>
      </c>
      <c r="L713" s="29" t="b">
        <v>0</v>
      </c>
      <c r="M713" s="29"/>
      <c r="N713" s="29" t="s">
        <v>175</v>
      </c>
      <c r="O713" s="29" t="str">
        <f>IF(ISBLANK(A713), "", LET(entry_day, VLOOKUP(A713, 'Master Roster'!$A:$G, 7, FALSE), start_date, DATE(E713, MONTH(D713&amp;" 1"), entry_day), end_date, EDATE(start_date, 1), period, TEXT(start_date, "mmm d, yyyy") &amp; " - " &amp; TEXT(end_date, "mmm d, yyyy"), HYPERLINK("https://wa.me/" &amp; VLOOKUP(A713, 'Master Roster'!$A:$F, 6, FALSE) &amp; "?text=" &amp; ENCODEURL("Hello " &amp; IFERROR(IF(VLOOKUP(A713, 'Master Roster'!$A:$J, 10, FALSE)="Male", "Mr. ", "Ms. "), "") &amp; B713 &amp; ", payment of K" &amp; F713 &amp; " received for " &amp; period &amp; ". Receipt No: " &amp; N713), "Send Receipt")))</f>
        <v/>
      </c>
    </row>
    <row r="714">
      <c r="A714" s="29"/>
      <c r="B714" s="29" t="s">
        <v>175</v>
      </c>
      <c r="C714" s="76"/>
      <c r="D714" s="29"/>
      <c r="E714" s="29"/>
      <c r="F714" s="29"/>
      <c r="G714" s="29"/>
      <c r="H714" s="29" t="str">
        <f t="shared" si="1"/>
        <v/>
      </c>
      <c r="I714" s="29" t="str">
        <f t="shared" si="2"/>
        <v/>
      </c>
      <c r="J714" s="29" t="str">
        <f>IF(A714="", "", IFERROR(VLOOKUP(A714, 'Master Roster'!A:H, 8, FALSE) - F714, ""))</f>
        <v/>
      </c>
      <c r="K714" s="29" t="s">
        <v>175</v>
      </c>
      <c r="L714" s="29" t="b">
        <v>0</v>
      </c>
      <c r="M714" s="29"/>
      <c r="N714" s="29" t="s">
        <v>175</v>
      </c>
      <c r="O714" s="29" t="str">
        <f>IF(ISBLANK(A714), "", LET(entry_day, VLOOKUP(A714, 'Master Roster'!$A:$G, 7, FALSE), start_date, DATE(E714, MONTH(D714&amp;" 1"), entry_day), end_date, EDATE(start_date, 1), period, TEXT(start_date, "mmm d, yyyy") &amp; " - " &amp; TEXT(end_date, "mmm d, yyyy"), HYPERLINK("https://wa.me/" &amp; VLOOKUP(A714, 'Master Roster'!$A:$F, 6, FALSE) &amp; "?text=" &amp; ENCODEURL("Hello " &amp; IFERROR(IF(VLOOKUP(A714, 'Master Roster'!$A:$J, 10, FALSE)="Male", "Mr. ", "Ms. "), "") &amp; B714 &amp; ", payment of K" &amp; F714 &amp; " received for " &amp; period &amp; ". Receipt No: " &amp; N714), "Send Receipt")))</f>
        <v/>
      </c>
    </row>
    <row r="715">
      <c r="A715" s="29"/>
      <c r="B715" s="29" t="s">
        <v>175</v>
      </c>
      <c r="C715" s="76"/>
      <c r="D715" s="29"/>
      <c r="E715" s="29"/>
      <c r="F715" s="29"/>
      <c r="G715" s="29"/>
      <c r="H715" s="29" t="str">
        <f t="shared" si="1"/>
        <v/>
      </c>
      <c r="I715" s="29" t="str">
        <f t="shared" si="2"/>
        <v/>
      </c>
      <c r="J715" s="29" t="str">
        <f>IF(A715="", "", IFERROR(VLOOKUP(A715, 'Master Roster'!A:H, 8, FALSE) - F715, ""))</f>
        <v/>
      </c>
      <c r="K715" s="29" t="s">
        <v>175</v>
      </c>
      <c r="L715" s="29" t="b">
        <v>0</v>
      </c>
      <c r="M715" s="29"/>
      <c r="N715" s="29" t="s">
        <v>175</v>
      </c>
      <c r="O715" s="29" t="str">
        <f>IF(ISBLANK(A715), "", LET(entry_day, VLOOKUP(A715, 'Master Roster'!$A:$G, 7, FALSE), start_date, DATE(E715, MONTH(D715&amp;" 1"), entry_day), end_date, EDATE(start_date, 1), period, TEXT(start_date, "mmm d, yyyy") &amp; " - " &amp; TEXT(end_date, "mmm d, yyyy"), HYPERLINK("https://wa.me/" &amp; VLOOKUP(A715, 'Master Roster'!$A:$F, 6, FALSE) &amp; "?text=" &amp; ENCODEURL("Hello " &amp; IFERROR(IF(VLOOKUP(A715, 'Master Roster'!$A:$J, 10, FALSE)="Male", "Mr. ", "Ms. "), "") &amp; B715 &amp; ", payment of K" &amp; F715 &amp; " received for " &amp; period &amp; ". Receipt No: " &amp; N715), "Send Receipt")))</f>
        <v/>
      </c>
    </row>
    <row r="716">
      <c r="A716" s="29"/>
      <c r="B716" s="29" t="s">
        <v>175</v>
      </c>
      <c r="C716" s="76"/>
      <c r="D716" s="29"/>
      <c r="E716" s="29"/>
      <c r="F716" s="29"/>
      <c r="G716" s="29"/>
      <c r="H716" s="29" t="str">
        <f t="shared" si="1"/>
        <v/>
      </c>
      <c r="I716" s="29" t="str">
        <f t="shared" si="2"/>
        <v/>
      </c>
      <c r="J716" s="29" t="str">
        <f>IF(A716="", "", IFERROR(VLOOKUP(A716, 'Master Roster'!A:H, 8, FALSE) - F716, ""))</f>
        <v/>
      </c>
      <c r="K716" s="29" t="s">
        <v>175</v>
      </c>
      <c r="L716" s="29" t="b">
        <v>0</v>
      </c>
      <c r="M716" s="29"/>
      <c r="N716" s="29" t="s">
        <v>175</v>
      </c>
      <c r="O716" s="29" t="str">
        <f>IF(ISBLANK(A716), "", LET(entry_day, VLOOKUP(A716, 'Master Roster'!$A:$G, 7, FALSE), start_date, DATE(E716, MONTH(D716&amp;" 1"), entry_day), end_date, EDATE(start_date, 1), period, TEXT(start_date, "mmm d, yyyy") &amp; " - " &amp; TEXT(end_date, "mmm d, yyyy"), HYPERLINK("https://wa.me/" &amp; VLOOKUP(A716, 'Master Roster'!$A:$F, 6, FALSE) &amp; "?text=" &amp; ENCODEURL("Hello " &amp; IFERROR(IF(VLOOKUP(A716, 'Master Roster'!$A:$J, 10, FALSE)="Male", "Mr. ", "Ms. "), "") &amp; B716 &amp; ", payment of K" &amp; F716 &amp; " received for " &amp; period &amp; ". Receipt No: " &amp; N716), "Send Receipt")))</f>
        <v/>
      </c>
    </row>
    <row r="717">
      <c r="A717" s="29"/>
      <c r="B717" s="29" t="s">
        <v>175</v>
      </c>
      <c r="C717" s="76"/>
      <c r="D717" s="29"/>
      <c r="E717" s="29"/>
      <c r="F717" s="29"/>
      <c r="G717" s="29"/>
      <c r="H717" s="29" t="str">
        <f t="shared" si="1"/>
        <v/>
      </c>
      <c r="I717" s="29" t="str">
        <f t="shared" si="2"/>
        <v/>
      </c>
      <c r="J717" s="29" t="str">
        <f>IF(A717="", "", IFERROR(VLOOKUP(A717, 'Master Roster'!A:H, 8, FALSE) - F717, ""))</f>
        <v/>
      </c>
      <c r="K717" s="29" t="s">
        <v>175</v>
      </c>
      <c r="L717" s="29" t="b">
        <v>0</v>
      </c>
      <c r="M717" s="29"/>
      <c r="N717" s="29" t="s">
        <v>175</v>
      </c>
      <c r="O717" s="29" t="str">
        <f>IF(ISBLANK(A717), "", LET(entry_day, VLOOKUP(A717, 'Master Roster'!$A:$G, 7, FALSE), start_date, DATE(E717, MONTH(D717&amp;" 1"), entry_day), end_date, EDATE(start_date, 1), period, TEXT(start_date, "mmm d, yyyy") &amp; " - " &amp; TEXT(end_date, "mmm d, yyyy"), HYPERLINK("https://wa.me/" &amp; VLOOKUP(A717, 'Master Roster'!$A:$F, 6, FALSE) &amp; "?text=" &amp; ENCODEURL("Hello " &amp; IFERROR(IF(VLOOKUP(A717, 'Master Roster'!$A:$J, 10, FALSE)="Male", "Mr. ", "Ms. "), "") &amp; B717 &amp; ", payment of K" &amp; F717 &amp; " received for " &amp; period &amp; ". Receipt No: " &amp; N717), "Send Receipt")))</f>
        <v/>
      </c>
    </row>
    <row r="718">
      <c r="A718" s="29"/>
      <c r="B718" s="29" t="s">
        <v>175</v>
      </c>
      <c r="C718" s="76"/>
      <c r="D718" s="29"/>
      <c r="E718" s="29"/>
      <c r="F718" s="29"/>
      <c r="G718" s="29"/>
      <c r="H718" s="29" t="str">
        <f t="shared" si="1"/>
        <v/>
      </c>
      <c r="I718" s="29" t="str">
        <f t="shared" si="2"/>
        <v/>
      </c>
      <c r="J718" s="29" t="str">
        <f>IF(A718="", "", IFERROR(VLOOKUP(A718, 'Master Roster'!A:H, 8, FALSE) - F718, ""))</f>
        <v/>
      </c>
      <c r="K718" s="29" t="s">
        <v>175</v>
      </c>
      <c r="L718" s="29" t="b">
        <v>0</v>
      </c>
      <c r="M718" s="29"/>
      <c r="N718" s="29" t="s">
        <v>175</v>
      </c>
      <c r="O718" s="29" t="str">
        <f>IF(ISBLANK(A718), "", LET(entry_day, VLOOKUP(A718, 'Master Roster'!$A:$G, 7, FALSE), start_date, DATE(E718, MONTH(D718&amp;" 1"), entry_day), end_date, EDATE(start_date, 1), period, TEXT(start_date, "mmm d, yyyy") &amp; " - " &amp; TEXT(end_date, "mmm d, yyyy"), HYPERLINK("https://wa.me/" &amp; VLOOKUP(A718, 'Master Roster'!$A:$F, 6, FALSE) &amp; "?text=" &amp; ENCODEURL("Hello " &amp; IFERROR(IF(VLOOKUP(A718, 'Master Roster'!$A:$J, 10, FALSE)="Male", "Mr. ", "Ms. "), "") &amp; B718 &amp; ", payment of K" &amp; F718 &amp; " received for " &amp; period &amp; ". Receipt No: " &amp; N718), "Send Receipt")))</f>
        <v/>
      </c>
    </row>
    <row r="719">
      <c r="A719" s="29"/>
      <c r="B719" s="29" t="s">
        <v>175</v>
      </c>
      <c r="C719" s="76"/>
      <c r="D719" s="29"/>
      <c r="E719" s="29"/>
      <c r="F719" s="29"/>
      <c r="G719" s="29"/>
      <c r="H719" s="29" t="str">
        <f t="shared" si="1"/>
        <v/>
      </c>
      <c r="I719" s="29" t="str">
        <f t="shared" si="2"/>
        <v/>
      </c>
      <c r="J719" s="29" t="str">
        <f>IF(A719="", "", IFERROR(VLOOKUP(A719, 'Master Roster'!A:H, 8, FALSE) - F719, ""))</f>
        <v/>
      </c>
      <c r="K719" s="29" t="s">
        <v>175</v>
      </c>
      <c r="L719" s="29" t="b">
        <v>0</v>
      </c>
      <c r="M719" s="29"/>
      <c r="N719" s="29" t="s">
        <v>175</v>
      </c>
      <c r="O719" s="29" t="str">
        <f>IF(ISBLANK(A719), "", LET(entry_day, VLOOKUP(A719, 'Master Roster'!$A:$G, 7, FALSE), start_date, DATE(E719, MONTH(D719&amp;" 1"), entry_day), end_date, EDATE(start_date, 1), period, TEXT(start_date, "mmm d, yyyy") &amp; " - " &amp; TEXT(end_date, "mmm d, yyyy"), HYPERLINK("https://wa.me/" &amp; VLOOKUP(A719, 'Master Roster'!$A:$F, 6, FALSE) &amp; "?text=" &amp; ENCODEURL("Hello " &amp; IFERROR(IF(VLOOKUP(A719, 'Master Roster'!$A:$J, 10, FALSE)="Male", "Mr. ", "Ms. "), "") &amp; B719 &amp; ", payment of K" &amp; F719 &amp; " received for " &amp; period &amp; ". Receipt No: " &amp; N719), "Send Receipt")))</f>
        <v/>
      </c>
    </row>
    <row r="720">
      <c r="A720" s="29"/>
      <c r="B720" s="29" t="s">
        <v>175</v>
      </c>
      <c r="C720" s="76"/>
      <c r="D720" s="29"/>
      <c r="E720" s="29"/>
      <c r="F720" s="29"/>
      <c r="G720" s="29"/>
      <c r="H720" s="29" t="str">
        <f t="shared" si="1"/>
        <v/>
      </c>
      <c r="I720" s="29" t="str">
        <f t="shared" si="2"/>
        <v/>
      </c>
      <c r="J720" s="29" t="str">
        <f>IF(A720="", "", IFERROR(VLOOKUP(A720, 'Master Roster'!A:H, 8, FALSE) - F720, ""))</f>
        <v/>
      </c>
      <c r="K720" s="29" t="s">
        <v>175</v>
      </c>
      <c r="L720" s="29" t="b">
        <v>0</v>
      </c>
      <c r="M720" s="29"/>
      <c r="N720" s="29" t="s">
        <v>175</v>
      </c>
      <c r="O720" s="29" t="str">
        <f>IF(ISBLANK(A720), "", LET(entry_day, VLOOKUP(A720, 'Master Roster'!$A:$G, 7, FALSE), start_date, DATE(E720, MONTH(D720&amp;" 1"), entry_day), end_date, EDATE(start_date, 1), period, TEXT(start_date, "mmm d, yyyy") &amp; " - " &amp; TEXT(end_date, "mmm d, yyyy"), HYPERLINK("https://wa.me/" &amp; VLOOKUP(A720, 'Master Roster'!$A:$F, 6, FALSE) &amp; "?text=" &amp; ENCODEURL("Hello " &amp; IFERROR(IF(VLOOKUP(A720, 'Master Roster'!$A:$J, 10, FALSE)="Male", "Mr. ", "Ms. "), "") &amp; B720 &amp; ", payment of K" &amp; F720 &amp; " received for " &amp; period &amp; ". Receipt No: " &amp; N720), "Send Receipt")))</f>
        <v/>
      </c>
    </row>
    <row r="721">
      <c r="A721" s="29"/>
      <c r="B721" s="29" t="s">
        <v>175</v>
      </c>
      <c r="C721" s="76"/>
      <c r="D721" s="29"/>
      <c r="E721" s="29"/>
      <c r="F721" s="29"/>
      <c r="G721" s="29"/>
      <c r="H721" s="29" t="str">
        <f t="shared" si="1"/>
        <v/>
      </c>
      <c r="I721" s="29" t="str">
        <f t="shared" si="2"/>
        <v/>
      </c>
      <c r="J721" s="29" t="str">
        <f>IF(A721="", "", IFERROR(VLOOKUP(A721, 'Master Roster'!A:H, 8, FALSE) - F721, ""))</f>
        <v/>
      </c>
      <c r="K721" s="29" t="s">
        <v>175</v>
      </c>
      <c r="L721" s="29" t="b">
        <v>0</v>
      </c>
      <c r="M721" s="29"/>
      <c r="N721" s="29" t="s">
        <v>175</v>
      </c>
      <c r="O721" s="29" t="str">
        <f>IF(ISBLANK(A721), "", LET(entry_day, VLOOKUP(A721, 'Master Roster'!$A:$G, 7, FALSE), start_date, DATE(E721, MONTH(D721&amp;" 1"), entry_day), end_date, EDATE(start_date, 1), period, TEXT(start_date, "mmm d, yyyy") &amp; " - " &amp; TEXT(end_date, "mmm d, yyyy"), HYPERLINK("https://wa.me/" &amp; VLOOKUP(A721, 'Master Roster'!$A:$F, 6, FALSE) &amp; "?text=" &amp; ENCODEURL("Hello " &amp; IFERROR(IF(VLOOKUP(A721, 'Master Roster'!$A:$J, 10, FALSE)="Male", "Mr. ", "Ms. "), "") &amp; B721 &amp; ", payment of K" &amp; F721 &amp; " received for " &amp; period &amp; ". Receipt No: " &amp; N721), "Send Receipt")))</f>
        <v/>
      </c>
    </row>
    <row r="722">
      <c r="A722" s="29"/>
      <c r="B722" s="29" t="s">
        <v>175</v>
      </c>
      <c r="C722" s="76"/>
      <c r="D722" s="29"/>
      <c r="E722" s="29"/>
      <c r="F722" s="29"/>
      <c r="G722" s="29"/>
      <c r="H722" s="29" t="str">
        <f t="shared" si="1"/>
        <v/>
      </c>
      <c r="I722" s="29" t="str">
        <f t="shared" si="2"/>
        <v/>
      </c>
      <c r="J722" s="29" t="str">
        <f>IF(A722="", "", IFERROR(VLOOKUP(A722, 'Master Roster'!A:H, 8, FALSE) - F722, ""))</f>
        <v/>
      </c>
      <c r="K722" s="29" t="s">
        <v>175</v>
      </c>
      <c r="L722" s="29" t="b">
        <v>0</v>
      </c>
      <c r="M722" s="29"/>
      <c r="N722" s="29" t="s">
        <v>175</v>
      </c>
      <c r="O722" s="29" t="str">
        <f>IF(ISBLANK(A722), "", LET(entry_day, VLOOKUP(A722, 'Master Roster'!$A:$G, 7, FALSE), start_date, DATE(E722, MONTH(D722&amp;" 1"), entry_day), end_date, EDATE(start_date, 1), period, TEXT(start_date, "mmm d, yyyy") &amp; " - " &amp; TEXT(end_date, "mmm d, yyyy"), HYPERLINK("https://wa.me/" &amp; VLOOKUP(A722, 'Master Roster'!$A:$F, 6, FALSE) &amp; "?text=" &amp; ENCODEURL("Hello " &amp; IFERROR(IF(VLOOKUP(A722, 'Master Roster'!$A:$J, 10, FALSE)="Male", "Mr. ", "Ms. "), "") &amp; B722 &amp; ", payment of K" &amp; F722 &amp; " received for " &amp; period &amp; ". Receipt No: " &amp; N722), "Send Receipt")))</f>
        <v/>
      </c>
    </row>
    <row r="723">
      <c r="A723" s="29"/>
      <c r="B723" s="29" t="s">
        <v>175</v>
      </c>
      <c r="C723" s="76"/>
      <c r="D723" s="29"/>
      <c r="E723" s="29"/>
      <c r="F723" s="29"/>
      <c r="G723" s="29"/>
      <c r="H723" s="29" t="str">
        <f t="shared" si="1"/>
        <v/>
      </c>
      <c r="I723" s="29" t="str">
        <f t="shared" si="2"/>
        <v/>
      </c>
      <c r="J723" s="29" t="str">
        <f>IF(A723="", "", IFERROR(VLOOKUP(A723, 'Master Roster'!A:H, 8, FALSE) - F723, ""))</f>
        <v/>
      </c>
      <c r="K723" s="29" t="s">
        <v>175</v>
      </c>
      <c r="L723" s="29" t="b">
        <v>0</v>
      </c>
      <c r="M723" s="29"/>
      <c r="N723" s="29" t="s">
        <v>175</v>
      </c>
      <c r="O723" s="29" t="str">
        <f>IF(ISBLANK(A723), "", LET(entry_day, VLOOKUP(A723, 'Master Roster'!$A:$G, 7, FALSE), start_date, DATE(E723, MONTH(D723&amp;" 1"), entry_day), end_date, EDATE(start_date, 1), period, TEXT(start_date, "mmm d, yyyy") &amp; " - " &amp; TEXT(end_date, "mmm d, yyyy"), HYPERLINK("https://wa.me/" &amp; VLOOKUP(A723, 'Master Roster'!$A:$F, 6, FALSE) &amp; "?text=" &amp; ENCODEURL("Hello " &amp; IFERROR(IF(VLOOKUP(A723, 'Master Roster'!$A:$J, 10, FALSE)="Male", "Mr. ", "Ms. "), "") &amp; B723 &amp; ", payment of K" &amp; F723 &amp; " received for " &amp; period &amp; ". Receipt No: " &amp; N723), "Send Receipt")))</f>
        <v/>
      </c>
    </row>
    <row r="724">
      <c r="A724" s="29"/>
      <c r="B724" s="29" t="s">
        <v>175</v>
      </c>
      <c r="C724" s="76"/>
      <c r="D724" s="29"/>
      <c r="E724" s="29"/>
      <c r="F724" s="29"/>
      <c r="G724" s="29"/>
      <c r="H724" s="29" t="str">
        <f t="shared" si="1"/>
        <v/>
      </c>
      <c r="I724" s="29" t="str">
        <f t="shared" si="2"/>
        <v/>
      </c>
      <c r="J724" s="29" t="str">
        <f>IF(A724="", "", IFERROR(VLOOKUP(A724, 'Master Roster'!A:H, 8, FALSE) - F724, ""))</f>
        <v/>
      </c>
      <c r="K724" s="29" t="s">
        <v>175</v>
      </c>
      <c r="L724" s="29" t="b">
        <v>0</v>
      </c>
      <c r="M724" s="29"/>
      <c r="N724" s="29" t="s">
        <v>175</v>
      </c>
      <c r="O724" s="29" t="str">
        <f>IF(ISBLANK(A724), "", LET(entry_day, VLOOKUP(A724, 'Master Roster'!$A:$G, 7, FALSE), start_date, DATE(E724, MONTH(D724&amp;" 1"), entry_day), end_date, EDATE(start_date, 1), period, TEXT(start_date, "mmm d, yyyy") &amp; " - " &amp; TEXT(end_date, "mmm d, yyyy"), HYPERLINK("https://wa.me/" &amp; VLOOKUP(A724, 'Master Roster'!$A:$F, 6, FALSE) &amp; "?text=" &amp; ENCODEURL("Hello " &amp; IFERROR(IF(VLOOKUP(A724, 'Master Roster'!$A:$J, 10, FALSE)="Male", "Mr. ", "Ms. "), "") &amp; B724 &amp; ", payment of K" &amp; F724 &amp; " received for " &amp; period &amp; ". Receipt No: " &amp; N724), "Send Receipt")))</f>
        <v/>
      </c>
    </row>
    <row r="725">
      <c r="A725" s="29"/>
      <c r="B725" s="29" t="s">
        <v>175</v>
      </c>
      <c r="C725" s="76"/>
      <c r="D725" s="29"/>
      <c r="E725" s="29"/>
      <c r="F725" s="29"/>
      <c r="G725" s="29"/>
      <c r="H725" s="29" t="str">
        <f t="shared" si="1"/>
        <v/>
      </c>
      <c r="I725" s="29" t="str">
        <f t="shared" si="2"/>
        <v/>
      </c>
      <c r="J725" s="29" t="str">
        <f>IF(A725="", "", IFERROR(VLOOKUP(A725, 'Master Roster'!A:H, 8, FALSE) - F725, ""))</f>
        <v/>
      </c>
      <c r="K725" s="29" t="s">
        <v>175</v>
      </c>
      <c r="L725" s="29" t="b">
        <v>0</v>
      </c>
      <c r="M725" s="29"/>
      <c r="N725" s="29" t="s">
        <v>175</v>
      </c>
      <c r="O725" s="29" t="str">
        <f>IF(ISBLANK(A725), "", LET(entry_day, VLOOKUP(A725, 'Master Roster'!$A:$G, 7, FALSE), start_date, DATE(E725, MONTH(D725&amp;" 1"), entry_day), end_date, EDATE(start_date, 1), period, TEXT(start_date, "mmm d, yyyy") &amp; " - " &amp; TEXT(end_date, "mmm d, yyyy"), HYPERLINK("https://wa.me/" &amp; VLOOKUP(A725, 'Master Roster'!$A:$F, 6, FALSE) &amp; "?text=" &amp; ENCODEURL("Hello " &amp; IFERROR(IF(VLOOKUP(A725, 'Master Roster'!$A:$J, 10, FALSE)="Male", "Mr. ", "Ms. "), "") &amp; B725 &amp; ", payment of K" &amp; F725 &amp; " received for " &amp; period &amp; ". Receipt No: " &amp; N725), "Send Receipt")))</f>
        <v/>
      </c>
    </row>
    <row r="726">
      <c r="A726" s="29"/>
      <c r="B726" s="29" t="s">
        <v>175</v>
      </c>
      <c r="C726" s="76"/>
      <c r="D726" s="29"/>
      <c r="E726" s="29"/>
      <c r="F726" s="29"/>
      <c r="G726" s="29"/>
      <c r="H726" s="29" t="str">
        <f t="shared" si="1"/>
        <v/>
      </c>
      <c r="I726" s="29" t="str">
        <f t="shared" si="2"/>
        <v/>
      </c>
      <c r="J726" s="29" t="str">
        <f>IF(A726="", "", IFERROR(VLOOKUP(A726, 'Master Roster'!A:H, 8, FALSE) - F726, ""))</f>
        <v/>
      </c>
      <c r="K726" s="29" t="s">
        <v>175</v>
      </c>
      <c r="L726" s="29" t="b">
        <v>0</v>
      </c>
      <c r="M726" s="29"/>
      <c r="N726" s="29" t="s">
        <v>175</v>
      </c>
      <c r="O726" s="29" t="str">
        <f>IF(ISBLANK(A726), "", LET(entry_day, VLOOKUP(A726, 'Master Roster'!$A:$G, 7, FALSE), start_date, DATE(E726, MONTH(D726&amp;" 1"), entry_day), end_date, EDATE(start_date, 1), period, TEXT(start_date, "mmm d, yyyy") &amp; " - " &amp; TEXT(end_date, "mmm d, yyyy"), HYPERLINK("https://wa.me/" &amp; VLOOKUP(A726, 'Master Roster'!$A:$F, 6, FALSE) &amp; "?text=" &amp; ENCODEURL("Hello " &amp; IFERROR(IF(VLOOKUP(A726, 'Master Roster'!$A:$J, 10, FALSE)="Male", "Mr. ", "Ms. "), "") &amp; B726 &amp; ", payment of K" &amp; F726 &amp; " received for " &amp; period &amp; ". Receipt No: " &amp; N726), "Send Receipt")))</f>
        <v/>
      </c>
    </row>
    <row r="727">
      <c r="A727" s="29"/>
      <c r="B727" s="29" t="s">
        <v>175</v>
      </c>
      <c r="C727" s="76"/>
      <c r="D727" s="29"/>
      <c r="E727" s="29"/>
      <c r="F727" s="29"/>
      <c r="G727" s="29"/>
      <c r="H727" s="29" t="str">
        <f t="shared" si="1"/>
        <v/>
      </c>
      <c r="I727" s="29" t="str">
        <f t="shared" si="2"/>
        <v/>
      </c>
      <c r="J727" s="29" t="str">
        <f>IF(A727="", "", IFERROR(VLOOKUP(A727, 'Master Roster'!A:H, 8, FALSE) - F727, ""))</f>
        <v/>
      </c>
      <c r="K727" s="29" t="s">
        <v>175</v>
      </c>
      <c r="L727" s="29" t="b">
        <v>0</v>
      </c>
      <c r="M727" s="29"/>
      <c r="N727" s="29" t="s">
        <v>175</v>
      </c>
      <c r="O727" s="29" t="str">
        <f>IF(ISBLANK(A727), "", LET(entry_day, VLOOKUP(A727, 'Master Roster'!$A:$G, 7, FALSE), start_date, DATE(E727, MONTH(D727&amp;" 1"), entry_day), end_date, EDATE(start_date, 1), period, TEXT(start_date, "mmm d, yyyy") &amp; " - " &amp; TEXT(end_date, "mmm d, yyyy"), HYPERLINK("https://wa.me/" &amp; VLOOKUP(A727, 'Master Roster'!$A:$F, 6, FALSE) &amp; "?text=" &amp; ENCODEURL("Hello " &amp; IFERROR(IF(VLOOKUP(A727, 'Master Roster'!$A:$J, 10, FALSE)="Male", "Mr. ", "Ms. "), "") &amp; B727 &amp; ", payment of K" &amp; F727 &amp; " received for " &amp; period &amp; ". Receipt No: " &amp; N727), "Send Receipt")))</f>
        <v/>
      </c>
    </row>
    <row r="728">
      <c r="A728" s="29"/>
      <c r="B728" s="29" t="s">
        <v>175</v>
      </c>
      <c r="C728" s="76"/>
      <c r="D728" s="29"/>
      <c r="E728" s="29"/>
      <c r="F728" s="29"/>
      <c r="G728" s="29"/>
      <c r="H728" s="29" t="str">
        <f t="shared" si="1"/>
        <v/>
      </c>
      <c r="I728" s="29" t="str">
        <f t="shared" si="2"/>
        <v/>
      </c>
      <c r="J728" s="29" t="str">
        <f>IF(A728="", "", IFERROR(VLOOKUP(A728, 'Master Roster'!A:H, 8, FALSE) - F728, ""))</f>
        <v/>
      </c>
      <c r="K728" s="29" t="s">
        <v>175</v>
      </c>
      <c r="L728" s="29" t="b">
        <v>0</v>
      </c>
      <c r="M728" s="29"/>
      <c r="N728" s="29" t="s">
        <v>175</v>
      </c>
      <c r="O728" s="29" t="str">
        <f>IF(ISBLANK(A728), "", LET(entry_day, VLOOKUP(A728, 'Master Roster'!$A:$G, 7, FALSE), start_date, DATE(E728, MONTH(D728&amp;" 1"), entry_day), end_date, EDATE(start_date, 1), period, TEXT(start_date, "mmm d, yyyy") &amp; " - " &amp; TEXT(end_date, "mmm d, yyyy"), HYPERLINK("https://wa.me/" &amp; VLOOKUP(A728, 'Master Roster'!$A:$F, 6, FALSE) &amp; "?text=" &amp; ENCODEURL("Hello " &amp; IFERROR(IF(VLOOKUP(A728, 'Master Roster'!$A:$J, 10, FALSE)="Male", "Mr. ", "Ms. "), "") &amp; B728 &amp; ", payment of K" &amp; F728 &amp; " received for " &amp; period &amp; ". Receipt No: " &amp; N728), "Send Receipt")))</f>
        <v/>
      </c>
    </row>
    <row r="729">
      <c r="A729" s="29"/>
      <c r="B729" s="29" t="s">
        <v>175</v>
      </c>
      <c r="C729" s="76"/>
      <c r="D729" s="29"/>
      <c r="E729" s="29"/>
      <c r="F729" s="29"/>
      <c r="G729" s="29"/>
      <c r="H729" s="29" t="str">
        <f t="shared" si="1"/>
        <v/>
      </c>
      <c r="I729" s="29" t="str">
        <f t="shared" si="2"/>
        <v/>
      </c>
      <c r="J729" s="29" t="str">
        <f>IF(A729="", "", IFERROR(VLOOKUP(A729, 'Master Roster'!A:H, 8, FALSE) - F729, ""))</f>
        <v/>
      </c>
      <c r="K729" s="29" t="s">
        <v>175</v>
      </c>
      <c r="L729" s="29" t="b">
        <v>0</v>
      </c>
      <c r="M729" s="29"/>
      <c r="N729" s="29" t="s">
        <v>175</v>
      </c>
      <c r="O729" s="29" t="str">
        <f>IF(ISBLANK(A729), "", LET(entry_day, VLOOKUP(A729, 'Master Roster'!$A:$G, 7, FALSE), start_date, DATE(E729, MONTH(D729&amp;" 1"), entry_day), end_date, EDATE(start_date, 1), period, TEXT(start_date, "mmm d, yyyy") &amp; " - " &amp; TEXT(end_date, "mmm d, yyyy"), HYPERLINK("https://wa.me/" &amp; VLOOKUP(A729, 'Master Roster'!$A:$F, 6, FALSE) &amp; "?text=" &amp; ENCODEURL("Hello " &amp; IFERROR(IF(VLOOKUP(A729, 'Master Roster'!$A:$J, 10, FALSE)="Male", "Mr. ", "Ms. "), "") &amp; B729 &amp; ", payment of K" &amp; F729 &amp; " received for " &amp; period &amp; ". Receipt No: " &amp; N729), "Send Receipt")))</f>
        <v/>
      </c>
    </row>
    <row r="730">
      <c r="A730" s="29"/>
      <c r="B730" s="29" t="s">
        <v>175</v>
      </c>
      <c r="C730" s="76"/>
      <c r="D730" s="29"/>
      <c r="E730" s="29"/>
      <c r="F730" s="29"/>
      <c r="G730" s="29"/>
      <c r="H730" s="29" t="str">
        <f t="shared" si="1"/>
        <v/>
      </c>
      <c r="I730" s="29" t="str">
        <f t="shared" si="2"/>
        <v/>
      </c>
      <c r="J730" s="29" t="str">
        <f>IF(A730="", "", IFERROR(VLOOKUP(A730, 'Master Roster'!A:H, 8, FALSE) - F730, ""))</f>
        <v/>
      </c>
      <c r="K730" s="29" t="s">
        <v>175</v>
      </c>
      <c r="L730" s="29" t="b">
        <v>0</v>
      </c>
      <c r="M730" s="29"/>
      <c r="N730" s="29" t="s">
        <v>175</v>
      </c>
      <c r="O730" s="29" t="str">
        <f>IF(ISBLANK(A730), "", LET(entry_day, VLOOKUP(A730, 'Master Roster'!$A:$G, 7, FALSE), start_date, DATE(E730, MONTH(D730&amp;" 1"), entry_day), end_date, EDATE(start_date, 1), period, TEXT(start_date, "mmm d, yyyy") &amp; " - " &amp; TEXT(end_date, "mmm d, yyyy"), HYPERLINK("https://wa.me/" &amp; VLOOKUP(A730, 'Master Roster'!$A:$F, 6, FALSE) &amp; "?text=" &amp; ENCODEURL("Hello " &amp; IFERROR(IF(VLOOKUP(A730, 'Master Roster'!$A:$J, 10, FALSE)="Male", "Mr. ", "Ms. "), "") &amp; B730 &amp; ", payment of K" &amp; F730 &amp; " received for " &amp; period &amp; ". Receipt No: " &amp; N730), "Send Receipt")))</f>
        <v/>
      </c>
    </row>
    <row r="731">
      <c r="A731" s="29"/>
      <c r="B731" s="29" t="s">
        <v>175</v>
      </c>
      <c r="C731" s="76"/>
      <c r="D731" s="29"/>
      <c r="E731" s="29"/>
      <c r="F731" s="29"/>
      <c r="G731" s="29"/>
      <c r="H731" s="29" t="str">
        <f t="shared" si="1"/>
        <v/>
      </c>
      <c r="I731" s="29" t="str">
        <f t="shared" si="2"/>
        <v/>
      </c>
      <c r="J731" s="29" t="str">
        <f>IF(A731="", "", IFERROR(VLOOKUP(A731, 'Master Roster'!A:H, 8, FALSE) - F731, ""))</f>
        <v/>
      </c>
      <c r="K731" s="29" t="s">
        <v>175</v>
      </c>
      <c r="L731" s="29" t="b">
        <v>0</v>
      </c>
      <c r="M731" s="29"/>
      <c r="N731" s="29" t="s">
        <v>175</v>
      </c>
      <c r="O731" s="29" t="str">
        <f>IF(ISBLANK(A731), "", LET(entry_day, VLOOKUP(A731, 'Master Roster'!$A:$G, 7, FALSE), start_date, DATE(E731, MONTH(D731&amp;" 1"), entry_day), end_date, EDATE(start_date, 1), period, TEXT(start_date, "mmm d, yyyy") &amp; " - " &amp; TEXT(end_date, "mmm d, yyyy"), HYPERLINK("https://wa.me/" &amp; VLOOKUP(A731, 'Master Roster'!$A:$F, 6, FALSE) &amp; "?text=" &amp; ENCODEURL("Hello " &amp; IFERROR(IF(VLOOKUP(A731, 'Master Roster'!$A:$J, 10, FALSE)="Male", "Mr. ", "Ms. "), "") &amp; B731 &amp; ", payment of K" &amp; F731 &amp; " received for " &amp; period &amp; ". Receipt No: " &amp; N731), "Send Receipt")))</f>
        <v/>
      </c>
    </row>
    <row r="732">
      <c r="A732" s="29"/>
      <c r="B732" s="29" t="s">
        <v>175</v>
      </c>
      <c r="C732" s="76"/>
      <c r="D732" s="29"/>
      <c r="E732" s="29"/>
      <c r="F732" s="29"/>
      <c r="G732" s="29"/>
      <c r="H732" s="29" t="str">
        <f t="shared" si="1"/>
        <v/>
      </c>
      <c r="I732" s="29" t="str">
        <f t="shared" si="2"/>
        <v/>
      </c>
      <c r="J732" s="29" t="str">
        <f>IF(A732="", "", IFERROR(VLOOKUP(A732, 'Master Roster'!A:H, 8, FALSE) - F732, ""))</f>
        <v/>
      </c>
      <c r="K732" s="29" t="s">
        <v>175</v>
      </c>
      <c r="L732" s="29" t="b">
        <v>0</v>
      </c>
      <c r="M732" s="29"/>
      <c r="N732" s="29" t="s">
        <v>175</v>
      </c>
      <c r="O732" s="29" t="str">
        <f>IF(ISBLANK(A732), "", LET(entry_day, VLOOKUP(A732, 'Master Roster'!$A:$G, 7, FALSE), start_date, DATE(E732, MONTH(D732&amp;" 1"), entry_day), end_date, EDATE(start_date, 1), period, TEXT(start_date, "mmm d, yyyy") &amp; " - " &amp; TEXT(end_date, "mmm d, yyyy"), HYPERLINK("https://wa.me/" &amp; VLOOKUP(A732, 'Master Roster'!$A:$F, 6, FALSE) &amp; "?text=" &amp; ENCODEURL("Hello " &amp; IFERROR(IF(VLOOKUP(A732, 'Master Roster'!$A:$J, 10, FALSE)="Male", "Mr. ", "Ms. "), "") &amp; B732 &amp; ", payment of K" &amp; F732 &amp; " received for " &amp; period &amp; ". Receipt No: " &amp; N732), "Send Receipt")))</f>
        <v/>
      </c>
    </row>
    <row r="733">
      <c r="A733" s="29"/>
      <c r="B733" s="29" t="s">
        <v>175</v>
      </c>
      <c r="C733" s="76"/>
      <c r="D733" s="29"/>
      <c r="E733" s="29"/>
      <c r="F733" s="29"/>
      <c r="G733" s="29"/>
      <c r="H733" s="29" t="str">
        <f t="shared" si="1"/>
        <v/>
      </c>
      <c r="I733" s="29" t="str">
        <f t="shared" si="2"/>
        <v/>
      </c>
      <c r="J733" s="29" t="str">
        <f>IF(A733="", "", IFERROR(VLOOKUP(A733, 'Master Roster'!A:H, 8, FALSE) - F733, ""))</f>
        <v/>
      </c>
      <c r="K733" s="29" t="s">
        <v>175</v>
      </c>
      <c r="L733" s="29" t="b">
        <v>0</v>
      </c>
      <c r="M733" s="29"/>
      <c r="N733" s="29" t="s">
        <v>175</v>
      </c>
      <c r="O733" s="29" t="str">
        <f>IF(ISBLANK(A733), "", LET(entry_day, VLOOKUP(A733, 'Master Roster'!$A:$G, 7, FALSE), start_date, DATE(E733, MONTH(D733&amp;" 1"), entry_day), end_date, EDATE(start_date, 1), period, TEXT(start_date, "mmm d, yyyy") &amp; " - " &amp; TEXT(end_date, "mmm d, yyyy"), HYPERLINK("https://wa.me/" &amp; VLOOKUP(A733, 'Master Roster'!$A:$F, 6, FALSE) &amp; "?text=" &amp; ENCODEURL("Hello " &amp; IFERROR(IF(VLOOKUP(A733, 'Master Roster'!$A:$J, 10, FALSE)="Male", "Mr. ", "Ms. "), "") &amp; B733 &amp; ", payment of K" &amp; F733 &amp; " received for " &amp; period &amp; ". Receipt No: " &amp; N733), "Send Receipt")))</f>
        <v/>
      </c>
    </row>
    <row r="734">
      <c r="A734" s="29"/>
      <c r="B734" s="29" t="s">
        <v>175</v>
      </c>
      <c r="C734" s="76"/>
      <c r="D734" s="29"/>
      <c r="E734" s="29"/>
      <c r="F734" s="29"/>
      <c r="G734" s="29"/>
      <c r="H734" s="29" t="str">
        <f t="shared" si="1"/>
        <v/>
      </c>
      <c r="I734" s="29" t="str">
        <f t="shared" si="2"/>
        <v/>
      </c>
      <c r="J734" s="29" t="str">
        <f>IF(A734="", "", IFERROR(VLOOKUP(A734, 'Master Roster'!A:H, 8, FALSE) - F734, ""))</f>
        <v/>
      </c>
      <c r="K734" s="29" t="s">
        <v>175</v>
      </c>
      <c r="L734" s="29" t="b">
        <v>0</v>
      </c>
      <c r="M734" s="29"/>
      <c r="N734" s="29" t="s">
        <v>175</v>
      </c>
      <c r="O734" s="29" t="str">
        <f>IF(ISBLANK(A734), "", LET(entry_day, VLOOKUP(A734, 'Master Roster'!$A:$G, 7, FALSE), start_date, DATE(E734, MONTH(D734&amp;" 1"), entry_day), end_date, EDATE(start_date, 1), period, TEXT(start_date, "mmm d, yyyy") &amp; " - " &amp; TEXT(end_date, "mmm d, yyyy"), HYPERLINK("https://wa.me/" &amp; VLOOKUP(A734, 'Master Roster'!$A:$F, 6, FALSE) &amp; "?text=" &amp; ENCODEURL("Hello " &amp; IFERROR(IF(VLOOKUP(A734, 'Master Roster'!$A:$J, 10, FALSE)="Male", "Mr. ", "Ms. "), "") &amp; B734 &amp; ", payment of K" &amp; F734 &amp; " received for " &amp; period &amp; ". Receipt No: " &amp; N734), "Send Receipt")))</f>
        <v/>
      </c>
    </row>
    <row r="735">
      <c r="A735" s="29"/>
      <c r="B735" s="29" t="s">
        <v>175</v>
      </c>
      <c r="C735" s="76"/>
      <c r="D735" s="29"/>
      <c r="E735" s="29"/>
      <c r="F735" s="29"/>
      <c r="G735" s="29"/>
      <c r="H735" s="29" t="str">
        <f t="shared" si="1"/>
        <v/>
      </c>
      <c r="I735" s="29" t="str">
        <f t="shared" si="2"/>
        <v/>
      </c>
      <c r="J735" s="29" t="str">
        <f>IF(A735="", "", IFERROR(VLOOKUP(A735, 'Master Roster'!A:H, 8, FALSE) - F735, ""))</f>
        <v/>
      </c>
      <c r="K735" s="29" t="s">
        <v>175</v>
      </c>
      <c r="L735" s="29" t="b">
        <v>0</v>
      </c>
      <c r="M735" s="29"/>
      <c r="N735" s="29" t="s">
        <v>175</v>
      </c>
      <c r="O735" s="29" t="str">
        <f>IF(ISBLANK(A735), "", LET(entry_day, VLOOKUP(A735, 'Master Roster'!$A:$G, 7, FALSE), start_date, DATE(E735, MONTH(D735&amp;" 1"), entry_day), end_date, EDATE(start_date, 1), period, TEXT(start_date, "mmm d, yyyy") &amp; " - " &amp; TEXT(end_date, "mmm d, yyyy"), HYPERLINK("https://wa.me/" &amp; VLOOKUP(A735, 'Master Roster'!$A:$F, 6, FALSE) &amp; "?text=" &amp; ENCODEURL("Hello " &amp; IFERROR(IF(VLOOKUP(A735, 'Master Roster'!$A:$J, 10, FALSE)="Male", "Mr. ", "Ms. "), "") &amp; B735 &amp; ", payment of K" &amp; F735 &amp; " received for " &amp; period &amp; ". Receipt No: " &amp; N735), "Send Receipt")))</f>
        <v/>
      </c>
    </row>
    <row r="736">
      <c r="A736" s="29"/>
      <c r="B736" s="29" t="s">
        <v>175</v>
      </c>
      <c r="C736" s="76"/>
      <c r="D736" s="29"/>
      <c r="E736" s="29"/>
      <c r="F736" s="29"/>
      <c r="G736" s="29"/>
      <c r="H736" s="29" t="str">
        <f t="shared" si="1"/>
        <v/>
      </c>
      <c r="I736" s="29" t="str">
        <f t="shared" si="2"/>
        <v/>
      </c>
      <c r="J736" s="29" t="str">
        <f>IF(A736="", "", IFERROR(VLOOKUP(A736, 'Master Roster'!A:H, 8, FALSE) - F736, ""))</f>
        <v/>
      </c>
      <c r="K736" s="29" t="s">
        <v>175</v>
      </c>
      <c r="L736" s="29" t="b">
        <v>0</v>
      </c>
      <c r="M736" s="29"/>
      <c r="N736" s="29" t="s">
        <v>175</v>
      </c>
      <c r="O736" s="29" t="str">
        <f>IF(ISBLANK(A736), "", LET(entry_day, VLOOKUP(A736, 'Master Roster'!$A:$G, 7, FALSE), start_date, DATE(E736, MONTH(D736&amp;" 1"), entry_day), end_date, EDATE(start_date, 1), period, TEXT(start_date, "mmm d, yyyy") &amp; " - " &amp; TEXT(end_date, "mmm d, yyyy"), HYPERLINK("https://wa.me/" &amp; VLOOKUP(A736, 'Master Roster'!$A:$F, 6, FALSE) &amp; "?text=" &amp; ENCODEURL("Hello " &amp; IFERROR(IF(VLOOKUP(A736, 'Master Roster'!$A:$J, 10, FALSE)="Male", "Mr. ", "Ms. "), "") &amp; B736 &amp; ", payment of K" &amp; F736 &amp; " received for " &amp; period &amp; ". Receipt No: " &amp; N736), "Send Receipt")))</f>
        <v/>
      </c>
    </row>
    <row r="737">
      <c r="A737" s="29"/>
      <c r="B737" s="29" t="s">
        <v>175</v>
      </c>
      <c r="C737" s="76"/>
      <c r="D737" s="29"/>
      <c r="E737" s="29"/>
      <c r="F737" s="29"/>
      <c r="G737" s="29"/>
      <c r="H737" s="29" t="str">
        <f t="shared" si="1"/>
        <v/>
      </c>
      <c r="I737" s="29" t="str">
        <f t="shared" si="2"/>
        <v/>
      </c>
      <c r="J737" s="29" t="str">
        <f>IF(A737="", "", IFERROR(VLOOKUP(A737, 'Master Roster'!A:H, 8, FALSE) - F737, ""))</f>
        <v/>
      </c>
      <c r="K737" s="29" t="s">
        <v>175</v>
      </c>
      <c r="L737" s="29" t="b">
        <v>0</v>
      </c>
      <c r="M737" s="29"/>
      <c r="N737" s="29" t="s">
        <v>175</v>
      </c>
      <c r="O737" s="29" t="str">
        <f>IF(ISBLANK(A737), "", LET(entry_day, VLOOKUP(A737, 'Master Roster'!$A:$G, 7, FALSE), start_date, DATE(E737, MONTH(D737&amp;" 1"), entry_day), end_date, EDATE(start_date, 1), period, TEXT(start_date, "mmm d, yyyy") &amp; " - " &amp; TEXT(end_date, "mmm d, yyyy"), HYPERLINK("https://wa.me/" &amp; VLOOKUP(A737, 'Master Roster'!$A:$F, 6, FALSE) &amp; "?text=" &amp; ENCODEURL("Hello " &amp; IFERROR(IF(VLOOKUP(A737, 'Master Roster'!$A:$J, 10, FALSE)="Male", "Mr. ", "Ms. "), "") &amp; B737 &amp; ", payment of K" &amp; F737 &amp; " received for " &amp; period &amp; ". Receipt No: " &amp; N737), "Send Receipt")))</f>
        <v/>
      </c>
    </row>
    <row r="738">
      <c r="A738" s="29"/>
      <c r="B738" s="29" t="s">
        <v>175</v>
      </c>
      <c r="C738" s="76"/>
      <c r="D738" s="29"/>
      <c r="E738" s="29"/>
      <c r="F738" s="29"/>
      <c r="G738" s="29"/>
      <c r="H738" s="29" t="str">
        <f t="shared" si="1"/>
        <v/>
      </c>
      <c r="I738" s="29" t="str">
        <f t="shared" si="2"/>
        <v/>
      </c>
      <c r="J738" s="29" t="str">
        <f>IF(A738="", "", IFERROR(VLOOKUP(A738, 'Master Roster'!A:H, 8, FALSE) - F738, ""))</f>
        <v/>
      </c>
      <c r="K738" s="29" t="s">
        <v>175</v>
      </c>
      <c r="L738" s="29" t="b">
        <v>0</v>
      </c>
      <c r="M738" s="29"/>
      <c r="N738" s="29" t="s">
        <v>175</v>
      </c>
      <c r="O738" s="29" t="str">
        <f>IF(ISBLANK(A738), "", LET(entry_day, VLOOKUP(A738, 'Master Roster'!$A:$G, 7, FALSE), start_date, DATE(E738, MONTH(D738&amp;" 1"), entry_day), end_date, EDATE(start_date, 1), period, TEXT(start_date, "mmm d, yyyy") &amp; " - " &amp; TEXT(end_date, "mmm d, yyyy"), HYPERLINK("https://wa.me/" &amp; VLOOKUP(A738, 'Master Roster'!$A:$F, 6, FALSE) &amp; "?text=" &amp; ENCODEURL("Hello " &amp; IFERROR(IF(VLOOKUP(A738, 'Master Roster'!$A:$J, 10, FALSE)="Male", "Mr. ", "Ms. "), "") &amp; B738 &amp; ", payment of K" &amp; F738 &amp; " received for " &amp; period &amp; ". Receipt No: " &amp; N738), "Send Receipt")))</f>
        <v/>
      </c>
    </row>
    <row r="739">
      <c r="A739" s="29"/>
      <c r="B739" s="29" t="s">
        <v>175</v>
      </c>
      <c r="C739" s="76"/>
      <c r="D739" s="29"/>
      <c r="E739" s="29"/>
      <c r="F739" s="29"/>
      <c r="G739" s="29"/>
      <c r="H739" s="29" t="str">
        <f t="shared" si="1"/>
        <v/>
      </c>
      <c r="I739" s="29" t="str">
        <f t="shared" si="2"/>
        <v/>
      </c>
      <c r="J739" s="29" t="str">
        <f>IF(A739="", "", IFERROR(VLOOKUP(A739, 'Master Roster'!A:H, 8, FALSE) - F739, ""))</f>
        <v/>
      </c>
      <c r="K739" s="29" t="s">
        <v>175</v>
      </c>
      <c r="L739" s="29" t="b">
        <v>0</v>
      </c>
      <c r="M739" s="29"/>
      <c r="N739" s="29" t="s">
        <v>175</v>
      </c>
      <c r="O739" s="29" t="str">
        <f>IF(ISBLANK(A739), "", LET(entry_day, VLOOKUP(A739, 'Master Roster'!$A:$G, 7, FALSE), start_date, DATE(E739, MONTH(D739&amp;" 1"), entry_day), end_date, EDATE(start_date, 1), period, TEXT(start_date, "mmm d, yyyy") &amp; " - " &amp; TEXT(end_date, "mmm d, yyyy"), HYPERLINK("https://wa.me/" &amp; VLOOKUP(A739, 'Master Roster'!$A:$F, 6, FALSE) &amp; "?text=" &amp; ENCODEURL("Hello " &amp; IFERROR(IF(VLOOKUP(A739, 'Master Roster'!$A:$J, 10, FALSE)="Male", "Mr. ", "Ms. "), "") &amp; B739 &amp; ", payment of K" &amp; F739 &amp; " received for " &amp; period &amp; ". Receipt No: " &amp; N739), "Send Receipt")))</f>
        <v/>
      </c>
    </row>
    <row r="740">
      <c r="A740" s="29"/>
      <c r="B740" s="29" t="s">
        <v>175</v>
      </c>
      <c r="C740" s="76"/>
      <c r="D740" s="29"/>
      <c r="E740" s="29"/>
      <c r="F740" s="29"/>
      <c r="G740" s="29"/>
      <c r="H740" s="29" t="str">
        <f t="shared" si="1"/>
        <v/>
      </c>
      <c r="I740" s="29" t="str">
        <f t="shared" si="2"/>
        <v/>
      </c>
      <c r="J740" s="29" t="str">
        <f>IF(A740="", "", IFERROR(VLOOKUP(A740, 'Master Roster'!A:H, 8, FALSE) - F740, ""))</f>
        <v/>
      </c>
      <c r="K740" s="29" t="s">
        <v>175</v>
      </c>
      <c r="L740" s="29" t="b">
        <v>0</v>
      </c>
      <c r="M740" s="29"/>
      <c r="N740" s="29" t="s">
        <v>175</v>
      </c>
      <c r="O740" s="29" t="str">
        <f>IF(ISBLANK(A740), "", LET(entry_day, VLOOKUP(A740, 'Master Roster'!$A:$G, 7, FALSE), start_date, DATE(E740, MONTH(D740&amp;" 1"), entry_day), end_date, EDATE(start_date, 1), period, TEXT(start_date, "mmm d, yyyy") &amp; " - " &amp; TEXT(end_date, "mmm d, yyyy"), HYPERLINK("https://wa.me/" &amp; VLOOKUP(A740, 'Master Roster'!$A:$F, 6, FALSE) &amp; "?text=" &amp; ENCODEURL("Hello " &amp; IFERROR(IF(VLOOKUP(A740, 'Master Roster'!$A:$J, 10, FALSE)="Male", "Mr. ", "Ms. "), "") &amp; B740 &amp; ", payment of K" &amp; F740 &amp; " received for " &amp; period &amp; ". Receipt No: " &amp; N740), "Send Receipt")))</f>
        <v/>
      </c>
    </row>
    <row r="741">
      <c r="A741" s="29"/>
      <c r="B741" s="29" t="s">
        <v>175</v>
      </c>
      <c r="C741" s="76"/>
      <c r="D741" s="29"/>
      <c r="E741" s="29"/>
      <c r="F741" s="29"/>
      <c r="G741" s="29"/>
      <c r="H741" s="29" t="str">
        <f t="shared" si="1"/>
        <v/>
      </c>
      <c r="I741" s="29" t="str">
        <f t="shared" si="2"/>
        <v/>
      </c>
      <c r="J741" s="29" t="str">
        <f>IF(A741="", "", IFERROR(VLOOKUP(A741, 'Master Roster'!A:H, 8, FALSE) - F741, ""))</f>
        <v/>
      </c>
      <c r="K741" s="29" t="s">
        <v>175</v>
      </c>
      <c r="L741" s="29" t="b">
        <v>0</v>
      </c>
      <c r="M741" s="29"/>
      <c r="N741" s="29" t="s">
        <v>175</v>
      </c>
      <c r="O741" s="29" t="str">
        <f>IF(ISBLANK(A741), "", LET(entry_day, VLOOKUP(A741, 'Master Roster'!$A:$G, 7, FALSE), start_date, DATE(E741, MONTH(D741&amp;" 1"), entry_day), end_date, EDATE(start_date, 1), period, TEXT(start_date, "mmm d, yyyy") &amp; " - " &amp; TEXT(end_date, "mmm d, yyyy"), HYPERLINK("https://wa.me/" &amp; VLOOKUP(A741, 'Master Roster'!$A:$F, 6, FALSE) &amp; "?text=" &amp; ENCODEURL("Hello " &amp; IFERROR(IF(VLOOKUP(A741, 'Master Roster'!$A:$J, 10, FALSE)="Male", "Mr. ", "Ms. "), "") &amp; B741 &amp; ", payment of K" &amp; F741 &amp; " received for " &amp; period &amp; ". Receipt No: " &amp; N741), "Send Receipt")))</f>
        <v/>
      </c>
    </row>
    <row r="742">
      <c r="A742" s="29"/>
      <c r="B742" s="29" t="s">
        <v>175</v>
      </c>
      <c r="C742" s="76"/>
      <c r="D742" s="29"/>
      <c r="E742" s="29"/>
      <c r="F742" s="29"/>
      <c r="G742" s="29"/>
      <c r="H742" s="29" t="str">
        <f t="shared" si="1"/>
        <v/>
      </c>
      <c r="I742" s="29" t="str">
        <f t="shared" si="2"/>
        <v/>
      </c>
      <c r="J742" s="29" t="str">
        <f>IF(A742="", "", IFERROR(VLOOKUP(A742, 'Master Roster'!A:H, 8, FALSE) - F742, ""))</f>
        <v/>
      </c>
      <c r="K742" s="29" t="s">
        <v>175</v>
      </c>
      <c r="L742" s="29" t="b">
        <v>0</v>
      </c>
      <c r="M742" s="29"/>
      <c r="N742" s="29" t="s">
        <v>175</v>
      </c>
      <c r="O742" s="29" t="str">
        <f>IF(ISBLANK(A742), "", LET(entry_day, VLOOKUP(A742, 'Master Roster'!$A:$G, 7, FALSE), start_date, DATE(E742, MONTH(D742&amp;" 1"), entry_day), end_date, EDATE(start_date, 1), period, TEXT(start_date, "mmm d, yyyy") &amp; " - " &amp; TEXT(end_date, "mmm d, yyyy"), HYPERLINK("https://wa.me/" &amp; VLOOKUP(A742, 'Master Roster'!$A:$F, 6, FALSE) &amp; "?text=" &amp; ENCODEURL("Hello " &amp; IFERROR(IF(VLOOKUP(A742, 'Master Roster'!$A:$J, 10, FALSE)="Male", "Mr. ", "Ms. "), "") &amp; B742 &amp; ", payment of K" &amp; F742 &amp; " received for " &amp; period &amp; ". Receipt No: " &amp; N742), "Send Receipt")))</f>
        <v/>
      </c>
    </row>
    <row r="743">
      <c r="A743" s="29"/>
      <c r="B743" s="29" t="s">
        <v>175</v>
      </c>
      <c r="C743" s="76"/>
      <c r="D743" s="29"/>
      <c r="E743" s="29"/>
      <c r="F743" s="29"/>
      <c r="G743" s="29"/>
      <c r="H743" s="29" t="str">
        <f t="shared" si="1"/>
        <v/>
      </c>
      <c r="I743" s="29" t="str">
        <f t="shared" si="2"/>
        <v/>
      </c>
      <c r="J743" s="29" t="str">
        <f>IF(A743="", "", IFERROR(VLOOKUP(A743, 'Master Roster'!A:H, 8, FALSE) - F743, ""))</f>
        <v/>
      </c>
      <c r="K743" s="29" t="s">
        <v>175</v>
      </c>
      <c r="L743" s="29" t="b">
        <v>0</v>
      </c>
      <c r="M743" s="29"/>
      <c r="N743" s="29" t="s">
        <v>175</v>
      </c>
      <c r="O743" s="29" t="str">
        <f>IF(ISBLANK(A743), "", LET(entry_day, VLOOKUP(A743, 'Master Roster'!$A:$G, 7, FALSE), start_date, DATE(E743, MONTH(D743&amp;" 1"), entry_day), end_date, EDATE(start_date, 1), period, TEXT(start_date, "mmm d, yyyy") &amp; " - " &amp; TEXT(end_date, "mmm d, yyyy"), HYPERLINK("https://wa.me/" &amp; VLOOKUP(A743, 'Master Roster'!$A:$F, 6, FALSE) &amp; "?text=" &amp; ENCODEURL("Hello " &amp; IFERROR(IF(VLOOKUP(A743, 'Master Roster'!$A:$J, 10, FALSE)="Male", "Mr. ", "Ms. "), "") &amp; B743 &amp; ", payment of K" &amp; F743 &amp; " received for " &amp; period &amp; ". Receipt No: " &amp; N743), "Send Receipt")))</f>
        <v/>
      </c>
    </row>
    <row r="744">
      <c r="A744" s="29"/>
      <c r="B744" s="29" t="s">
        <v>175</v>
      </c>
      <c r="C744" s="76"/>
      <c r="D744" s="29"/>
      <c r="E744" s="29"/>
      <c r="F744" s="29"/>
      <c r="G744" s="29"/>
      <c r="H744" s="29" t="str">
        <f t="shared" si="1"/>
        <v/>
      </c>
      <c r="I744" s="29" t="str">
        <f t="shared" si="2"/>
        <v/>
      </c>
      <c r="J744" s="29" t="str">
        <f>IF(A744="", "", IFERROR(VLOOKUP(A744, 'Master Roster'!A:H, 8, FALSE) - F744, ""))</f>
        <v/>
      </c>
      <c r="K744" s="29" t="s">
        <v>175</v>
      </c>
      <c r="L744" s="29" t="b">
        <v>0</v>
      </c>
      <c r="M744" s="29"/>
      <c r="N744" s="29" t="s">
        <v>175</v>
      </c>
      <c r="O744" s="29" t="str">
        <f>IF(ISBLANK(A744), "", LET(entry_day, VLOOKUP(A744, 'Master Roster'!$A:$G, 7, FALSE), start_date, DATE(E744, MONTH(D744&amp;" 1"), entry_day), end_date, EDATE(start_date, 1), period, TEXT(start_date, "mmm d, yyyy") &amp; " - " &amp; TEXT(end_date, "mmm d, yyyy"), HYPERLINK("https://wa.me/" &amp; VLOOKUP(A744, 'Master Roster'!$A:$F, 6, FALSE) &amp; "?text=" &amp; ENCODEURL("Hello " &amp; IFERROR(IF(VLOOKUP(A744, 'Master Roster'!$A:$J, 10, FALSE)="Male", "Mr. ", "Ms. "), "") &amp; B744 &amp; ", payment of K" &amp; F744 &amp; " received for " &amp; period &amp; ". Receipt No: " &amp; N744), "Send Receipt")))</f>
        <v/>
      </c>
    </row>
    <row r="745">
      <c r="A745" s="29"/>
      <c r="B745" s="29" t="s">
        <v>175</v>
      </c>
      <c r="C745" s="76"/>
      <c r="D745" s="29"/>
      <c r="E745" s="29"/>
      <c r="F745" s="29"/>
      <c r="G745" s="29"/>
      <c r="H745" s="29" t="str">
        <f t="shared" si="1"/>
        <v/>
      </c>
      <c r="I745" s="29" t="str">
        <f t="shared" si="2"/>
        <v/>
      </c>
      <c r="J745" s="29" t="str">
        <f>IF(A745="", "", IFERROR(VLOOKUP(A745, 'Master Roster'!A:H, 8, FALSE) - F745, ""))</f>
        <v/>
      </c>
      <c r="K745" s="29" t="s">
        <v>175</v>
      </c>
      <c r="L745" s="29" t="b">
        <v>0</v>
      </c>
      <c r="M745" s="29"/>
      <c r="N745" s="29" t="s">
        <v>175</v>
      </c>
      <c r="O745" s="29" t="str">
        <f>IF(ISBLANK(A745), "", LET(entry_day, VLOOKUP(A745, 'Master Roster'!$A:$G, 7, FALSE), start_date, DATE(E745, MONTH(D745&amp;" 1"), entry_day), end_date, EDATE(start_date, 1), period, TEXT(start_date, "mmm d, yyyy") &amp; " - " &amp; TEXT(end_date, "mmm d, yyyy"), HYPERLINK("https://wa.me/" &amp; VLOOKUP(A745, 'Master Roster'!$A:$F, 6, FALSE) &amp; "?text=" &amp; ENCODEURL("Hello " &amp; IFERROR(IF(VLOOKUP(A745, 'Master Roster'!$A:$J, 10, FALSE)="Male", "Mr. ", "Ms. "), "") &amp; B745 &amp; ", payment of K" &amp; F745 &amp; " received for " &amp; period &amp; ". Receipt No: " &amp; N745), "Send Receipt")))</f>
        <v/>
      </c>
    </row>
    <row r="746">
      <c r="A746" s="29"/>
      <c r="B746" s="29" t="s">
        <v>175</v>
      </c>
      <c r="C746" s="76"/>
      <c r="D746" s="29"/>
      <c r="E746" s="29"/>
      <c r="F746" s="29"/>
      <c r="G746" s="29"/>
      <c r="H746" s="29" t="str">
        <f t="shared" si="1"/>
        <v/>
      </c>
      <c r="I746" s="29" t="str">
        <f t="shared" si="2"/>
        <v/>
      </c>
      <c r="J746" s="29" t="str">
        <f>IF(A746="", "", IFERROR(VLOOKUP(A746, 'Master Roster'!A:H, 8, FALSE) - F746, ""))</f>
        <v/>
      </c>
      <c r="K746" s="29" t="s">
        <v>175</v>
      </c>
      <c r="L746" s="29" t="b">
        <v>0</v>
      </c>
      <c r="M746" s="29"/>
      <c r="N746" s="29" t="s">
        <v>175</v>
      </c>
      <c r="O746" s="29" t="str">
        <f>IF(ISBLANK(A746), "", LET(entry_day, VLOOKUP(A746, 'Master Roster'!$A:$G, 7, FALSE), start_date, DATE(E746, MONTH(D746&amp;" 1"), entry_day), end_date, EDATE(start_date, 1), period, TEXT(start_date, "mmm d, yyyy") &amp; " - " &amp; TEXT(end_date, "mmm d, yyyy"), HYPERLINK("https://wa.me/" &amp; VLOOKUP(A746, 'Master Roster'!$A:$F, 6, FALSE) &amp; "?text=" &amp; ENCODEURL("Hello " &amp; IFERROR(IF(VLOOKUP(A746, 'Master Roster'!$A:$J, 10, FALSE)="Male", "Mr. ", "Ms. "), "") &amp; B746 &amp; ", payment of K" &amp; F746 &amp; " received for " &amp; period &amp; ". Receipt No: " &amp; N746), "Send Receipt")))</f>
        <v/>
      </c>
    </row>
    <row r="747">
      <c r="A747" s="29"/>
      <c r="B747" s="29" t="s">
        <v>175</v>
      </c>
      <c r="C747" s="76"/>
      <c r="D747" s="29"/>
      <c r="E747" s="29"/>
      <c r="F747" s="29"/>
      <c r="G747" s="29"/>
      <c r="H747" s="29" t="str">
        <f t="shared" si="1"/>
        <v/>
      </c>
      <c r="I747" s="29" t="str">
        <f t="shared" si="2"/>
        <v/>
      </c>
      <c r="J747" s="29" t="str">
        <f>IF(A747="", "", IFERROR(VLOOKUP(A747, 'Master Roster'!A:H, 8, FALSE) - F747, ""))</f>
        <v/>
      </c>
      <c r="K747" s="29" t="s">
        <v>175</v>
      </c>
      <c r="L747" s="29" t="b">
        <v>0</v>
      </c>
      <c r="M747" s="29"/>
      <c r="N747" s="29" t="s">
        <v>175</v>
      </c>
      <c r="O747" s="29" t="str">
        <f>IF(ISBLANK(A747), "", LET(entry_day, VLOOKUP(A747, 'Master Roster'!$A:$G, 7, FALSE), start_date, DATE(E747, MONTH(D747&amp;" 1"), entry_day), end_date, EDATE(start_date, 1), period, TEXT(start_date, "mmm d, yyyy") &amp; " - " &amp; TEXT(end_date, "mmm d, yyyy"), HYPERLINK("https://wa.me/" &amp; VLOOKUP(A747, 'Master Roster'!$A:$F, 6, FALSE) &amp; "?text=" &amp; ENCODEURL("Hello " &amp; IFERROR(IF(VLOOKUP(A747, 'Master Roster'!$A:$J, 10, FALSE)="Male", "Mr. ", "Ms. "), "") &amp; B747 &amp; ", payment of K" &amp; F747 &amp; " received for " &amp; period &amp; ". Receipt No: " &amp; N747), "Send Receipt")))</f>
        <v/>
      </c>
    </row>
    <row r="748">
      <c r="A748" s="29"/>
      <c r="B748" s="29" t="s">
        <v>175</v>
      </c>
      <c r="C748" s="76"/>
      <c r="D748" s="29"/>
      <c r="E748" s="29"/>
      <c r="F748" s="29"/>
      <c r="G748" s="29"/>
      <c r="H748" s="29" t="str">
        <f t="shared" si="1"/>
        <v/>
      </c>
      <c r="I748" s="29" t="str">
        <f t="shared" si="2"/>
        <v/>
      </c>
      <c r="J748" s="29" t="str">
        <f>IF(A748="", "", IFERROR(VLOOKUP(A748, 'Master Roster'!A:H, 8, FALSE) - F748, ""))</f>
        <v/>
      </c>
      <c r="K748" s="29" t="s">
        <v>175</v>
      </c>
      <c r="L748" s="29" t="b">
        <v>0</v>
      </c>
      <c r="M748" s="29"/>
      <c r="N748" s="29" t="s">
        <v>175</v>
      </c>
      <c r="O748" s="29" t="str">
        <f>IF(ISBLANK(A748), "", LET(entry_day, VLOOKUP(A748, 'Master Roster'!$A:$G, 7, FALSE), start_date, DATE(E748, MONTH(D748&amp;" 1"), entry_day), end_date, EDATE(start_date, 1), period, TEXT(start_date, "mmm d, yyyy") &amp; " - " &amp; TEXT(end_date, "mmm d, yyyy"), HYPERLINK("https://wa.me/" &amp; VLOOKUP(A748, 'Master Roster'!$A:$F, 6, FALSE) &amp; "?text=" &amp; ENCODEURL("Hello " &amp; IFERROR(IF(VLOOKUP(A748, 'Master Roster'!$A:$J, 10, FALSE)="Male", "Mr. ", "Ms. "), "") &amp; B748 &amp; ", payment of K" &amp; F748 &amp; " received for " &amp; period &amp; ". Receipt No: " &amp; N748), "Send Receipt")))</f>
        <v/>
      </c>
    </row>
    <row r="749">
      <c r="A749" s="29"/>
      <c r="B749" s="29" t="s">
        <v>175</v>
      </c>
      <c r="C749" s="76"/>
      <c r="D749" s="29"/>
      <c r="E749" s="29"/>
      <c r="F749" s="29"/>
      <c r="G749" s="29"/>
      <c r="H749" s="29" t="str">
        <f t="shared" si="1"/>
        <v/>
      </c>
      <c r="I749" s="29" t="str">
        <f t="shared" si="2"/>
        <v/>
      </c>
      <c r="J749" s="29" t="str">
        <f>IF(A749="", "", IFERROR(VLOOKUP(A749, 'Master Roster'!A:H, 8, FALSE) - F749, ""))</f>
        <v/>
      </c>
      <c r="K749" s="29" t="s">
        <v>175</v>
      </c>
      <c r="L749" s="29" t="b">
        <v>0</v>
      </c>
      <c r="M749" s="29"/>
      <c r="N749" s="29" t="s">
        <v>175</v>
      </c>
      <c r="O749" s="29" t="str">
        <f>IF(ISBLANK(A749), "", LET(entry_day, VLOOKUP(A749, 'Master Roster'!$A:$G, 7, FALSE), start_date, DATE(E749, MONTH(D749&amp;" 1"), entry_day), end_date, EDATE(start_date, 1), period, TEXT(start_date, "mmm d, yyyy") &amp; " - " &amp; TEXT(end_date, "mmm d, yyyy"), HYPERLINK("https://wa.me/" &amp; VLOOKUP(A749, 'Master Roster'!$A:$F, 6, FALSE) &amp; "?text=" &amp; ENCODEURL("Hello " &amp; IFERROR(IF(VLOOKUP(A749, 'Master Roster'!$A:$J, 10, FALSE)="Male", "Mr. ", "Ms. "), "") &amp; B749 &amp; ", payment of K" &amp; F749 &amp; " received for " &amp; period &amp; ". Receipt No: " &amp; N749), "Send Receipt")))</f>
        <v/>
      </c>
    </row>
    <row r="750">
      <c r="A750" s="29"/>
      <c r="B750" s="29" t="s">
        <v>175</v>
      </c>
      <c r="C750" s="76"/>
      <c r="D750" s="29"/>
      <c r="E750" s="29"/>
      <c r="F750" s="29"/>
      <c r="G750" s="29"/>
      <c r="H750" s="29" t="str">
        <f t="shared" si="1"/>
        <v/>
      </c>
      <c r="I750" s="29" t="str">
        <f t="shared" si="2"/>
        <v/>
      </c>
      <c r="J750" s="29" t="str">
        <f>IF(A750="", "", IFERROR(VLOOKUP(A750, 'Master Roster'!A:H, 8, FALSE) - F750, ""))</f>
        <v/>
      </c>
      <c r="K750" s="29" t="s">
        <v>175</v>
      </c>
      <c r="L750" s="29" t="b">
        <v>0</v>
      </c>
      <c r="M750" s="29"/>
      <c r="N750" s="29" t="s">
        <v>175</v>
      </c>
      <c r="O750" s="29" t="str">
        <f>IF(ISBLANK(A750), "", LET(entry_day, VLOOKUP(A750, 'Master Roster'!$A:$G, 7, FALSE), start_date, DATE(E750, MONTH(D750&amp;" 1"), entry_day), end_date, EDATE(start_date, 1), period, TEXT(start_date, "mmm d, yyyy") &amp; " - " &amp; TEXT(end_date, "mmm d, yyyy"), HYPERLINK("https://wa.me/" &amp; VLOOKUP(A750, 'Master Roster'!$A:$F, 6, FALSE) &amp; "?text=" &amp; ENCODEURL("Hello " &amp; IFERROR(IF(VLOOKUP(A750, 'Master Roster'!$A:$J, 10, FALSE)="Male", "Mr. ", "Ms. "), "") &amp; B750 &amp; ", payment of K" &amp; F750 &amp; " received for " &amp; period &amp; ". Receipt No: " &amp; N750), "Send Receipt")))</f>
        <v/>
      </c>
    </row>
    <row r="751">
      <c r="A751" s="29"/>
      <c r="B751" s="29" t="s">
        <v>175</v>
      </c>
      <c r="C751" s="76"/>
      <c r="D751" s="29"/>
      <c r="E751" s="29"/>
      <c r="F751" s="29"/>
      <c r="G751" s="29"/>
      <c r="H751" s="29" t="str">
        <f t="shared" si="1"/>
        <v/>
      </c>
      <c r="I751" s="29" t="str">
        <f t="shared" si="2"/>
        <v/>
      </c>
      <c r="J751" s="29" t="str">
        <f>IF(A751="", "", IFERROR(VLOOKUP(A751, 'Master Roster'!A:H, 8, FALSE) - F751, ""))</f>
        <v/>
      </c>
      <c r="K751" s="29" t="s">
        <v>175</v>
      </c>
      <c r="L751" s="29" t="b">
        <v>0</v>
      </c>
      <c r="M751" s="29"/>
      <c r="N751" s="29" t="s">
        <v>175</v>
      </c>
      <c r="O751" s="29" t="str">
        <f>IF(ISBLANK(A751), "", LET(entry_day, VLOOKUP(A751, 'Master Roster'!$A:$G, 7, FALSE), start_date, DATE(E751, MONTH(D751&amp;" 1"), entry_day), end_date, EDATE(start_date, 1), period, TEXT(start_date, "mmm d, yyyy") &amp; " - " &amp; TEXT(end_date, "mmm d, yyyy"), HYPERLINK("https://wa.me/" &amp; VLOOKUP(A751, 'Master Roster'!$A:$F, 6, FALSE) &amp; "?text=" &amp; ENCODEURL("Hello " &amp; IFERROR(IF(VLOOKUP(A751, 'Master Roster'!$A:$J, 10, FALSE)="Male", "Mr. ", "Ms. "), "") &amp; B751 &amp; ", payment of K" &amp; F751 &amp; " received for " &amp; period &amp; ". Receipt No: " &amp; N751), "Send Receipt")))</f>
        <v/>
      </c>
    </row>
    <row r="752">
      <c r="A752" s="29"/>
      <c r="B752" s="29" t="s">
        <v>175</v>
      </c>
      <c r="C752" s="76"/>
      <c r="D752" s="29"/>
      <c r="E752" s="29"/>
      <c r="F752" s="29"/>
      <c r="G752" s="29"/>
      <c r="H752" s="29" t="str">
        <f t="shared" si="1"/>
        <v/>
      </c>
      <c r="I752" s="29" t="str">
        <f t="shared" si="2"/>
        <v/>
      </c>
      <c r="J752" s="29" t="str">
        <f>IF(A752="", "", IFERROR(VLOOKUP(A752, 'Master Roster'!A:H, 8, FALSE) - F752, ""))</f>
        <v/>
      </c>
      <c r="K752" s="29" t="s">
        <v>175</v>
      </c>
      <c r="L752" s="29" t="b">
        <v>0</v>
      </c>
      <c r="M752" s="29"/>
      <c r="N752" s="29" t="s">
        <v>175</v>
      </c>
      <c r="O752" s="29" t="str">
        <f>IF(ISBLANK(A752), "", LET(entry_day, VLOOKUP(A752, 'Master Roster'!$A:$G, 7, FALSE), start_date, DATE(E752, MONTH(D752&amp;" 1"), entry_day), end_date, EDATE(start_date, 1), period, TEXT(start_date, "mmm d, yyyy") &amp; " - " &amp; TEXT(end_date, "mmm d, yyyy"), HYPERLINK("https://wa.me/" &amp; VLOOKUP(A752, 'Master Roster'!$A:$F, 6, FALSE) &amp; "?text=" &amp; ENCODEURL("Hello " &amp; IFERROR(IF(VLOOKUP(A752, 'Master Roster'!$A:$J, 10, FALSE)="Male", "Mr. ", "Ms. "), "") &amp; B752 &amp; ", payment of K" &amp; F752 &amp; " received for " &amp; period &amp; ". Receipt No: " &amp; N752), "Send Receipt")))</f>
        <v/>
      </c>
    </row>
    <row r="753">
      <c r="A753" s="29"/>
      <c r="B753" s="29" t="s">
        <v>175</v>
      </c>
      <c r="C753" s="76"/>
      <c r="D753" s="29"/>
      <c r="E753" s="29"/>
      <c r="F753" s="29"/>
      <c r="G753" s="29"/>
      <c r="H753" s="29" t="str">
        <f t="shared" si="1"/>
        <v/>
      </c>
      <c r="I753" s="29" t="str">
        <f t="shared" si="2"/>
        <v/>
      </c>
      <c r="J753" s="29" t="str">
        <f>IF(A753="", "", IFERROR(VLOOKUP(A753, 'Master Roster'!A:H, 8, FALSE) - F753, ""))</f>
        <v/>
      </c>
      <c r="K753" s="29" t="s">
        <v>175</v>
      </c>
      <c r="L753" s="29" t="b">
        <v>0</v>
      </c>
      <c r="M753" s="29"/>
      <c r="N753" s="29" t="s">
        <v>175</v>
      </c>
      <c r="O753" s="29" t="str">
        <f>IF(ISBLANK(A753), "", LET(entry_day, VLOOKUP(A753, 'Master Roster'!$A:$G, 7, FALSE), start_date, DATE(E753, MONTH(D753&amp;" 1"), entry_day), end_date, EDATE(start_date, 1), period, TEXT(start_date, "mmm d, yyyy") &amp; " - " &amp; TEXT(end_date, "mmm d, yyyy"), HYPERLINK("https://wa.me/" &amp; VLOOKUP(A753, 'Master Roster'!$A:$F, 6, FALSE) &amp; "?text=" &amp; ENCODEURL("Hello " &amp; IFERROR(IF(VLOOKUP(A753, 'Master Roster'!$A:$J, 10, FALSE)="Male", "Mr. ", "Ms. "), "") &amp; B753 &amp; ", payment of K" &amp; F753 &amp; " received for " &amp; period &amp; ". Receipt No: " &amp; N753), "Send Receipt")))</f>
        <v/>
      </c>
    </row>
    <row r="754">
      <c r="A754" s="29"/>
      <c r="B754" s="29" t="s">
        <v>175</v>
      </c>
      <c r="C754" s="76"/>
      <c r="D754" s="29"/>
      <c r="E754" s="29"/>
      <c r="F754" s="29"/>
      <c r="G754" s="29"/>
      <c r="H754" s="29" t="str">
        <f t="shared" si="1"/>
        <v/>
      </c>
      <c r="I754" s="29" t="str">
        <f t="shared" si="2"/>
        <v/>
      </c>
      <c r="J754" s="29" t="str">
        <f>IF(A754="", "", IFERROR(VLOOKUP(A754, 'Master Roster'!A:H, 8, FALSE) - F754, ""))</f>
        <v/>
      </c>
      <c r="K754" s="29" t="s">
        <v>175</v>
      </c>
      <c r="L754" s="29" t="b">
        <v>0</v>
      </c>
      <c r="M754" s="29"/>
      <c r="N754" s="29" t="s">
        <v>175</v>
      </c>
      <c r="O754" s="29" t="str">
        <f>IF(ISBLANK(A754), "", LET(entry_day, VLOOKUP(A754, 'Master Roster'!$A:$G, 7, FALSE), start_date, DATE(E754, MONTH(D754&amp;" 1"), entry_day), end_date, EDATE(start_date, 1), period, TEXT(start_date, "mmm d, yyyy") &amp; " - " &amp; TEXT(end_date, "mmm d, yyyy"), HYPERLINK("https://wa.me/" &amp; VLOOKUP(A754, 'Master Roster'!$A:$F, 6, FALSE) &amp; "?text=" &amp; ENCODEURL("Hello " &amp; IFERROR(IF(VLOOKUP(A754, 'Master Roster'!$A:$J, 10, FALSE)="Male", "Mr. ", "Ms. "), "") &amp; B754 &amp; ", payment of K" &amp; F754 &amp; " received for " &amp; period &amp; ". Receipt No: " &amp; N754), "Send Receipt")))</f>
        <v/>
      </c>
    </row>
    <row r="755">
      <c r="A755" s="29"/>
      <c r="B755" s="29" t="s">
        <v>175</v>
      </c>
      <c r="C755" s="76"/>
      <c r="D755" s="29"/>
      <c r="E755" s="29"/>
      <c r="F755" s="29"/>
      <c r="G755" s="29"/>
      <c r="H755" s="29" t="str">
        <f t="shared" si="1"/>
        <v/>
      </c>
      <c r="I755" s="29" t="str">
        <f t="shared" si="2"/>
        <v/>
      </c>
      <c r="J755" s="29" t="str">
        <f>IF(A755="", "", IFERROR(VLOOKUP(A755, 'Master Roster'!A:H, 8, FALSE) - F755, ""))</f>
        <v/>
      </c>
      <c r="K755" s="29" t="s">
        <v>175</v>
      </c>
      <c r="L755" s="29" t="b">
        <v>0</v>
      </c>
      <c r="M755" s="29"/>
      <c r="N755" s="29" t="s">
        <v>175</v>
      </c>
      <c r="O755" s="29" t="str">
        <f>IF(ISBLANK(A755), "", LET(entry_day, VLOOKUP(A755, 'Master Roster'!$A:$G, 7, FALSE), start_date, DATE(E755, MONTH(D755&amp;" 1"), entry_day), end_date, EDATE(start_date, 1), period, TEXT(start_date, "mmm d, yyyy") &amp; " - " &amp; TEXT(end_date, "mmm d, yyyy"), HYPERLINK("https://wa.me/" &amp; VLOOKUP(A755, 'Master Roster'!$A:$F, 6, FALSE) &amp; "?text=" &amp; ENCODEURL("Hello " &amp; IFERROR(IF(VLOOKUP(A755, 'Master Roster'!$A:$J, 10, FALSE)="Male", "Mr. ", "Ms. "), "") &amp; B755 &amp; ", payment of K" &amp; F755 &amp; " received for " &amp; period &amp; ". Receipt No: " &amp; N755), "Send Receipt")))</f>
        <v/>
      </c>
    </row>
    <row r="756">
      <c r="A756" s="29"/>
      <c r="B756" s="29" t="s">
        <v>175</v>
      </c>
      <c r="C756" s="76"/>
      <c r="D756" s="29"/>
      <c r="E756" s="29"/>
      <c r="F756" s="29"/>
      <c r="G756" s="29"/>
      <c r="H756" s="29" t="str">
        <f t="shared" si="1"/>
        <v/>
      </c>
      <c r="I756" s="29" t="str">
        <f t="shared" si="2"/>
        <v/>
      </c>
      <c r="J756" s="29" t="str">
        <f>IF(A756="", "", IFERROR(VLOOKUP(A756, 'Master Roster'!A:H, 8, FALSE) - F756, ""))</f>
        <v/>
      </c>
      <c r="K756" s="29" t="s">
        <v>175</v>
      </c>
      <c r="L756" s="29" t="b">
        <v>0</v>
      </c>
      <c r="M756" s="29"/>
      <c r="N756" s="29" t="s">
        <v>175</v>
      </c>
      <c r="O756" s="29" t="str">
        <f>IF(ISBLANK(A756), "", LET(entry_day, VLOOKUP(A756, 'Master Roster'!$A:$G, 7, FALSE), start_date, DATE(E756, MONTH(D756&amp;" 1"), entry_day), end_date, EDATE(start_date, 1), period, TEXT(start_date, "mmm d, yyyy") &amp; " - " &amp; TEXT(end_date, "mmm d, yyyy"), HYPERLINK("https://wa.me/" &amp; VLOOKUP(A756, 'Master Roster'!$A:$F, 6, FALSE) &amp; "?text=" &amp; ENCODEURL("Hello " &amp; IFERROR(IF(VLOOKUP(A756, 'Master Roster'!$A:$J, 10, FALSE)="Male", "Mr. ", "Ms. "), "") &amp; B756 &amp; ", payment of K" &amp; F756 &amp; " received for " &amp; period &amp; ". Receipt No: " &amp; N756), "Send Receipt")))</f>
        <v/>
      </c>
    </row>
    <row r="757">
      <c r="A757" s="29"/>
      <c r="B757" s="29" t="s">
        <v>175</v>
      </c>
      <c r="C757" s="76"/>
      <c r="D757" s="29"/>
      <c r="E757" s="29"/>
      <c r="F757" s="29"/>
      <c r="G757" s="29"/>
      <c r="H757" s="29" t="str">
        <f t="shared" si="1"/>
        <v/>
      </c>
      <c r="I757" s="29" t="str">
        <f t="shared" si="2"/>
        <v/>
      </c>
      <c r="J757" s="29" t="str">
        <f>IF(A757="", "", IFERROR(VLOOKUP(A757, 'Master Roster'!A:H, 8, FALSE) - F757, ""))</f>
        <v/>
      </c>
      <c r="K757" s="29" t="s">
        <v>175</v>
      </c>
      <c r="L757" s="29" t="b">
        <v>0</v>
      </c>
      <c r="M757" s="29"/>
      <c r="N757" s="29" t="s">
        <v>175</v>
      </c>
      <c r="O757" s="29" t="str">
        <f>IF(ISBLANK(A757), "", LET(entry_day, VLOOKUP(A757, 'Master Roster'!$A:$G, 7, FALSE), start_date, DATE(E757, MONTH(D757&amp;" 1"), entry_day), end_date, EDATE(start_date, 1), period, TEXT(start_date, "mmm d, yyyy") &amp; " - " &amp; TEXT(end_date, "mmm d, yyyy"), HYPERLINK("https://wa.me/" &amp; VLOOKUP(A757, 'Master Roster'!$A:$F, 6, FALSE) &amp; "?text=" &amp; ENCODEURL("Hello " &amp; IFERROR(IF(VLOOKUP(A757, 'Master Roster'!$A:$J, 10, FALSE)="Male", "Mr. ", "Ms. "), "") &amp; B757 &amp; ", payment of K" &amp; F757 &amp; " received for " &amp; period &amp; ". Receipt No: " &amp; N757), "Send Receipt")))</f>
        <v/>
      </c>
    </row>
    <row r="758">
      <c r="A758" s="29"/>
      <c r="B758" s="29" t="s">
        <v>175</v>
      </c>
      <c r="C758" s="76"/>
      <c r="D758" s="29"/>
      <c r="E758" s="29"/>
      <c r="F758" s="29"/>
      <c r="G758" s="29"/>
      <c r="H758" s="29" t="str">
        <f t="shared" si="1"/>
        <v/>
      </c>
      <c r="I758" s="29" t="str">
        <f t="shared" si="2"/>
        <v/>
      </c>
      <c r="J758" s="29" t="str">
        <f>IF(A758="", "", IFERROR(VLOOKUP(A758, 'Master Roster'!A:H, 8, FALSE) - F758, ""))</f>
        <v/>
      </c>
      <c r="K758" s="29" t="s">
        <v>175</v>
      </c>
      <c r="L758" s="29" t="b">
        <v>0</v>
      </c>
      <c r="M758" s="29"/>
      <c r="N758" s="29" t="s">
        <v>175</v>
      </c>
      <c r="O758" s="29" t="str">
        <f>IF(ISBLANK(A758), "", LET(entry_day, VLOOKUP(A758, 'Master Roster'!$A:$G, 7, FALSE), start_date, DATE(E758, MONTH(D758&amp;" 1"), entry_day), end_date, EDATE(start_date, 1), period, TEXT(start_date, "mmm d, yyyy") &amp; " - " &amp; TEXT(end_date, "mmm d, yyyy"), HYPERLINK("https://wa.me/" &amp; VLOOKUP(A758, 'Master Roster'!$A:$F, 6, FALSE) &amp; "?text=" &amp; ENCODEURL("Hello " &amp; IFERROR(IF(VLOOKUP(A758, 'Master Roster'!$A:$J, 10, FALSE)="Male", "Mr. ", "Ms. "), "") &amp; B758 &amp; ", payment of K" &amp; F758 &amp; " received for " &amp; period &amp; ". Receipt No: " &amp; N758), "Send Receipt")))</f>
        <v/>
      </c>
    </row>
    <row r="759">
      <c r="A759" s="29"/>
      <c r="B759" s="29" t="s">
        <v>175</v>
      </c>
      <c r="C759" s="76"/>
      <c r="D759" s="29"/>
      <c r="E759" s="29"/>
      <c r="F759" s="29"/>
      <c r="G759" s="29"/>
      <c r="H759" s="29" t="str">
        <f t="shared" si="1"/>
        <v/>
      </c>
      <c r="I759" s="29" t="str">
        <f t="shared" si="2"/>
        <v/>
      </c>
      <c r="J759" s="29" t="str">
        <f>IF(A759="", "", IFERROR(VLOOKUP(A759, 'Master Roster'!A:H, 8, FALSE) - F759, ""))</f>
        <v/>
      </c>
      <c r="K759" s="29" t="s">
        <v>175</v>
      </c>
      <c r="L759" s="29" t="b">
        <v>0</v>
      </c>
      <c r="M759" s="29"/>
      <c r="N759" s="29" t="s">
        <v>175</v>
      </c>
      <c r="O759" s="29" t="str">
        <f>IF(ISBLANK(A759), "", LET(entry_day, VLOOKUP(A759, 'Master Roster'!$A:$G, 7, FALSE), start_date, DATE(E759, MONTH(D759&amp;" 1"), entry_day), end_date, EDATE(start_date, 1), period, TEXT(start_date, "mmm d, yyyy") &amp; " - " &amp; TEXT(end_date, "mmm d, yyyy"), HYPERLINK("https://wa.me/" &amp; VLOOKUP(A759, 'Master Roster'!$A:$F, 6, FALSE) &amp; "?text=" &amp; ENCODEURL("Hello " &amp; IFERROR(IF(VLOOKUP(A759, 'Master Roster'!$A:$J, 10, FALSE)="Male", "Mr. ", "Ms. "), "") &amp; B759 &amp; ", payment of K" &amp; F759 &amp; " received for " &amp; period &amp; ". Receipt No: " &amp; N759), "Send Receipt")))</f>
        <v/>
      </c>
    </row>
    <row r="760">
      <c r="A760" s="29"/>
      <c r="B760" s="29" t="s">
        <v>175</v>
      </c>
      <c r="C760" s="76"/>
      <c r="D760" s="29"/>
      <c r="E760" s="29"/>
      <c r="F760" s="29"/>
      <c r="G760" s="29"/>
      <c r="H760" s="29" t="str">
        <f t="shared" si="1"/>
        <v/>
      </c>
      <c r="I760" s="29" t="str">
        <f t="shared" si="2"/>
        <v/>
      </c>
      <c r="J760" s="29" t="str">
        <f>IF(A760="", "", IFERROR(VLOOKUP(A760, 'Master Roster'!A:H, 8, FALSE) - F760, ""))</f>
        <v/>
      </c>
      <c r="K760" s="29" t="s">
        <v>175</v>
      </c>
      <c r="L760" s="29" t="b">
        <v>0</v>
      </c>
      <c r="M760" s="29"/>
      <c r="N760" s="29" t="s">
        <v>175</v>
      </c>
      <c r="O760" s="29" t="str">
        <f>IF(ISBLANK(A760), "", LET(entry_day, VLOOKUP(A760, 'Master Roster'!$A:$G, 7, FALSE), start_date, DATE(E760, MONTH(D760&amp;" 1"), entry_day), end_date, EDATE(start_date, 1), period, TEXT(start_date, "mmm d, yyyy") &amp; " - " &amp; TEXT(end_date, "mmm d, yyyy"), HYPERLINK("https://wa.me/" &amp; VLOOKUP(A760, 'Master Roster'!$A:$F, 6, FALSE) &amp; "?text=" &amp; ENCODEURL("Hello " &amp; IFERROR(IF(VLOOKUP(A760, 'Master Roster'!$A:$J, 10, FALSE)="Male", "Mr. ", "Ms. "), "") &amp; B760 &amp; ", payment of K" &amp; F760 &amp; " received for " &amp; period &amp; ". Receipt No: " &amp; N760), "Send Receipt")))</f>
        <v/>
      </c>
    </row>
    <row r="761">
      <c r="A761" s="29"/>
      <c r="B761" s="29" t="s">
        <v>175</v>
      </c>
      <c r="C761" s="76"/>
      <c r="D761" s="29"/>
      <c r="E761" s="29"/>
      <c r="F761" s="29"/>
      <c r="G761" s="29"/>
      <c r="H761" s="29" t="str">
        <f t="shared" si="1"/>
        <v/>
      </c>
      <c r="I761" s="29" t="str">
        <f t="shared" si="2"/>
        <v/>
      </c>
      <c r="J761" s="29" t="str">
        <f>IF(A761="", "", IFERROR(VLOOKUP(A761, 'Master Roster'!A:H, 8, FALSE) - F761, ""))</f>
        <v/>
      </c>
      <c r="K761" s="29" t="s">
        <v>175</v>
      </c>
      <c r="L761" s="29" t="b">
        <v>0</v>
      </c>
      <c r="M761" s="29"/>
      <c r="N761" s="29" t="s">
        <v>175</v>
      </c>
      <c r="O761" s="29" t="str">
        <f>IF(ISBLANK(A761), "", LET(entry_day, VLOOKUP(A761, 'Master Roster'!$A:$G, 7, FALSE), start_date, DATE(E761, MONTH(D761&amp;" 1"), entry_day), end_date, EDATE(start_date, 1), period, TEXT(start_date, "mmm d, yyyy") &amp; " - " &amp; TEXT(end_date, "mmm d, yyyy"), HYPERLINK("https://wa.me/" &amp; VLOOKUP(A761, 'Master Roster'!$A:$F, 6, FALSE) &amp; "?text=" &amp; ENCODEURL("Hello " &amp; IFERROR(IF(VLOOKUP(A761, 'Master Roster'!$A:$J, 10, FALSE)="Male", "Mr. ", "Ms. "), "") &amp; B761 &amp; ", payment of K" &amp; F761 &amp; " received for " &amp; period &amp; ". Receipt No: " &amp; N761), "Send Receipt")))</f>
        <v/>
      </c>
    </row>
    <row r="762">
      <c r="A762" s="29"/>
      <c r="B762" s="29" t="s">
        <v>175</v>
      </c>
      <c r="C762" s="76"/>
      <c r="D762" s="29"/>
      <c r="E762" s="29"/>
      <c r="F762" s="29"/>
      <c r="G762" s="29"/>
      <c r="H762" s="29" t="str">
        <f t="shared" si="1"/>
        <v/>
      </c>
      <c r="I762" s="29" t="str">
        <f t="shared" si="2"/>
        <v/>
      </c>
      <c r="J762" s="29" t="str">
        <f>IF(A762="", "", IFERROR(VLOOKUP(A762, 'Master Roster'!A:H, 8, FALSE) - F762, ""))</f>
        <v/>
      </c>
      <c r="K762" s="29" t="s">
        <v>175</v>
      </c>
      <c r="L762" s="29" t="b">
        <v>0</v>
      </c>
      <c r="M762" s="29"/>
      <c r="N762" s="29" t="s">
        <v>175</v>
      </c>
      <c r="O762" s="29" t="str">
        <f>IF(ISBLANK(A762), "", LET(entry_day, VLOOKUP(A762, 'Master Roster'!$A:$G, 7, FALSE), start_date, DATE(E762, MONTH(D762&amp;" 1"), entry_day), end_date, EDATE(start_date, 1), period, TEXT(start_date, "mmm d, yyyy") &amp; " - " &amp; TEXT(end_date, "mmm d, yyyy"), HYPERLINK("https://wa.me/" &amp; VLOOKUP(A762, 'Master Roster'!$A:$F, 6, FALSE) &amp; "?text=" &amp; ENCODEURL("Hello " &amp; IFERROR(IF(VLOOKUP(A762, 'Master Roster'!$A:$J, 10, FALSE)="Male", "Mr. ", "Ms. "), "") &amp; B762 &amp; ", payment of K" &amp; F762 &amp; " received for " &amp; period &amp; ". Receipt No: " &amp; N762), "Send Receipt")))</f>
        <v/>
      </c>
    </row>
    <row r="763">
      <c r="A763" s="29"/>
      <c r="B763" s="29" t="s">
        <v>175</v>
      </c>
      <c r="C763" s="76"/>
      <c r="D763" s="29"/>
      <c r="E763" s="29"/>
      <c r="F763" s="29"/>
      <c r="G763" s="29"/>
      <c r="H763" s="29" t="str">
        <f t="shared" si="1"/>
        <v/>
      </c>
      <c r="I763" s="29" t="str">
        <f t="shared" si="2"/>
        <v/>
      </c>
      <c r="J763" s="29" t="str">
        <f>IF(A763="", "", IFERROR(VLOOKUP(A763, 'Master Roster'!A:H, 8, FALSE) - F763, ""))</f>
        <v/>
      </c>
      <c r="K763" s="29" t="s">
        <v>175</v>
      </c>
      <c r="L763" s="29" t="b">
        <v>0</v>
      </c>
      <c r="M763" s="29"/>
      <c r="N763" s="29" t="s">
        <v>175</v>
      </c>
      <c r="O763" s="29" t="str">
        <f>IF(ISBLANK(A763), "", LET(entry_day, VLOOKUP(A763, 'Master Roster'!$A:$G, 7, FALSE), start_date, DATE(E763, MONTH(D763&amp;" 1"), entry_day), end_date, EDATE(start_date, 1), period, TEXT(start_date, "mmm d, yyyy") &amp; " - " &amp; TEXT(end_date, "mmm d, yyyy"), HYPERLINK("https://wa.me/" &amp; VLOOKUP(A763, 'Master Roster'!$A:$F, 6, FALSE) &amp; "?text=" &amp; ENCODEURL("Hello " &amp; IFERROR(IF(VLOOKUP(A763, 'Master Roster'!$A:$J, 10, FALSE)="Male", "Mr. ", "Ms. "), "") &amp; B763 &amp; ", payment of K" &amp; F763 &amp; " received for " &amp; period &amp; ". Receipt No: " &amp; N763), "Send Receipt")))</f>
        <v/>
      </c>
    </row>
    <row r="764">
      <c r="A764" s="29"/>
      <c r="B764" s="29" t="s">
        <v>175</v>
      </c>
      <c r="C764" s="76"/>
      <c r="D764" s="29"/>
      <c r="E764" s="29"/>
      <c r="F764" s="29"/>
      <c r="G764" s="29"/>
      <c r="H764" s="29" t="str">
        <f t="shared" si="1"/>
        <v/>
      </c>
      <c r="I764" s="29" t="str">
        <f t="shared" si="2"/>
        <v/>
      </c>
      <c r="J764" s="29" t="str">
        <f>IF(A764="", "", IFERROR(VLOOKUP(A764, 'Master Roster'!A:H, 8, FALSE) - F764, ""))</f>
        <v/>
      </c>
      <c r="K764" s="29" t="s">
        <v>175</v>
      </c>
      <c r="L764" s="29" t="b">
        <v>0</v>
      </c>
      <c r="M764" s="29"/>
      <c r="N764" s="29" t="s">
        <v>175</v>
      </c>
      <c r="O764" s="29" t="str">
        <f>IF(ISBLANK(A764), "", LET(entry_day, VLOOKUP(A764, 'Master Roster'!$A:$G, 7, FALSE), start_date, DATE(E764, MONTH(D764&amp;" 1"), entry_day), end_date, EDATE(start_date, 1), period, TEXT(start_date, "mmm d, yyyy") &amp; " - " &amp; TEXT(end_date, "mmm d, yyyy"), HYPERLINK("https://wa.me/" &amp; VLOOKUP(A764, 'Master Roster'!$A:$F, 6, FALSE) &amp; "?text=" &amp; ENCODEURL("Hello " &amp; IFERROR(IF(VLOOKUP(A764, 'Master Roster'!$A:$J, 10, FALSE)="Male", "Mr. ", "Ms. "), "") &amp; B764 &amp; ", payment of K" &amp; F764 &amp; " received for " &amp; period &amp; ". Receipt No: " &amp; N764), "Send Receipt")))</f>
        <v/>
      </c>
    </row>
    <row r="765">
      <c r="A765" s="29"/>
      <c r="B765" s="29" t="s">
        <v>175</v>
      </c>
      <c r="C765" s="76"/>
      <c r="D765" s="29"/>
      <c r="E765" s="29"/>
      <c r="F765" s="29"/>
      <c r="G765" s="29"/>
      <c r="H765" s="29" t="str">
        <f t="shared" si="1"/>
        <v/>
      </c>
      <c r="I765" s="29" t="str">
        <f t="shared" si="2"/>
        <v/>
      </c>
      <c r="J765" s="29" t="str">
        <f>IF(A765="", "", IFERROR(VLOOKUP(A765, 'Master Roster'!A:H, 8, FALSE) - F765, ""))</f>
        <v/>
      </c>
      <c r="K765" s="29" t="s">
        <v>175</v>
      </c>
      <c r="L765" s="29" t="b">
        <v>0</v>
      </c>
      <c r="M765" s="29"/>
      <c r="N765" s="29" t="s">
        <v>175</v>
      </c>
      <c r="O765" s="29" t="str">
        <f>IF(ISBLANK(A765), "", LET(entry_day, VLOOKUP(A765, 'Master Roster'!$A:$G, 7, FALSE), start_date, DATE(E765, MONTH(D765&amp;" 1"), entry_day), end_date, EDATE(start_date, 1), period, TEXT(start_date, "mmm d, yyyy") &amp; " - " &amp; TEXT(end_date, "mmm d, yyyy"), HYPERLINK("https://wa.me/" &amp; VLOOKUP(A765, 'Master Roster'!$A:$F, 6, FALSE) &amp; "?text=" &amp; ENCODEURL("Hello " &amp; IFERROR(IF(VLOOKUP(A765, 'Master Roster'!$A:$J, 10, FALSE)="Male", "Mr. ", "Ms. "), "") &amp; B765 &amp; ", payment of K" &amp; F765 &amp; " received for " &amp; period &amp; ". Receipt No: " &amp; N765), "Send Receipt")))</f>
        <v/>
      </c>
    </row>
    <row r="766">
      <c r="A766" s="29"/>
      <c r="B766" s="29" t="s">
        <v>175</v>
      </c>
      <c r="C766" s="76"/>
      <c r="D766" s="29"/>
      <c r="E766" s="29"/>
      <c r="F766" s="29"/>
      <c r="G766" s="29"/>
      <c r="H766" s="29" t="str">
        <f t="shared" si="1"/>
        <v/>
      </c>
      <c r="I766" s="29" t="str">
        <f t="shared" si="2"/>
        <v/>
      </c>
      <c r="J766" s="29" t="str">
        <f>IF(A766="", "", IFERROR(VLOOKUP(A766, 'Master Roster'!A:H, 8, FALSE) - F766, ""))</f>
        <v/>
      </c>
      <c r="K766" s="29" t="s">
        <v>175</v>
      </c>
      <c r="L766" s="29" t="b">
        <v>0</v>
      </c>
      <c r="M766" s="29"/>
      <c r="N766" s="29" t="s">
        <v>175</v>
      </c>
      <c r="O766" s="29" t="str">
        <f>IF(ISBLANK(A766), "", LET(entry_day, VLOOKUP(A766, 'Master Roster'!$A:$G, 7, FALSE), start_date, DATE(E766, MONTH(D766&amp;" 1"), entry_day), end_date, EDATE(start_date, 1), period, TEXT(start_date, "mmm d, yyyy") &amp; " - " &amp; TEXT(end_date, "mmm d, yyyy"), HYPERLINK("https://wa.me/" &amp; VLOOKUP(A766, 'Master Roster'!$A:$F, 6, FALSE) &amp; "?text=" &amp; ENCODEURL("Hello " &amp; IFERROR(IF(VLOOKUP(A766, 'Master Roster'!$A:$J, 10, FALSE)="Male", "Mr. ", "Ms. "), "") &amp; B766 &amp; ", payment of K" &amp; F766 &amp; " received for " &amp; period &amp; ". Receipt No: " &amp; N766), "Send Receipt")))</f>
        <v/>
      </c>
    </row>
    <row r="767">
      <c r="A767" s="29"/>
      <c r="B767" s="29" t="s">
        <v>175</v>
      </c>
      <c r="C767" s="76"/>
      <c r="D767" s="29"/>
      <c r="E767" s="29"/>
      <c r="F767" s="29"/>
      <c r="G767" s="29"/>
      <c r="H767" s="29" t="str">
        <f t="shared" si="1"/>
        <v/>
      </c>
      <c r="I767" s="29" t="str">
        <f t="shared" si="2"/>
        <v/>
      </c>
      <c r="J767" s="29" t="str">
        <f>IF(A767="", "", IFERROR(VLOOKUP(A767, 'Master Roster'!A:H, 8, FALSE) - F767, ""))</f>
        <v/>
      </c>
      <c r="K767" s="29" t="s">
        <v>175</v>
      </c>
      <c r="L767" s="29" t="b">
        <v>0</v>
      </c>
      <c r="M767" s="29"/>
      <c r="N767" s="29" t="s">
        <v>175</v>
      </c>
      <c r="O767" s="29" t="str">
        <f>IF(ISBLANK(A767), "", LET(entry_day, VLOOKUP(A767, 'Master Roster'!$A:$G, 7, FALSE), start_date, DATE(E767, MONTH(D767&amp;" 1"), entry_day), end_date, EDATE(start_date, 1), period, TEXT(start_date, "mmm d, yyyy") &amp; " - " &amp; TEXT(end_date, "mmm d, yyyy"), HYPERLINK("https://wa.me/" &amp; VLOOKUP(A767, 'Master Roster'!$A:$F, 6, FALSE) &amp; "?text=" &amp; ENCODEURL("Hello " &amp; IFERROR(IF(VLOOKUP(A767, 'Master Roster'!$A:$J, 10, FALSE)="Male", "Mr. ", "Ms. "), "") &amp; B767 &amp; ", payment of K" &amp; F767 &amp; " received for " &amp; period &amp; ". Receipt No: " &amp; N767), "Send Receipt")))</f>
        <v/>
      </c>
    </row>
    <row r="768">
      <c r="A768" s="29"/>
      <c r="B768" s="29" t="s">
        <v>175</v>
      </c>
      <c r="C768" s="76"/>
      <c r="D768" s="29"/>
      <c r="E768" s="29"/>
      <c r="F768" s="29"/>
      <c r="G768" s="29"/>
      <c r="H768" s="29" t="str">
        <f t="shared" si="1"/>
        <v/>
      </c>
      <c r="I768" s="29" t="str">
        <f t="shared" si="2"/>
        <v/>
      </c>
      <c r="J768" s="29" t="str">
        <f>IF(A768="", "", IFERROR(VLOOKUP(A768, 'Master Roster'!A:H, 8, FALSE) - F768, ""))</f>
        <v/>
      </c>
      <c r="K768" s="29" t="s">
        <v>175</v>
      </c>
      <c r="L768" s="29" t="b">
        <v>0</v>
      </c>
      <c r="M768" s="29"/>
      <c r="N768" s="29" t="s">
        <v>175</v>
      </c>
      <c r="O768" s="29" t="str">
        <f>IF(ISBLANK(A768), "", LET(entry_day, VLOOKUP(A768, 'Master Roster'!$A:$G, 7, FALSE), start_date, DATE(E768, MONTH(D768&amp;" 1"), entry_day), end_date, EDATE(start_date, 1), period, TEXT(start_date, "mmm d, yyyy") &amp; " - " &amp; TEXT(end_date, "mmm d, yyyy"), HYPERLINK("https://wa.me/" &amp; VLOOKUP(A768, 'Master Roster'!$A:$F, 6, FALSE) &amp; "?text=" &amp; ENCODEURL("Hello " &amp; IFERROR(IF(VLOOKUP(A768, 'Master Roster'!$A:$J, 10, FALSE)="Male", "Mr. ", "Ms. "), "") &amp; B768 &amp; ", payment of K" &amp; F768 &amp; " received for " &amp; period &amp; ". Receipt No: " &amp; N768), "Send Receipt")))</f>
        <v/>
      </c>
    </row>
    <row r="769">
      <c r="A769" s="29"/>
      <c r="B769" s="29" t="s">
        <v>175</v>
      </c>
      <c r="C769" s="76"/>
      <c r="D769" s="29"/>
      <c r="E769" s="29"/>
      <c r="F769" s="29"/>
      <c r="G769" s="29"/>
      <c r="H769" s="29" t="str">
        <f t="shared" si="1"/>
        <v/>
      </c>
      <c r="I769" s="29" t="str">
        <f t="shared" si="2"/>
        <v/>
      </c>
      <c r="J769" s="29" t="str">
        <f>IF(A769="", "", IFERROR(VLOOKUP(A769, 'Master Roster'!A:H, 8, FALSE) - F769, ""))</f>
        <v/>
      </c>
      <c r="K769" s="29" t="s">
        <v>175</v>
      </c>
      <c r="L769" s="29" t="b">
        <v>0</v>
      </c>
      <c r="M769" s="29"/>
      <c r="N769" s="29" t="s">
        <v>175</v>
      </c>
      <c r="O769" s="29" t="str">
        <f>IF(ISBLANK(A769), "", LET(entry_day, VLOOKUP(A769, 'Master Roster'!$A:$G, 7, FALSE), start_date, DATE(E769, MONTH(D769&amp;" 1"), entry_day), end_date, EDATE(start_date, 1), period, TEXT(start_date, "mmm d, yyyy") &amp; " - " &amp; TEXT(end_date, "mmm d, yyyy"), HYPERLINK("https://wa.me/" &amp; VLOOKUP(A769, 'Master Roster'!$A:$F, 6, FALSE) &amp; "?text=" &amp; ENCODEURL("Hello " &amp; IFERROR(IF(VLOOKUP(A769, 'Master Roster'!$A:$J, 10, FALSE)="Male", "Mr. ", "Ms. "), "") &amp; B769 &amp; ", payment of K" &amp; F769 &amp; " received for " &amp; period &amp; ". Receipt No: " &amp; N769), "Send Receipt")))</f>
        <v/>
      </c>
    </row>
    <row r="770">
      <c r="A770" s="29"/>
      <c r="B770" s="29" t="s">
        <v>175</v>
      </c>
      <c r="C770" s="76"/>
      <c r="D770" s="29"/>
      <c r="E770" s="29"/>
      <c r="F770" s="29"/>
      <c r="G770" s="29"/>
      <c r="H770" s="29" t="str">
        <f t="shared" si="1"/>
        <v/>
      </c>
      <c r="I770" s="29" t="str">
        <f t="shared" si="2"/>
        <v/>
      </c>
      <c r="J770" s="29" t="str">
        <f>IF(A770="", "", IFERROR(VLOOKUP(A770, 'Master Roster'!A:H, 8, FALSE) - F770, ""))</f>
        <v/>
      </c>
      <c r="K770" s="29" t="s">
        <v>175</v>
      </c>
      <c r="L770" s="29" t="b">
        <v>0</v>
      </c>
      <c r="M770" s="29"/>
      <c r="N770" s="29" t="s">
        <v>175</v>
      </c>
      <c r="O770" s="29" t="str">
        <f>IF(ISBLANK(A770), "", LET(entry_day, VLOOKUP(A770, 'Master Roster'!$A:$G, 7, FALSE), start_date, DATE(E770, MONTH(D770&amp;" 1"), entry_day), end_date, EDATE(start_date, 1), period, TEXT(start_date, "mmm d, yyyy") &amp; " - " &amp; TEXT(end_date, "mmm d, yyyy"), HYPERLINK("https://wa.me/" &amp; VLOOKUP(A770, 'Master Roster'!$A:$F, 6, FALSE) &amp; "?text=" &amp; ENCODEURL("Hello " &amp; IFERROR(IF(VLOOKUP(A770, 'Master Roster'!$A:$J, 10, FALSE)="Male", "Mr. ", "Ms. "), "") &amp; B770 &amp; ", payment of K" &amp; F770 &amp; " received for " &amp; period &amp; ". Receipt No: " &amp; N770), "Send Receipt")))</f>
        <v/>
      </c>
    </row>
    <row r="771">
      <c r="A771" s="29"/>
      <c r="B771" s="29" t="s">
        <v>175</v>
      </c>
      <c r="C771" s="76"/>
      <c r="D771" s="29"/>
      <c r="E771" s="29"/>
      <c r="F771" s="29"/>
      <c r="G771" s="29"/>
      <c r="H771" s="29" t="str">
        <f t="shared" si="1"/>
        <v/>
      </c>
      <c r="I771" s="29" t="str">
        <f t="shared" si="2"/>
        <v/>
      </c>
      <c r="J771" s="29" t="str">
        <f>IF(A771="", "", IFERROR(VLOOKUP(A771, 'Master Roster'!A:H, 8, FALSE) - F771, ""))</f>
        <v/>
      </c>
      <c r="K771" s="29" t="s">
        <v>175</v>
      </c>
      <c r="L771" s="29" t="b">
        <v>0</v>
      </c>
      <c r="M771" s="29"/>
      <c r="N771" s="29" t="s">
        <v>175</v>
      </c>
      <c r="O771" s="29" t="str">
        <f>IF(ISBLANK(A771), "", LET(entry_day, VLOOKUP(A771, 'Master Roster'!$A:$G, 7, FALSE), start_date, DATE(E771, MONTH(D771&amp;" 1"), entry_day), end_date, EDATE(start_date, 1), period, TEXT(start_date, "mmm d, yyyy") &amp; " - " &amp; TEXT(end_date, "mmm d, yyyy"), HYPERLINK("https://wa.me/" &amp; VLOOKUP(A771, 'Master Roster'!$A:$F, 6, FALSE) &amp; "?text=" &amp; ENCODEURL("Hello " &amp; IFERROR(IF(VLOOKUP(A771, 'Master Roster'!$A:$J, 10, FALSE)="Male", "Mr. ", "Ms. "), "") &amp; B771 &amp; ", payment of K" &amp; F771 &amp; " received for " &amp; period &amp; ". Receipt No: " &amp; N771), "Send Receipt")))</f>
        <v/>
      </c>
    </row>
    <row r="772">
      <c r="A772" s="29"/>
      <c r="B772" s="29" t="s">
        <v>175</v>
      </c>
      <c r="C772" s="76"/>
      <c r="D772" s="29"/>
      <c r="E772" s="29"/>
      <c r="F772" s="29"/>
      <c r="G772" s="29"/>
      <c r="H772" s="29" t="str">
        <f t="shared" si="1"/>
        <v/>
      </c>
      <c r="I772" s="29" t="str">
        <f t="shared" si="2"/>
        <v/>
      </c>
      <c r="J772" s="29" t="str">
        <f>IF(A772="", "", IFERROR(VLOOKUP(A772, 'Master Roster'!A:H, 8, FALSE) - F772, ""))</f>
        <v/>
      </c>
      <c r="K772" s="29" t="s">
        <v>175</v>
      </c>
      <c r="L772" s="29" t="b">
        <v>0</v>
      </c>
      <c r="M772" s="29"/>
      <c r="N772" s="29" t="s">
        <v>175</v>
      </c>
      <c r="O772" s="29" t="str">
        <f>IF(ISBLANK(A772), "", LET(entry_day, VLOOKUP(A772, 'Master Roster'!$A:$G, 7, FALSE), start_date, DATE(E772, MONTH(D772&amp;" 1"), entry_day), end_date, EDATE(start_date, 1), period, TEXT(start_date, "mmm d, yyyy") &amp; " - " &amp; TEXT(end_date, "mmm d, yyyy"), HYPERLINK("https://wa.me/" &amp; VLOOKUP(A772, 'Master Roster'!$A:$F, 6, FALSE) &amp; "?text=" &amp; ENCODEURL("Hello " &amp; IFERROR(IF(VLOOKUP(A772, 'Master Roster'!$A:$J, 10, FALSE)="Male", "Mr. ", "Ms. "), "") &amp; B772 &amp; ", payment of K" &amp; F772 &amp; " received for " &amp; period &amp; ". Receipt No: " &amp; N772), "Send Receipt")))</f>
        <v/>
      </c>
    </row>
    <row r="773">
      <c r="A773" s="29"/>
      <c r="B773" s="29" t="s">
        <v>175</v>
      </c>
      <c r="C773" s="76"/>
      <c r="D773" s="29"/>
      <c r="E773" s="29"/>
      <c r="F773" s="29"/>
      <c r="G773" s="29"/>
      <c r="H773" s="29" t="str">
        <f t="shared" si="1"/>
        <v/>
      </c>
      <c r="I773" s="29" t="str">
        <f t="shared" si="2"/>
        <v/>
      </c>
      <c r="J773" s="29" t="str">
        <f>IF(A773="", "", IFERROR(VLOOKUP(A773, 'Master Roster'!A:H, 8, FALSE) - F773, ""))</f>
        <v/>
      </c>
      <c r="K773" s="29" t="s">
        <v>175</v>
      </c>
      <c r="L773" s="29" t="b">
        <v>0</v>
      </c>
      <c r="M773" s="29"/>
      <c r="N773" s="29" t="s">
        <v>175</v>
      </c>
      <c r="O773" s="29" t="str">
        <f>IF(ISBLANK(A773), "", LET(entry_day, VLOOKUP(A773, 'Master Roster'!$A:$G, 7, FALSE), start_date, DATE(E773, MONTH(D773&amp;" 1"), entry_day), end_date, EDATE(start_date, 1), period, TEXT(start_date, "mmm d, yyyy") &amp; " - " &amp; TEXT(end_date, "mmm d, yyyy"), HYPERLINK("https://wa.me/" &amp; VLOOKUP(A773, 'Master Roster'!$A:$F, 6, FALSE) &amp; "?text=" &amp; ENCODEURL("Hello " &amp; IFERROR(IF(VLOOKUP(A773, 'Master Roster'!$A:$J, 10, FALSE)="Male", "Mr. ", "Ms. "), "") &amp; B773 &amp; ", payment of K" &amp; F773 &amp; " received for " &amp; period &amp; ". Receipt No: " &amp; N773), "Send Receipt")))</f>
        <v/>
      </c>
    </row>
    <row r="774">
      <c r="A774" s="29"/>
      <c r="B774" s="29" t="s">
        <v>175</v>
      </c>
      <c r="C774" s="76"/>
      <c r="D774" s="29"/>
      <c r="E774" s="29"/>
      <c r="F774" s="29"/>
      <c r="G774" s="29"/>
      <c r="H774" s="29" t="str">
        <f t="shared" si="1"/>
        <v/>
      </c>
      <c r="I774" s="29" t="str">
        <f t="shared" si="2"/>
        <v/>
      </c>
      <c r="J774" s="29" t="str">
        <f>IF(A774="", "", IFERROR(VLOOKUP(A774, 'Master Roster'!A:H, 8, FALSE) - F774, ""))</f>
        <v/>
      </c>
      <c r="K774" s="29" t="s">
        <v>175</v>
      </c>
      <c r="L774" s="29" t="b">
        <v>0</v>
      </c>
      <c r="M774" s="29"/>
      <c r="N774" s="29" t="s">
        <v>175</v>
      </c>
      <c r="O774" s="29" t="str">
        <f>IF(ISBLANK(A774), "", LET(entry_day, VLOOKUP(A774, 'Master Roster'!$A:$G, 7, FALSE), start_date, DATE(E774, MONTH(D774&amp;" 1"), entry_day), end_date, EDATE(start_date, 1), period, TEXT(start_date, "mmm d, yyyy") &amp; " - " &amp; TEXT(end_date, "mmm d, yyyy"), HYPERLINK("https://wa.me/" &amp; VLOOKUP(A774, 'Master Roster'!$A:$F, 6, FALSE) &amp; "?text=" &amp; ENCODEURL("Hello " &amp; IFERROR(IF(VLOOKUP(A774, 'Master Roster'!$A:$J, 10, FALSE)="Male", "Mr. ", "Ms. "), "") &amp; B774 &amp; ", payment of K" &amp; F774 &amp; " received for " &amp; period &amp; ". Receipt No: " &amp; N774), "Send Receipt")))</f>
        <v/>
      </c>
    </row>
    <row r="775">
      <c r="A775" s="29"/>
      <c r="B775" s="29" t="s">
        <v>175</v>
      </c>
      <c r="C775" s="76"/>
      <c r="D775" s="29"/>
      <c r="E775" s="29"/>
      <c r="F775" s="29"/>
      <c r="G775" s="29"/>
      <c r="H775" s="29" t="str">
        <f t="shared" si="1"/>
        <v/>
      </c>
      <c r="I775" s="29" t="str">
        <f t="shared" si="2"/>
        <v/>
      </c>
      <c r="J775" s="29" t="str">
        <f>IF(A775="", "", IFERROR(VLOOKUP(A775, 'Master Roster'!A:H, 8, FALSE) - F775, ""))</f>
        <v/>
      </c>
      <c r="K775" s="29" t="s">
        <v>175</v>
      </c>
      <c r="L775" s="29" t="b">
        <v>0</v>
      </c>
      <c r="M775" s="29"/>
      <c r="N775" s="29" t="s">
        <v>175</v>
      </c>
      <c r="O775" s="29" t="str">
        <f>IF(ISBLANK(A775), "", LET(entry_day, VLOOKUP(A775, 'Master Roster'!$A:$G, 7, FALSE), start_date, DATE(E775, MONTH(D775&amp;" 1"), entry_day), end_date, EDATE(start_date, 1), period, TEXT(start_date, "mmm d, yyyy") &amp; " - " &amp; TEXT(end_date, "mmm d, yyyy"), HYPERLINK("https://wa.me/" &amp; VLOOKUP(A775, 'Master Roster'!$A:$F, 6, FALSE) &amp; "?text=" &amp; ENCODEURL("Hello " &amp; IFERROR(IF(VLOOKUP(A775, 'Master Roster'!$A:$J, 10, FALSE)="Male", "Mr. ", "Ms. "), "") &amp; B775 &amp; ", payment of K" &amp; F775 &amp; " received for " &amp; period &amp; ". Receipt No: " &amp; N775), "Send Receipt")))</f>
        <v/>
      </c>
    </row>
    <row r="776">
      <c r="A776" s="29"/>
      <c r="B776" s="29" t="s">
        <v>175</v>
      </c>
      <c r="C776" s="76"/>
      <c r="D776" s="29"/>
      <c r="E776" s="29"/>
      <c r="F776" s="29"/>
      <c r="G776" s="29"/>
      <c r="H776" s="29" t="str">
        <f t="shared" si="1"/>
        <v/>
      </c>
      <c r="I776" s="29" t="str">
        <f t="shared" si="2"/>
        <v/>
      </c>
      <c r="J776" s="29" t="str">
        <f>IF(A776="", "", IFERROR(VLOOKUP(A776, 'Master Roster'!A:H, 8, FALSE) - F776, ""))</f>
        <v/>
      </c>
      <c r="K776" s="29" t="s">
        <v>175</v>
      </c>
      <c r="L776" s="29" t="b">
        <v>0</v>
      </c>
      <c r="M776" s="29"/>
      <c r="N776" s="29" t="s">
        <v>175</v>
      </c>
      <c r="O776" s="29" t="str">
        <f>IF(ISBLANK(A776), "", LET(entry_day, VLOOKUP(A776, 'Master Roster'!$A:$G, 7, FALSE), start_date, DATE(E776, MONTH(D776&amp;" 1"), entry_day), end_date, EDATE(start_date, 1), period, TEXT(start_date, "mmm d, yyyy") &amp; " - " &amp; TEXT(end_date, "mmm d, yyyy"), HYPERLINK("https://wa.me/" &amp; VLOOKUP(A776, 'Master Roster'!$A:$F, 6, FALSE) &amp; "?text=" &amp; ENCODEURL("Hello " &amp; IFERROR(IF(VLOOKUP(A776, 'Master Roster'!$A:$J, 10, FALSE)="Male", "Mr. ", "Ms. "), "") &amp; B776 &amp; ", payment of K" &amp; F776 &amp; " received for " &amp; period &amp; ". Receipt No: " &amp; N776), "Send Receipt")))</f>
        <v/>
      </c>
    </row>
    <row r="777">
      <c r="A777" s="29"/>
      <c r="B777" s="29" t="s">
        <v>175</v>
      </c>
      <c r="C777" s="76"/>
      <c r="D777" s="29"/>
      <c r="E777" s="29"/>
      <c r="F777" s="29"/>
      <c r="G777" s="29"/>
      <c r="H777" s="29" t="str">
        <f t="shared" si="1"/>
        <v/>
      </c>
      <c r="I777" s="29" t="str">
        <f t="shared" si="2"/>
        <v/>
      </c>
      <c r="J777" s="29" t="str">
        <f>IF(A777="", "", IFERROR(VLOOKUP(A777, 'Master Roster'!A:H, 8, FALSE) - F777, ""))</f>
        <v/>
      </c>
      <c r="K777" s="29" t="s">
        <v>175</v>
      </c>
      <c r="L777" s="29" t="b">
        <v>0</v>
      </c>
      <c r="M777" s="29"/>
      <c r="N777" s="29" t="s">
        <v>175</v>
      </c>
      <c r="O777" s="29" t="str">
        <f>IF(ISBLANK(A777), "", LET(entry_day, VLOOKUP(A777, 'Master Roster'!$A:$G, 7, FALSE), start_date, DATE(E777, MONTH(D777&amp;" 1"), entry_day), end_date, EDATE(start_date, 1), period, TEXT(start_date, "mmm d, yyyy") &amp; " - " &amp; TEXT(end_date, "mmm d, yyyy"), HYPERLINK("https://wa.me/" &amp; VLOOKUP(A777, 'Master Roster'!$A:$F, 6, FALSE) &amp; "?text=" &amp; ENCODEURL("Hello " &amp; IFERROR(IF(VLOOKUP(A777, 'Master Roster'!$A:$J, 10, FALSE)="Male", "Mr. ", "Ms. "), "") &amp; B777 &amp; ", payment of K" &amp; F777 &amp; " received for " &amp; period &amp; ". Receipt No: " &amp; N777), "Send Receipt")))</f>
        <v/>
      </c>
    </row>
    <row r="778">
      <c r="A778" s="29"/>
      <c r="B778" s="29" t="s">
        <v>175</v>
      </c>
      <c r="C778" s="76"/>
      <c r="D778" s="29"/>
      <c r="E778" s="29"/>
      <c r="F778" s="29"/>
      <c r="G778" s="29"/>
      <c r="H778" s="29" t="str">
        <f t="shared" si="1"/>
        <v/>
      </c>
      <c r="I778" s="29" t="str">
        <f t="shared" si="2"/>
        <v/>
      </c>
      <c r="J778" s="29" t="str">
        <f>IF(A778="", "", IFERROR(VLOOKUP(A778, 'Master Roster'!A:H, 8, FALSE) - F778, ""))</f>
        <v/>
      </c>
      <c r="K778" s="29" t="s">
        <v>175</v>
      </c>
      <c r="L778" s="29" t="b">
        <v>0</v>
      </c>
      <c r="M778" s="29"/>
      <c r="N778" s="29" t="s">
        <v>175</v>
      </c>
      <c r="O778" s="29" t="str">
        <f>IF(ISBLANK(A778), "", LET(entry_day, VLOOKUP(A778, 'Master Roster'!$A:$G, 7, FALSE), start_date, DATE(E778, MONTH(D778&amp;" 1"), entry_day), end_date, EDATE(start_date, 1), period, TEXT(start_date, "mmm d, yyyy") &amp; " - " &amp; TEXT(end_date, "mmm d, yyyy"), HYPERLINK("https://wa.me/" &amp; VLOOKUP(A778, 'Master Roster'!$A:$F, 6, FALSE) &amp; "?text=" &amp; ENCODEURL("Hello " &amp; IFERROR(IF(VLOOKUP(A778, 'Master Roster'!$A:$J, 10, FALSE)="Male", "Mr. ", "Ms. "), "") &amp; B778 &amp; ", payment of K" &amp; F778 &amp; " received for " &amp; period &amp; ". Receipt No: " &amp; N778), "Send Receipt")))</f>
        <v/>
      </c>
    </row>
    <row r="779">
      <c r="A779" s="29"/>
      <c r="B779" s="29" t="s">
        <v>175</v>
      </c>
      <c r="C779" s="76"/>
      <c r="D779" s="29"/>
      <c r="E779" s="29"/>
      <c r="F779" s="29"/>
      <c r="G779" s="29"/>
      <c r="H779" s="29" t="str">
        <f t="shared" si="1"/>
        <v/>
      </c>
      <c r="I779" s="29" t="str">
        <f t="shared" si="2"/>
        <v/>
      </c>
      <c r="J779" s="29" t="str">
        <f>IF(A779="", "", IFERROR(VLOOKUP(A779, 'Master Roster'!A:H, 8, FALSE) - F779, ""))</f>
        <v/>
      </c>
      <c r="K779" s="29" t="s">
        <v>175</v>
      </c>
      <c r="L779" s="29" t="b">
        <v>0</v>
      </c>
      <c r="M779" s="29"/>
      <c r="N779" s="29" t="s">
        <v>175</v>
      </c>
      <c r="O779" s="29" t="str">
        <f>IF(ISBLANK(A779), "", LET(entry_day, VLOOKUP(A779, 'Master Roster'!$A:$G, 7, FALSE), start_date, DATE(E779, MONTH(D779&amp;" 1"), entry_day), end_date, EDATE(start_date, 1), period, TEXT(start_date, "mmm d, yyyy") &amp; " - " &amp; TEXT(end_date, "mmm d, yyyy"), HYPERLINK("https://wa.me/" &amp; VLOOKUP(A779, 'Master Roster'!$A:$F, 6, FALSE) &amp; "?text=" &amp; ENCODEURL("Hello " &amp; IFERROR(IF(VLOOKUP(A779, 'Master Roster'!$A:$J, 10, FALSE)="Male", "Mr. ", "Ms. "), "") &amp; B779 &amp; ", payment of K" &amp; F779 &amp; " received for " &amp; period &amp; ". Receipt No: " &amp; N779), "Send Receipt")))</f>
        <v/>
      </c>
    </row>
    <row r="780">
      <c r="A780" s="29"/>
      <c r="B780" s="29" t="s">
        <v>175</v>
      </c>
      <c r="C780" s="76"/>
      <c r="D780" s="29"/>
      <c r="E780" s="29"/>
      <c r="F780" s="29"/>
      <c r="G780" s="29"/>
      <c r="H780" s="29" t="str">
        <f t="shared" si="1"/>
        <v/>
      </c>
      <c r="I780" s="29" t="str">
        <f t="shared" si="2"/>
        <v/>
      </c>
      <c r="J780" s="29" t="str">
        <f>IF(A780="", "", IFERROR(VLOOKUP(A780, 'Master Roster'!A:H, 8, FALSE) - F780, ""))</f>
        <v/>
      </c>
      <c r="K780" s="29" t="s">
        <v>175</v>
      </c>
      <c r="L780" s="29" t="b">
        <v>0</v>
      </c>
      <c r="M780" s="29"/>
      <c r="N780" s="29" t="s">
        <v>175</v>
      </c>
      <c r="O780" s="29" t="str">
        <f>IF(ISBLANK(A780), "", LET(entry_day, VLOOKUP(A780, 'Master Roster'!$A:$G, 7, FALSE), start_date, DATE(E780, MONTH(D780&amp;" 1"), entry_day), end_date, EDATE(start_date, 1), period, TEXT(start_date, "mmm d, yyyy") &amp; " - " &amp; TEXT(end_date, "mmm d, yyyy"), HYPERLINK("https://wa.me/" &amp; VLOOKUP(A780, 'Master Roster'!$A:$F, 6, FALSE) &amp; "?text=" &amp; ENCODEURL("Hello " &amp; IFERROR(IF(VLOOKUP(A780, 'Master Roster'!$A:$J, 10, FALSE)="Male", "Mr. ", "Ms. "), "") &amp; B780 &amp; ", payment of K" &amp; F780 &amp; " received for " &amp; period &amp; ". Receipt No: " &amp; N780), "Send Receipt")))</f>
        <v/>
      </c>
    </row>
    <row r="781">
      <c r="A781" s="29"/>
      <c r="B781" s="29" t="s">
        <v>175</v>
      </c>
      <c r="C781" s="76"/>
      <c r="D781" s="29"/>
      <c r="E781" s="29"/>
      <c r="F781" s="29"/>
      <c r="G781" s="29"/>
      <c r="H781" s="29" t="str">
        <f t="shared" si="1"/>
        <v/>
      </c>
      <c r="I781" s="29" t="str">
        <f t="shared" si="2"/>
        <v/>
      </c>
      <c r="J781" s="29" t="str">
        <f>IF(A781="", "", IFERROR(VLOOKUP(A781, 'Master Roster'!A:H, 8, FALSE) - F781, ""))</f>
        <v/>
      </c>
      <c r="K781" s="29" t="s">
        <v>175</v>
      </c>
      <c r="L781" s="29" t="b">
        <v>0</v>
      </c>
      <c r="M781" s="29"/>
      <c r="N781" s="29" t="s">
        <v>175</v>
      </c>
      <c r="O781" s="29" t="str">
        <f>IF(ISBLANK(A781), "", LET(entry_day, VLOOKUP(A781, 'Master Roster'!$A:$G, 7, FALSE), start_date, DATE(E781, MONTH(D781&amp;" 1"), entry_day), end_date, EDATE(start_date, 1), period, TEXT(start_date, "mmm d, yyyy") &amp; " - " &amp; TEXT(end_date, "mmm d, yyyy"), HYPERLINK("https://wa.me/" &amp; VLOOKUP(A781, 'Master Roster'!$A:$F, 6, FALSE) &amp; "?text=" &amp; ENCODEURL("Hello " &amp; IFERROR(IF(VLOOKUP(A781, 'Master Roster'!$A:$J, 10, FALSE)="Male", "Mr. ", "Ms. "), "") &amp; B781 &amp; ", payment of K" &amp; F781 &amp; " received for " &amp; period &amp; ". Receipt No: " &amp; N781), "Send Receipt")))</f>
        <v/>
      </c>
    </row>
    <row r="782">
      <c r="A782" s="29"/>
      <c r="B782" s="29" t="s">
        <v>175</v>
      </c>
      <c r="C782" s="76"/>
      <c r="D782" s="29"/>
      <c r="E782" s="29"/>
      <c r="F782" s="29"/>
      <c r="G782" s="29"/>
      <c r="H782" s="29" t="str">
        <f t="shared" si="1"/>
        <v/>
      </c>
      <c r="I782" s="29" t="str">
        <f t="shared" si="2"/>
        <v/>
      </c>
      <c r="J782" s="29" t="str">
        <f>IF(A782="", "", IFERROR(VLOOKUP(A782, 'Master Roster'!A:H, 8, FALSE) - F782, ""))</f>
        <v/>
      </c>
      <c r="K782" s="29" t="s">
        <v>175</v>
      </c>
      <c r="L782" s="29" t="b">
        <v>0</v>
      </c>
      <c r="M782" s="29"/>
      <c r="N782" s="29" t="s">
        <v>175</v>
      </c>
      <c r="O782" s="29" t="str">
        <f>IF(ISBLANK(A782), "", LET(entry_day, VLOOKUP(A782, 'Master Roster'!$A:$G, 7, FALSE), start_date, DATE(E782, MONTH(D782&amp;" 1"), entry_day), end_date, EDATE(start_date, 1), period, TEXT(start_date, "mmm d, yyyy") &amp; " - " &amp; TEXT(end_date, "mmm d, yyyy"), HYPERLINK("https://wa.me/" &amp; VLOOKUP(A782, 'Master Roster'!$A:$F, 6, FALSE) &amp; "?text=" &amp; ENCODEURL("Hello " &amp; IFERROR(IF(VLOOKUP(A782, 'Master Roster'!$A:$J, 10, FALSE)="Male", "Mr. ", "Ms. "), "") &amp; B782 &amp; ", payment of K" &amp; F782 &amp; " received for " &amp; period &amp; ". Receipt No: " &amp; N782), "Send Receipt")))</f>
        <v/>
      </c>
    </row>
    <row r="783">
      <c r="A783" s="29"/>
      <c r="B783" s="29" t="s">
        <v>175</v>
      </c>
      <c r="C783" s="76"/>
      <c r="D783" s="29"/>
      <c r="E783" s="29"/>
      <c r="F783" s="29"/>
      <c r="G783" s="29"/>
      <c r="H783" s="29" t="str">
        <f t="shared" si="1"/>
        <v/>
      </c>
      <c r="I783" s="29" t="str">
        <f t="shared" si="2"/>
        <v/>
      </c>
      <c r="J783" s="29" t="str">
        <f>IF(A783="", "", IFERROR(VLOOKUP(A783, 'Master Roster'!A:H, 8, FALSE) - F783, ""))</f>
        <v/>
      </c>
      <c r="K783" s="29" t="s">
        <v>175</v>
      </c>
      <c r="L783" s="29" t="b">
        <v>0</v>
      </c>
      <c r="M783" s="29"/>
      <c r="N783" s="29" t="s">
        <v>175</v>
      </c>
      <c r="O783" s="29" t="str">
        <f>IF(ISBLANK(A783), "", LET(entry_day, VLOOKUP(A783, 'Master Roster'!$A:$G, 7, FALSE), start_date, DATE(E783, MONTH(D783&amp;" 1"), entry_day), end_date, EDATE(start_date, 1), period, TEXT(start_date, "mmm d, yyyy") &amp; " - " &amp; TEXT(end_date, "mmm d, yyyy"), HYPERLINK("https://wa.me/" &amp; VLOOKUP(A783, 'Master Roster'!$A:$F, 6, FALSE) &amp; "?text=" &amp; ENCODEURL("Hello " &amp; IFERROR(IF(VLOOKUP(A783, 'Master Roster'!$A:$J, 10, FALSE)="Male", "Mr. ", "Ms. "), "") &amp; B783 &amp; ", payment of K" &amp; F783 &amp; " received for " &amp; period &amp; ". Receipt No: " &amp; N783), "Send Receipt")))</f>
        <v/>
      </c>
    </row>
    <row r="784">
      <c r="A784" s="29"/>
      <c r="B784" s="29" t="s">
        <v>175</v>
      </c>
      <c r="C784" s="76"/>
      <c r="D784" s="29"/>
      <c r="E784" s="29"/>
      <c r="F784" s="29"/>
      <c r="G784" s="29"/>
      <c r="H784" s="29" t="str">
        <f t="shared" si="1"/>
        <v/>
      </c>
      <c r="I784" s="29" t="str">
        <f t="shared" si="2"/>
        <v/>
      </c>
      <c r="J784" s="29" t="str">
        <f>IF(A784="", "", IFERROR(VLOOKUP(A784, 'Master Roster'!A:H, 8, FALSE) - F784, ""))</f>
        <v/>
      </c>
      <c r="K784" s="29" t="s">
        <v>175</v>
      </c>
      <c r="L784" s="29" t="b">
        <v>0</v>
      </c>
      <c r="M784" s="29"/>
      <c r="N784" s="29" t="s">
        <v>175</v>
      </c>
      <c r="O784" s="29" t="str">
        <f>IF(ISBLANK(A784), "", LET(entry_day, VLOOKUP(A784, 'Master Roster'!$A:$G, 7, FALSE), start_date, DATE(E784, MONTH(D784&amp;" 1"), entry_day), end_date, EDATE(start_date, 1), period, TEXT(start_date, "mmm d, yyyy") &amp; " - " &amp; TEXT(end_date, "mmm d, yyyy"), HYPERLINK("https://wa.me/" &amp; VLOOKUP(A784, 'Master Roster'!$A:$F, 6, FALSE) &amp; "?text=" &amp; ENCODEURL("Hello " &amp; IFERROR(IF(VLOOKUP(A784, 'Master Roster'!$A:$J, 10, FALSE)="Male", "Mr. ", "Ms. "), "") &amp; B784 &amp; ", payment of K" &amp; F784 &amp; " received for " &amp; period &amp; ". Receipt No: " &amp; N784), "Send Receipt")))</f>
        <v/>
      </c>
    </row>
    <row r="785">
      <c r="A785" s="29"/>
      <c r="B785" s="29" t="s">
        <v>175</v>
      </c>
      <c r="C785" s="76"/>
      <c r="D785" s="29"/>
      <c r="E785" s="29"/>
      <c r="F785" s="29"/>
      <c r="G785" s="29"/>
      <c r="H785" s="29" t="str">
        <f t="shared" si="1"/>
        <v/>
      </c>
      <c r="I785" s="29" t="str">
        <f t="shared" si="2"/>
        <v/>
      </c>
      <c r="J785" s="29" t="str">
        <f>IF(A785="", "", IFERROR(VLOOKUP(A785, 'Master Roster'!A:H, 8, FALSE) - F785, ""))</f>
        <v/>
      </c>
      <c r="K785" s="29" t="s">
        <v>175</v>
      </c>
      <c r="L785" s="29" t="b">
        <v>0</v>
      </c>
      <c r="M785" s="29"/>
      <c r="N785" s="29" t="s">
        <v>175</v>
      </c>
      <c r="O785" s="29" t="str">
        <f>IF(ISBLANK(A785), "", LET(entry_day, VLOOKUP(A785, 'Master Roster'!$A:$G, 7, FALSE), start_date, DATE(E785, MONTH(D785&amp;" 1"), entry_day), end_date, EDATE(start_date, 1), period, TEXT(start_date, "mmm d, yyyy") &amp; " - " &amp; TEXT(end_date, "mmm d, yyyy"), HYPERLINK("https://wa.me/" &amp; VLOOKUP(A785, 'Master Roster'!$A:$F, 6, FALSE) &amp; "?text=" &amp; ENCODEURL("Hello " &amp; IFERROR(IF(VLOOKUP(A785, 'Master Roster'!$A:$J, 10, FALSE)="Male", "Mr. ", "Ms. "), "") &amp; B785 &amp; ", payment of K" &amp; F785 &amp; " received for " &amp; period &amp; ". Receipt No: " &amp; N785), "Send Receipt")))</f>
        <v/>
      </c>
    </row>
    <row r="786">
      <c r="A786" s="29"/>
      <c r="B786" s="29" t="s">
        <v>175</v>
      </c>
      <c r="C786" s="76"/>
      <c r="D786" s="29"/>
      <c r="E786" s="29"/>
      <c r="F786" s="29"/>
      <c r="G786" s="29"/>
      <c r="H786" s="29" t="str">
        <f t="shared" si="1"/>
        <v/>
      </c>
      <c r="I786" s="29" t="str">
        <f t="shared" si="2"/>
        <v/>
      </c>
      <c r="J786" s="29" t="str">
        <f>IF(A786="", "", IFERROR(VLOOKUP(A786, 'Master Roster'!A:H, 8, FALSE) - F786, ""))</f>
        <v/>
      </c>
      <c r="K786" s="29" t="s">
        <v>175</v>
      </c>
      <c r="L786" s="29" t="b">
        <v>0</v>
      </c>
      <c r="M786" s="29"/>
      <c r="N786" s="29" t="s">
        <v>175</v>
      </c>
      <c r="O786" s="29" t="str">
        <f>IF(ISBLANK(A786), "", LET(entry_day, VLOOKUP(A786, 'Master Roster'!$A:$G, 7, FALSE), start_date, DATE(E786, MONTH(D786&amp;" 1"), entry_day), end_date, EDATE(start_date, 1), period, TEXT(start_date, "mmm d, yyyy") &amp; " - " &amp; TEXT(end_date, "mmm d, yyyy"), HYPERLINK("https://wa.me/" &amp; VLOOKUP(A786, 'Master Roster'!$A:$F, 6, FALSE) &amp; "?text=" &amp; ENCODEURL("Hello " &amp; IFERROR(IF(VLOOKUP(A786, 'Master Roster'!$A:$J, 10, FALSE)="Male", "Mr. ", "Ms. "), "") &amp; B786 &amp; ", payment of K" &amp; F786 &amp; " received for " &amp; period &amp; ". Receipt No: " &amp; N786), "Send Receipt")))</f>
        <v/>
      </c>
    </row>
    <row r="787">
      <c r="A787" s="29"/>
      <c r="B787" s="29" t="s">
        <v>175</v>
      </c>
      <c r="C787" s="76"/>
      <c r="D787" s="29"/>
      <c r="E787" s="29"/>
      <c r="F787" s="29"/>
      <c r="G787" s="29"/>
      <c r="H787" s="29" t="str">
        <f t="shared" si="1"/>
        <v/>
      </c>
      <c r="I787" s="29" t="str">
        <f t="shared" si="2"/>
        <v/>
      </c>
      <c r="J787" s="29" t="str">
        <f>IF(A787="", "", IFERROR(VLOOKUP(A787, 'Master Roster'!A:H, 8, FALSE) - F787, ""))</f>
        <v/>
      </c>
      <c r="K787" s="29" t="s">
        <v>175</v>
      </c>
      <c r="L787" s="29" t="b">
        <v>0</v>
      </c>
      <c r="M787" s="29"/>
      <c r="N787" s="29" t="s">
        <v>175</v>
      </c>
      <c r="O787" s="29" t="str">
        <f>IF(ISBLANK(A787), "", LET(entry_day, VLOOKUP(A787, 'Master Roster'!$A:$G, 7, FALSE), start_date, DATE(E787, MONTH(D787&amp;" 1"), entry_day), end_date, EDATE(start_date, 1), period, TEXT(start_date, "mmm d, yyyy") &amp; " - " &amp; TEXT(end_date, "mmm d, yyyy"), HYPERLINK("https://wa.me/" &amp; VLOOKUP(A787, 'Master Roster'!$A:$F, 6, FALSE) &amp; "?text=" &amp; ENCODEURL("Hello " &amp; IFERROR(IF(VLOOKUP(A787, 'Master Roster'!$A:$J, 10, FALSE)="Male", "Mr. ", "Ms. "), "") &amp; B787 &amp; ", payment of K" &amp; F787 &amp; " received for " &amp; period &amp; ". Receipt No: " &amp; N787), "Send Receipt")))</f>
        <v/>
      </c>
    </row>
    <row r="788">
      <c r="A788" s="29"/>
      <c r="B788" s="29" t="s">
        <v>175</v>
      </c>
      <c r="C788" s="76"/>
      <c r="D788" s="29"/>
      <c r="E788" s="29"/>
      <c r="F788" s="29"/>
      <c r="G788" s="29"/>
      <c r="H788" s="29" t="str">
        <f t="shared" si="1"/>
        <v/>
      </c>
      <c r="I788" s="29" t="str">
        <f t="shared" si="2"/>
        <v/>
      </c>
      <c r="J788" s="29" t="str">
        <f>IF(A788="", "", IFERROR(VLOOKUP(A788, 'Master Roster'!A:H, 8, FALSE) - F788, ""))</f>
        <v/>
      </c>
      <c r="K788" s="29" t="s">
        <v>175</v>
      </c>
      <c r="L788" s="29" t="b">
        <v>0</v>
      </c>
      <c r="M788" s="29"/>
      <c r="N788" s="29" t="s">
        <v>175</v>
      </c>
      <c r="O788" s="29" t="str">
        <f>IF(ISBLANK(A788), "", LET(entry_day, VLOOKUP(A788, 'Master Roster'!$A:$G, 7, FALSE), start_date, DATE(E788, MONTH(D788&amp;" 1"), entry_day), end_date, EDATE(start_date, 1), period, TEXT(start_date, "mmm d, yyyy") &amp; " - " &amp; TEXT(end_date, "mmm d, yyyy"), HYPERLINK("https://wa.me/" &amp; VLOOKUP(A788, 'Master Roster'!$A:$F, 6, FALSE) &amp; "?text=" &amp; ENCODEURL("Hello " &amp; IFERROR(IF(VLOOKUP(A788, 'Master Roster'!$A:$J, 10, FALSE)="Male", "Mr. ", "Ms. "), "") &amp; B788 &amp; ", payment of K" &amp; F788 &amp; " received for " &amp; period &amp; ". Receipt No: " &amp; N788), "Send Receipt")))</f>
        <v/>
      </c>
    </row>
    <row r="789">
      <c r="A789" s="29"/>
      <c r="B789" s="29" t="s">
        <v>175</v>
      </c>
      <c r="C789" s="76"/>
      <c r="D789" s="29"/>
      <c r="E789" s="29"/>
      <c r="F789" s="29"/>
      <c r="G789" s="29"/>
      <c r="H789" s="29" t="str">
        <f t="shared" si="1"/>
        <v/>
      </c>
      <c r="I789" s="29" t="str">
        <f t="shared" si="2"/>
        <v/>
      </c>
      <c r="J789" s="29" t="str">
        <f>IF(A789="", "", IFERROR(VLOOKUP(A789, 'Master Roster'!A:H, 8, FALSE) - F789, ""))</f>
        <v/>
      </c>
      <c r="K789" s="29" t="s">
        <v>175</v>
      </c>
      <c r="L789" s="29" t="b">
        <v>0</v>
      </c>
      <c r="M789" s="29"/>
      <c r="N789" s="29" t="s">
        <v>175</v>
      </c>
      <c r="O789" s="29" t="str">
        <f>IF(ISBLANK(A789), "", LET(entry_day, VLOOKUP(A789, 'Master Roster'!$A:$G, 7, FALSE), start_date, DATE(E789, MONTH(D789&amp;" 1"), entry_day), end_date, EDATE(start_date, 1), period, TEXT(start_date, "mmm d, yyyy") &amp; " - " &amp; TEXT(end_date, "mmm d, yyyy"), HYPERLINK("https://wa.me/" &amp; VLOOKUP(A789, 'Master Roster'!$A:$F, 6, FALSE) &amp; "?text=" &amp; ENCODEURL("Hello " &amp; IFERROR(IF(VLOOKUP(A789, 'Master Roster'!$A:$J, 10, FALSE)="Male", "Mr. ", "Ms. "), "") &amp; B789 &amp; ", payment of K" &amp; F789 &amp; " received for " &amp; period &amp; ". Receipt No: " &amp; N789), "Send Receipt")))</f>
        <v/>
      </c>
    </row>
    <row r="790">
      <c r="A790" s="29"/>
      <c r="B790" s="29" t="s">
        <v>175</v>
      </c>
      <c r="C790" s="76"/>
      <c r="D790" s="29"/>
      <c r="E790" s="29"/>
      <c r="F790" s="29"/>
      <c r="G790" s="29"/>
      <c r="H790" s="29" t="str">
        <f t="shared" si="1"/>
        <v/>
      </c>
      <c r="I790" s="29" t="str">
        <f t="shared" si="2"/>
        <v/>
      </c>
      <c r="J790" s="29" t="str">
        <f>IF(A790="", "", IFERROR(VLOOKUP(A790, 'Master Roster'!A:H, 8, FALSE) - F790, ""))</f>
        <v/>
      </c>
      <c r="K790" s="29" t="s">
        <v>175</v>
      </c>
      <c r="L790" s="29" t="b">
        <v>0</v>
      </c>
      <c r="M790" s="29"/>
      <c r="N790" s="29" t="s">
        <v>175</v>
      </c>
      <c r="O790" s="29" t="str">
        <f>IF(ISBLANK(A790), "", LET(entry_day, VLOOKUP(A790, 'Master Roster'!$A:$G, 7, FALSE), start_date, DATE(E790, MONTH(D790&amp;" 1"), entry_day), end_date, EDATE(start_date, 1), period, TEXT(start_date, "mmm d, yyyy") &amp; " - " &amp; TEXT(end_date, "mmm d, yyyy"), HYPERLINK("https://wa.me/" &amp; VLOOKUP(A790, 'Master Roster'!$A:$F, 6, FALSE) &amp; "?text=" &amp; ENCODEURL("Hello " &amp; IFERROR(IF(VLOOKUP(A790, 'Master Roster'!$A:$J, 10, FALSE)="Male", "Mr. ", "Ms. "), "") &amp; B790 &amp; ", payment of K" &amp; F790 &amp; " received for " &amp; period &amp; ". Receipt No: " &amp; N790), "Send Receipt")))</f>
        <v/>
      </c>
    </row>
    <row r="791">
      <c r="A791" s="29"/>
      <c r="B791" s="29" t="s">
        <v>175</v>
      </c>
      <c r="C791" s="76"/>
      <c r="D791" s="29"/>
      <c r="E791" s="29"/>
      <c r="F791" s="29"/>
      <c r="G791" s="29"/>
      <c r="H791" s="29" t="str">
        <f t="shared" si="1"/>
        <v/>
      </c>
      <c r="I791" s="29" t="str">
        <f t="shared" si="2"/>
        <v/>
      </c>
      <c r="J791" s="29" t="str">
        <f>IF(A791="", "", IFERROR(VLOOKUP(A791, 'Master Roster'!A:H, 8, FALSE) - F791, ""))</f>
        <v/>
      </c>
      <c r="K791" s="29" t="s">
        <v>175</v>
      </c>
      <c r="L791" s="29" t="b">
        <v>0</v>
      </c>
      <c r="M791" s="29"/>
      <c r="N791" s="29" t="s">
        <v>175</v>
      </c>
      <c r="O791" s="29" t="str">
        <f>IF(ISBLANK(A791), "", LET(entry_day, VLOOKUP(A791, 'Master Roster'!$A:$G, 7, FALSE), start_date, DATE(E791, MONTH(D791&amp;" 1"), entry_day), end_date, EDATE(start_date, 1), period, TEXT(start_date, "mmm d, yyyy") &amp; " - " &amp; TEXT(end_date, "mmm d, yyyy"), HYPERLINK("https://wa.me/" &amp; VLOOKUP(A791, 'Master Roster'!$A:$F, 6, FALSE) &amp; "?text=" &amp; ENCODEURL("Hello " &amp; IFERROR(IF(VLOOKUP(A791, 'Master Roster'!$A:$J, 10, FALSE)="Male", "Mr. ", "Ms. "), "") &amp; B791 &amp; ", payment of K" &amp; F791 &amp; " received for " &amp; period &amp; ". Receipt No: " &amp; N791), "Send Receipt")))</f>
        <v/>
      </c>
    </row>
    <row r="792">
      <c r="A792" s="29"/>
      <c r="B792" s="29" t="s">
        <v>175</v>
      </c>
      <c r="C792" s="76"/>
      <c r="D792" s="29"/>
      <c r="E792" s="29"/>
      <c r="F792" s="29"/>
      <c r="G792" s="29"/>
      <c r="H792" s="29" t="str">
        <f t="shared" si="1"/>
        <v/>
      </c>
      <c r="I792" s="29" t="str">
        <f t="shared" si="2"/>
        <v/>
      </c>
      <c r="J792" s="29" t="str">
        <f>IF(A792="", "", IFERROR(VLOOKUP(A792, 'Master Roster'!A:H, 8, FALSE) - F792, ""))</f>
        <v/>
      </c>
      <c r="K792" s="29" t="s">
        <v>175</v>
      </c>
      <c r="L792" s="29" t="b">
        <v>0</v>
      </c>
      <c r="M792" s="29"/>
      <c r="N792" s="29" t="s">
        <v>175</v>
      </c>
      <c r="O792" s="29" t="str">
        <f>IF(ISBLANK(A792), "", LET(entry_day, VLOOKUP(A792, 'Master Roster'!$A:$G, 7, FALSE), start_date, DATE(E792, MONTH(D792&amp;" 1"), entry_day), end_date, EDATE(start_date, 1), period, TEXT(start_date, "mmm d, yyyy") &amp; " - " &amp; TEXT(end_date, "mmm d, yyyy"), HYPERLINK("https://wa.me/" &amp; VLOOKUP(A792, 'Master Roster'!$A:$F, 6, FALSE) &amp; "?text=" &amp; ENCODEURL("Hello " &amp; IFERROR(IF(VLOOKUP(A792, 'Master Roster'!$A:$J, 10, FALSE)="Male", "Mr. ", "Ms. "), "") &amp; B792 &amp; ", payment of K" &amp; F792 &amp; " received for " &amp; period &amp; ". Receipt No: " &amp; N792), "Send Receipt")))</f>
        <v/>
      </c>
    </row>
    <row r="793">
      <c r="A793" s="29"/>
      <c r="B793" s="29" t="s">
        <v>175</v>
      </c>
      <c r="C793" s="76"/>
      <c r="D793" s="29"/>
      <c r="E793" s="29"/>
      <c r="F793" s="29"/>
      <c r="G793" s="29"/>
      <c r="H793" s="29" t="str">
        <f t="shared" si="1"/>
        <v/>
      </c>
      <c r="I793" s="29" t="str">
        <f t="shared" si="2"/>
        <v/>
      </c>
      <c r="J793" s="29" t="str">
        <f>IF(A793="", "", IFERROR(VLOOKUP(A793, 'Master Roster'!A:H, 8, FALSE) - F793, ""))</f>
        <v/>
      </c>
      <c r="K793" s="29" t="s">
        <v>175</v>
      </c>
      <c r="L793" s="29" t="b">
        <v>0</v>
      </c>
      <c r="M793" s="29"/>
      <c r="N793" s="29" t="s">
        <v>175</v>
      </c>
      <c r="O793" s="29" t="str">
        <f>IF(ISBLANK(A793), "", LET(entry_day, VLOOKUP(A793, 'Master Roster'!$A:$G, 7, FALSE), start_date, DATE(E793, MONTH(D793&amp;" 1"), entry_day), end_date, EDATE(start_date, 1), period, TEXT(start_date, "mmm d, yyyy") &amp; " - " &amp; TEXT(end_date, "mmm d, yyyy"), HYPERLINK("https://wa.me/" &amp; VLOOKUP(A793, 'Master Roster'!$A:$F, 6, FALSE) &amp; "?text=" &amp; ENCODEURL("Hello " &amp; IFERROR(IF(VLOOKUP(A793, 'Master Roster'!$A:$J, 10, FALSE)="Male", "Mr. ", "Ms. "), "") &amp; B793 &amp; ", payment of K" &amp; F793 &amp; " received for " &amp; period &amp; ". Receipt No: " &amp; N793), "Send Receipt")))</f>
        <v/>
      </c>
    </row>
    <row r="794">
      <c r="A794" s="29"/>
      <c r="B794" s="29" t="s">
        <v>175</v>
      </c>
      <c r="C794" s="76"/>
      <c r="D794" s="29"/>
      <c r="E794" s="29"/>
      <c r="F794" s="29"/>
      <c r="G794" s="29"/>
      <c r="H794" s="29" t="str">
        <f t="shared" si="1"/>
        <v/>
      </c>
      <c r="I794" s="29" t="str">
        <f t="shared" si="2"/>
        <v/>
      </c>
      <c r="J794" s="29" t="str">
        <f>IF(A794="", "", IFERROR(VLOOKUP(A794, 'Master Roster'!A:H, 8, FALSE) - F794, ""))</f>
        <v/>
      </c>
      <c r="K794" s="29" t="s">
        <v>175</v>
      </c>
      <c r="L794" s="29" t="b">
        <v>0</v>
      </c>
      <c r="M794" s="29"/>
      <c r="N794" s="29" t="s">
        <v>175</v>
      </c>
      <c r="O794" s="29" t="str">
        <f>IF(ISBLANK(A794), "", LET(entry_day, VLOOKUP(A794, 'Master Roster'!$A:$G, 7, FALSE), start_date, DATE(E794, MONTH(D794&amp;" 1"), entry_day), end_date, EDATE(start_date, 1), period, TEXT(start_date, "mmm d, yyyy") &amp; " - " &amp; TEXT(end_date, "mmm d, yyyy"), HYPERLINK("https://wa.me/" &amp; VLOOKUP(A794, 'Master Roster'!$A:$F, 6, FALSE) &amp; "?text=" &amp; ENCODEURL("Hello " &amp; IFERROR(IF(VLOOKUP(A794, 'Master Roster'!$A:$J, 10, FALSE)="Male", "Mr. ", "Ms. "), "") &amp; B794 &amp; ", payment of K" &amp; F794 &amp; " received for " &amp; period &amp; ". Receipt No: " &amp; N794), "Send Receipt")))</f>
        <v/>
      </c>
    </row>
    <row r="795">
      <c r="A795" s="29"/>
      <c r="B795" s="29" t="s">
        <v>175</v>
      </c>
      <c r="C795" s="76"/>
      <c r="D795" s="29"/>
      <c r="E795" s="29"/>
      <c r="F795" s="29"/>
      <c r="G795" s="29"/>
      <c r="H795" s="29" t="str">
        <f t="shared" si="1"/>
        <v/>
      </c>
      <c r="I795" s="29" t="str">
        <f t="shared" si="2"/>
        <v/>
      </c>
      <c r="J795" s="29" t="str">
        <f>IF(A795="", "", IFERROR(VLOOKUP(A795, 'Master Roster'!A:H, 8, FALSE) - F795, ""))</f>
        <v/>
      </c>
      <c r="K795" s="29" t="s">
        <v>175</v>
      </c>
      <c r="L795" s="29" t="b">
        <v>0</v>
      </c>
      <c r="M795" s="29"/>
      <c r="N795" s="29" t="s">
        <v>175</v>
      </c>
      <c r="O795" s="29" t="str">
        <f>IF(ISBLANK(A795), "", LET(entry_day, VLOOKUP(A795, 'Master Roster'!$A:$G, 7, FALSE), start_date, DATE(E795, MONTH(D795&amp;" 1"), entry_day), end_date, EDATE(start_date, 1), period, TEXT(start_date, "mmm d, yyyy") &amp; " - " &amp; TEXT(end_date, "mmm d, yyyy"), HYPERLINK("https://wa.me/" &amp; VLOOKUP(A795, 'Master Roster'!$A:$F, 6, FALSE) &amp; "?text=" &amp; ENCODEURL("Hello " &amp; IFERROR(IF(VLOOKUP(A795, 'Master Roster'!$A:$J, 10, FALSE)="Male", "Mr. ", "Ms. "), "") &amp; B795 &amp; ", payment of K" &amp; F795 &amp; " received for " &amp; period &amp; ". Receipt No: " &amp; N795), "Send Receipt")))</f>
        <v/>
      </c>
    </row>
    <row r="796">
      <c r="A796" s="29"/>
      <c r="B796" s="29" t="s">
        <v>175</v>
      </c>
      <c r="C796" s="76"/>
      <c r="D796" s="29"/>
      <c r="E796" s="29"/>
      <c r="F796" s="29"/>
      <c r="G796" s="29"/>
      <c r="H796" s="29" t="str">
        <f t="shared" si="1"/>
        <v/>
      </c>
      <c r="I796" s="29" t="str">
        <f t="shared" si="2"/>
        <v/>
      </c>
      <c r="J796" s="29" t="str">
        <f>IF(A796="", "", IFERROR(VLOOKUP(A796, 'Master Roster'!A:H, 8, FALSE) - F796, ""))</f>
        <v/>
      </c>
      <c r="K796" s="29" t="s">
        <v>175</v>
      </c>
      <c r="L796" s="29" t="b">
        <v>0</v>
      </c>
      <c r="M796" s="29"/>
      <c r="N796" s="29" t="s">
        <v>175</v>
      </c>
      <c r="O796" s="29" t="str">
        <f>IF(ISBLANK(A796), "", LET(entry_day, VLOOKUP(A796, 'Master Roster'!$A:$G, 7, FALSE), start_date, DATE(E796, MONTH(D796&amp;" 1"), entry_day), end_date, EDATE(start_date, 1), period, TEXT(start_date, "mmm d, yyyy") &amp; " - " &amp; TEXT(end_date, "mmm d, yyyy"), HYPERLINK("https://wa.me/" &amp; VLOOKUP(A796, 'Master Roster'!$A:$F, 6, FALSE) &amp; "?text=" &amp; ENCODEURL("Hello " &amp; IFERROR(IF(VLOOKUP(A796, 'Master Roster'!$A:$J, 10, FALSE)="Male", "Mr. ", "Ms. "), "") &amp; B796 &amp; ", payment of K" &amp; F796 &amp; " received for " &amp; period &amp; ". Receipt No: " &amp; N796), "Send Receipt")))</f>
        <v/>
      </c>
    </row>
    <row r="797">
      <c r="A797" s="29"/>
      <c r="B797" s="29" t="s">
        <v>175</v>
      </c>
      <c r="C797" s="76"/>
      <c r="D797" s="29"/>
      <c r="E797" s="29"/>
      <c r="F797" s="29"/>
      <c r="G797" s="29"/>
      <c r="H797" s="29" t="str">
        <f t="shared" si="1"/>
        <v/>
      </c>
      <c r="I797" s="29" t="str">
        <f t="shared" si="2"/>
        <v/>
      </c>
      <c r="J797" s="29" t="str">
        <f>IF(A797="", "", IFERROR(VLOOKUP(A797, 'Master Roster'!A:H, 8, FALSE) - F797, ""))</f>
        <v/>
      </c>
      <c r="K797" s="29" t="s">
        <v>175</v>
      </c>
      <c r="L797" s="29" t="b">
        <v>0</v>
      </c>
      <c r="M797" s="29"/>
      <c r="N797" s="29" t="s">
        <v>175</v>
      </c>
      <c r="O797" s="29" t="str">
        <f>IF(ISBLANK(A797), "", LET(entry_day, VLOOKUP(A797, 'Master Roster'!$A:$G, 7, FALSE), start_date, DATE(E797, MONTH(D797&amp;" 1"), entry_day), end_date, EDATE(start_date, 1), period, TEXT(start_date, "mmm d, yyyy") &amp; " - " &amp; TEXT(end_date, "mmm d, yyyy"), HYPERLINK("https://wa.me/" &amp; VLOOKUP(A797, 'Master Roster'!$A:$F, 6, FALSE) &amp; "?text=" &amp; ENCODEURL("Hello " &amp; IFERROR(IF(VLOOKUP(A797, 'Master Roster'!$A:$J, 10, FALSE)="Male", "Mr. ", "Ms. "), "") &amp; B797 &amp; ", payment of K" &amp; F797 &amp; " received for " &amp; period &amp; ". Receipt No: " &amp; N797), "Send Receipt")))</f>
        <v/>
      </c>
    </row>
    <row r="798">
      <c r="A798" s="29"/>
      <c r="B798" s="29" t="s">
        <v>175</v>
      </c>
      <c r="C798" s="76"/>
      <c r="D798" s="29"/>
      <c r="E798" s="29"/>
      <c r="F798" s="29"/>
      <c r="G798" s="29"/>
      <c r="H798" s="29" t="str">
        <f t="shared" si="1"/>
        <v/>
      </c>
      <c r="I798" s="29" t="str">
        <f t="shared" si="2"/>
        <v/>
      </c>
      <c r="J798" s="29" t="str">
        <f>IF(A798="", "", IFERROR(VLOOKUP(A798, 'Master Roster'!A:H, 8, FALSE) - F798, ""))</f>
        <v/>
      </c>
      <c r="K798" s="29" t="s">
        <v>175</v>
      </c>
      <c r="L798" s="29" t="b">
        <v>0</v>
      </c>
      <c r="M798" s="29"/>
      <c r="N798" s="29" t="s">
        <v>175</v>
      </c>
      <c r="O798" s="29" t="str">
        <f>IF(ISBLANK(A798), "", LET(entry_day, VLOOKUP(A798, 'Master Roster'!$A:$G, 7, FALSE), start_date, DATE(E798, MONTH(D798&amp;" 1"), entry_day), end_date, EDATE(start_date, 1), period, TEXT(start_date, "mmm d, yyyy") &amp; " - " &amp; TEXT(end_date, "mmm d, yyyy"), HYPERLINK("https://wa.me/" &amp; VLOOKUP(A798, 'Master Roster'!$A:$F, 6, FALSE) &amp; "?text=" &amp; ENCODEURL("Hello " &amp; IFERROR(IF(VLOOKUP(A798, 'Master Roster'!$A:$J, 10, FALSE)="Male", "Mr. ", "Ms. "), "") &amp; B798 &amp; ", payment of K" &amp; F798 &amp; " received for " &amp; period &amp; ". Receipt No: " &amp; N798), "Send Receipt")))</f>
        <v/>
      </c>
    </row>
    <row r="799">
      <c r="A799" s="29"/>
      <c r="B799" s="29" t="s">
        <v>175</v>
      </c>
      <c r="C799" s="76"/>
      <c r="D799" s="29"/>
      <c r="E799" s="29"/>
      <c r="F799" s="29"/>
      <c r="G799" s="29"/>
      <c r="H799" s="29" t="str">
        <f t="shared" si="1"/>
        <v/>
      </c>
      <c r="I799" s="29" t="str">
        <f t="shared" si="2"/>
        <v/>
      </c>
      <c r="J799" s="29" t="str">
        <f>IF(A799="", "", IFERROR(VLOOKUP(A799, 'Master Roster'!A:H, 8, FALSE) - F799, ""))</f>
        <v/>
      </c>
      <c r="K799" s="29" t="s">
        <v>175</v>
      </c>
      <c r="L799" s="29" t="b">
        <v>0</v>
      </c>
      <c r="M799" s="29"/>
      <c r="N799" s="29" t="s">
        <v>175</v>
      </c>
      <c r="O799" s="29" t="str">
        <f>IF(ISBLANK(A799), "", LET(entry_day, VLOOKUP(A799, 'Master Roster'!$A:$G, 7, FALSE), start_date, DATE(E799, MONTH(D799&amp;" 1"), entry_day), end_date, EDATE(start_date, 1), period, TEXT(start_date, "mmm d, yyyy") &amp; " - " &amp; TEXT(end_date, "mmm d, yyyy"), HYPERLINK("https://wa.me/" &amp; VLOOKUP(A799, 'Master Roster'!$A:$F, 6, FALSE) &amp; "?text=" &amp; ENCODEURL("Hello " &amp; IFERROR(IF(VLOOKUP(A799, 'Master Roster'!$A:$J, 10, FALSE)="Male", "Mr. ", "Ms. "), "") &amp; B799 &amp; ", payment of K" &amp; F799 &amp; " received for " &amp; period &amp; ". Receipt No: " &amp; N799), "Send Receipt")))</f>
        <v/>
      </c>
    </row>
    <row r="800">
      <c r="A800" s="29"/>
      <c r="B800" s="29" t="s">
        <v>175</v>
      </c>
      <c r="C800" s="76"/>
      <c r="D800" s="29"/>
      <c r="E800" s="29"/>
      <c r="F800" s="29"/>
      <c r="G800" s="29"/>
      <c r="H800" s="29" t="str">
        <f t="shared" si="1"/>
        <v/>
      </c>
      <c r="I800" s="29" t="str">
        <f t="shared" si="2"/>
        <v/>
      </c>
      <c r="J800" s="29" t="str">
        <f>IF(A800="", "", IFERROR(VLOOKUP(A800, 'Master Roster'!A:H, 8, FALSE) - F800, ""))</f>
        <v/>
      </c>
      <c r="K800" s="29" t="s">
        <v>175</v>
      </c>
      <c r="L800" s="29" t="b">
        <v>0</v>
      </c>
      <c r="M800" s="29"/>
      <c r="N800" s="29" t="s">
        <v>175</v>
      </c>
      <c r="O800" s="29" t="str">
        <f>IF(ISBLANK(A800), "", LET(entry_day, VLOOKUP(A800, 'Master Roster'!$A:$G, 7, FALSE), start_date, DATE(E800, MONTH(D800&amp;" 1"), entry_day), end_date, EDATE(start_date, 1), period, TEXT(start_date, "mmm d, yyyy") &amp; " - " &amp; TEXT(end_date, "mmm d, yyyy"), HYPERLINK("https://wa.me/" &amp; VLOOKUP(A800, 'Master Roster'!$A:$F, 6, FALSE) &amp; "?text=" &amp; ENCODEURL("Hello " &amp; IFERROR(IF(VLOOKUP(A800, 'Master Roster'!$A:$J, 10, FALSE)="Male", "Mr. ", "Ms. "), "") &amp; B800 &amp; ", payment of K" &amp; F800 &amp; " received for " &amp; period &amp; ". Receipt No: " &amp; N800), "Send Receipt")))</f>
        <v/>
      </c>
    </row>
    <row r="801">
      <c r="A801" s="29"/>
      <c r="B801" s="29" t="s">
        <v>175</v>
      </c>
      <c r="C801" s="76"/>
      <c r="D801" s="29"/>
      <c r="E801" s="29"/>
      <c r="F801" s="29"/>
      <c r="G801" s="29"/>
      <c r="H801" s="29" t="str">
        <f t="shared" si="1"/>
        <v/>
      </c>
      <c r="I801" s="29" t="str">
        <f t="shared" si="2"/>
        <v/>
      </c>
      <c r="J801" s="29" t="str">
        <f>IF(A801="", "", IFERROR(VLOOKUP(A801, 'Master Roster'!A:H, 8, FALSE) - F801, ""))</f>
        <v/>
      </c>
      <c r="K801" s="29" t="s">
        <v>175</v>
      </c>
      <c r="L801" s="29" t="b">
        <v>0</v>
      </c>
      <c r="M801" s="29"/>
      <c r="N801" s="29" t="s">
        <v>175</v>
      </c>
      <c r="O801" s="29" t="str">
        <f>IF(ISBLANK(A801), "", LET(entry_day, VLOOKUP(A801, 'Master Roster'!$A:$G, 7, FALSE), start_date, DATE(E801, MONTH(D801&amp;" 1"), entry_day), end_date, EDATE(start_date, 1), period, TEXT(start_date, "mmm d, yyyy") &amp; " - " &amp; TEXT(end_date, "mmm d, yyyy"), HYPERLINK("https://wa.me/" &amp; VLOOKUP(A801, 'Master Roster'!$A:$F, 6, FALSE) &amp; "?text=" &amp; ENCODEURL("Hello " &amp; IFERROR(IF(VLOOKUP(A801, 'Master Roster'!$A:$J, 10, FALSE)="Male", "Mr. ", "Ms. "), "") &amp; B801 &amp; ", payment of K" &amp; F801 &amp; " received for " &amp; period &amp; ". Receipt No: " &amp; N801), "Send Receipt")))</f>
        <v/>
      </c>
    </row>
    <row r="802">
      <c r="A802" s="29"/>
      <c r="B802" s="29" t="s">
        <v>175</v>
      </c>
      <c r="C802" s="76"/>
      <c r="D802" s="29"/>
      <c r="E802" s="29"/>
      <c r="F802" s="29"/>
      <c r="G802" s="29"/>
      <c r="H802" s="29" t="str">
        <f t="shared" si="1"/>
        <v/>
      </c>
      <c r="I802" s="29" t="str">
        <f t="shared" si="2"/>
        <v/>
      </c>
      <c r="J802" s="29" t="str">
        <f>IF(A802="", "", IFERROR(VLOOKUP(A802, 'Master Roster'!A:H, 8, FALSE) - F802, ""))</f>
        <v/>
      </c>
      <c r="K802" s="29" t="s">
        <v>175</v>
      </c>
      <c r="L802" s="29" t="b">
        <v>0</v>
      </c>
      <c r="M802" s="29"/>
      <c r="N802" s="29" t="s">
        <v>175</v>
      </c>
      <c r="O802" s="29" t="str">
        <f>IF(ISBLANK(A802), "", LET(entry_day, VLOOKUP(A802, 'Master Roster'!$A:$G, 7, FALSE), start_date, DATE(E802, MONTH(D802&amp;" 1"), entry_day), end_date, EDATE(start_date, 1), period, TEXT(start_date, "mmm d, yyyy") &amp; " - " &amp; TEXT(end_date, "mmm d, yyyy"), HYPERLINK("https://wa.me/" &amp; VLOOKUP(A802, 'Master Roster'!$A:$F, 6, FALSE) &amp; "?text=" &amp; ENCODEURL("Hello " &amp; IFERROR(IF(VLOOKUP(A802, 'Master Roster'!$A:$J, 10, FALSE)="Male", "Mr. ", "Ms. "), "") &amp; B802 &amp; ", payment of K" &amp; F802 &amp; " received for " &amp; period &amp; ". Receipt No: " &amp; N802), "Send Receipt")))</f>
        <v/>
      </c>
    </row>
    <row r="803">
      <c r="A803" s="29"/>
      <c r="B803" s="29" t="s">
        <v>175</v>
      </c>
      <c r="C803" s="76"/>
      <c r="D803" s="29"/>
      <c r="E803" s="29"/>
      <c r="F803" s="29"/>
      <c r="G803" s="29"/>
      <c r="H803" s="29" t="str">
        <f t="shared" si="1"/>
        <v/>
      </c>
      <c r="I803" s="29" t="str">
        <f t="shared" si="2"/>
        <v/>
      </c>
      <c r="J803" s="29" t="str">
        <f>IF(A803="", "", IFERROR(VLOOKUP(A803, 'Master Roster'!A:H, 8, FALSE) - F803, ""))</f>
        <v/>
      </c>
      <c r="K803" s="29" t="s">
        <v>175</v>
      </c>
      <c r="L803" s="29" t="b">
        <v>0</v>
      </c>
      <c r="M803" s="29"/>
      <c r="N803" s="29" t="s">
        <v>175</v>
      </c>
      <c r="O803" s="29" t="str">
        <f>IF(ISBLANK(A803), "", LET(entry_day, VLOOKUP(A803, 'Master Roster'!$A:$G, 7, FALSE), start_date, DATE(E803, MONTH(D803&amp;" 1"), entry_day), end_date, EDATE(start_date, 1), period, TEXT(start_date, "mmm d, yyyy") &amp; " - " &amp; TEXT(end_date, "mmm d, yyyy"), HYPERLINK("https://wa.me/" &amp; VLOOKUP(A803, 'Master Roster'!$A:$F, 6, FALSE) &amp; "?text=" &amp; ENCODEURL("Hello " &amp; IFERROR(IF(VLOOKUP(A803, 'Master Roster'!$A:$J, 10, FALSE)="Male", "Mr. ", "Ms. "), "") &amp; B803 &amp; ", payment of K" &amp; F803 &amp; " received for " &amp; period &amp; ". Receipt No: " &amp; N803), "Send Receipt")))</f>
        <v/>
      </c>
    </row>
    <row r="804">
      <c r="A804" s="29"/>
      <c r="B804" s="29" t="s">
        <v>175</v>
      </c>
      <c r="C804" s="76"/>
      <c r="D804" s="29"/>
      <c r="E804" s="29"/>
      <c r="F804" s="29"/>
      <c r="G804" s="29"/>
      <c r="H804" s="29" t="str">
        <f t="shared" si="1"/>
        <v/>
      </c>
      <c r="I804" s="29" t="str">
        <f t="shared" si="2"/>
        <v/>
      </c>
      <c r="J804" s="29" t="str">
        <f>IF(A804="", "", IFERROR(VLOOKUP(A804, 'Master Roster'!A:H, 8, FALSE) - F804, ""))</f>
        <v/>
      </c>
      <c r="K804" s="29" t="s">
        <v>175</v>
      </c>
      <c r="L804" s="29" t="b">
        <v>0</v>
      </c>
      <c r="M804" s="29"/>
      <c r="N804" s="29" t="s">
        <v>175</v>
      </c>
      <c r="O804" s="29" t="str">
        <f>IF(ISBLANK(A804), "", LET(entry_day, VLOOKUP(A804, 'Master Roster'!$A:$G, 7, FALSE), start_date, DATE(E804, MONTH(D804&amp;" 1"), entry_day), end_date, EDATE(start_date, 1), period, TEXT(start_date, "mmm d, yyyy") &amp; " - " &amp; TEXT(end_date, "mmm d, yyyy"), HYPERLINK("https://wa.me/" &amp; VLOOKUP(A804, 'Master Roster'!$A:$F, 6, FALSE) &amp; "?text=" &amp; ENCODEURL("Hello " &amp; IFERROR(IF(VLOOKUP(A804, 'Master Roster'!$A:$J, 10, FALSE)="Male", "Mr. ", "Ms. "), "") &amp; B804 &amp; ", payment of K" &amp; F804 &amp; " received for " &amp; period &amp; ". Receipt No: " &amp; N804), "Send Receipt")))</f>
        <v/>
      </c>
    </row>
    <row r="805">
      <c r="A805" s="29"/>
      <c r="B805" s="29" t="s">
        <v>175</v>
      </c>
      <c r="C805" s="76"/>
      <c r="D805" s="29"/>
      <c r="E805" s="29"/>
      <c r="F805" s="29"/>
      <c r="G805" s="29"/>
      <c r="H805" s="29" t="str">
        <f t="shared" si="1"/>
        <v/>
      </c>
      <c r="I805" s="29" t="str">
        <f t="shared" si="2"/>
        <v/>
      </c>
      <c r="J805" s="29" t="str">
        <f>IF(A805="", "", IFERROR(VLOOKUP(A805, 'Master Roster'!A:H, 8, FALSE) - F805, ""))</f>
        <v/>
      </c>
      <c r="K805" s="29" t="s">
        <v>175</v>
      </c>
      <c r="L805" s="29" t="b">
        <v>0</v>
      </c>
      <c r="M805" s="29"/>
      <c r="N805" s="29" t="s">
        <v>175</v>
      </c>
      <c r="O805" s="29" t="str">
        <f>IF(ISBLANK(A805), "", LET(entry_day, VLOOKUP(A805, 'Master Roster'!$A:$G, 7, FALSE), start_date, DATE(E805, MONTH(D805&amp;" 1"), entry_day), end_date, EDATE(start_date, 1), period, TEXT(start_date, "mmm d, yyyy") &amp; " - " &amp; TEXT(end_date, "mmm d, yyyy"), HYPERLINK("https://wa.me/" &amp; VLOOKUP(A805, 'Master Roster'!$A:$F, 6, FALSE) &amp; "?text=" &amp; ENCODEURL("Hello " &amp; IFERROR(IF(VLOOKUP(A805, 'Master Roster'!$A:$J, 10, FALSE)="Male", "Mr. ", "Ms. "), "") &amp; B805 &amp; ", payment of K" &amp; F805 &amp; " received for " &amp; period &amp; ". Receipt No: " &amp; N805), "Send Receipt")))</f>
        <v/>
      </c>
    </row>
    <row r="806">
      <c r="A806" s="29"/>
      <c r="B806" s="29" t="s">
        <v>175</v>
      </c>
      <c r="C806" s="76"/>
      <c r="D806" s="29"/>
      <c r="E806" s="29"/>
      <c r="F806" s="29"/>
      <c r="G806" s="29"/>
      <c r="H806" s="29" t="str">
        <f t="shared" si="1"/>
        <v/>
      </c>
      <c r="I806" s="29" t="str">
        <f t="shared" si="2"/>
        <v/>
      </c>
      <c r="J806" s="29" t="str">
        <f>IF(A806="", "", IFERROR(VLOOKUP(A806, 'Master Roster'!A:H, 8, FALSE) - F806, ""))</f>
        <v/>
      </c>
      <c r="K806" s="29" t="s">
        <v>175</v>
      </c>
      <c r="L806" s="29" t="b">
        <v>0</v>
      </c>
      <c r="M806" s="29"/>
      <c r="N806" s="29" t="s">
        <v>175</v>
      </c>
      <c r="O806" s="29" t="str">
        <f>IF(ISBLANK(A806), "", LET(entry_day, VLOOKUP(A806, 'Master Roster'!$A:$G, 7, FALSE), start_date, DATE(E806, MONTH(D806&amp;" 1"), entry_day), end_date, EDATE(start_date, 1), period, TEXT(start_date, "mmm d, yyyy") &amp; " - " &amp; TEXT(end_date, "mmm d, yyyy"), HYPERLINK("https://wa.me/" &amp; VLOOKUP(A806, 'Master Roster'!$A:$F, 6, FALSE) &amp; "?text=" &amp; ENCODEURL("Hello " &amp; IFERROR(IF(VLOOKUP(A806, 'Master Roster'!$A:$J, 10, FALSE)="Male", "Mr. ", "Ms. "), "") &amp; B806 &amp; ", payment of K" &amp; F806 &amp; " received for " &amp; period &amp; ". Receipt No: " &amp; N806), "Send Receipt")))</f>
        <v/>
      </c>
    </row>
    <row r="807">
      <c r="A807" s="29"/>
      <c r="B807" s="29" t="s">
        <v>175</v>
      </c>
      <c r="C807" s="76"/>
      <c r="D807" s="29"/>
      <c r="E807" s="29"/>
      <c r="F807" s="29"/>
      <c r="G807" s="29"/>
      <c r="H807" s="29" t="str">
        <f t="shared" si="1"/>
        <v/>
      </c>
      <c r="I807" s="29" t="str">
        <f t="shared" si="2"/>
        <v/>
      </c>
      <c r="J807" s="29" t="str">
        <f>IF(A807="", "", IFERROR(VLOOKUP(A807, 'Master Roster'!A:H, 8, FALSE) - F807, ""))</f>
        <v/>
      </c>
      <c r="K807" s="29" t="s">
        <v>175</v>
      </c>
      <c r="L807" s="29" t="b">
        <v>0</v>
      </c>
      <c r="M807" s="29"/>
      <c r="N807" s="29" t="s">
        <v>175</v>
      </c>
      <c r="O807" s="29" t="str">
        <f>IF(ISBLANK(A807), "", LET(entry_day, VLOOKUP(A807, 'Master Roster'!$A:$G, 7, FALSE), start_date, DATE(E807, MONTH(D807&amp;" 1"), entry_day), end_date, EDATE(start_date, 1), period, TEXT(start_date, "mmm d, yyyy") &amp; " - " &amp; TEXT(end_date, "mmm d, yyyy"), HYPERLINK("https://wa.me/" &amp; VLOOKUP(A807, 'Master Roster'!$A:$F, 6, FALSE) &amp; "?text=" &amp; ENCODEURL("Hello " &amp; IFERROR(IF(VLOOKUP(A807, 'Master Roster'!$A:$J, 10, FALSE)="Male", "Mr. ", "Ms. "), "") &amp; B807 &amp; ", payment of K" &amp; F807 &amp; " received for " &amp; period &amp; ". Receipt No: " &amp; N807), "Send Receipt")))</f>
        <v/>
      </c>
    </row>
    <row r="808">
      <c r="A808" s="29"/>
      <c r="B808" s="29" t="s">
        <v>175</v>
      </c>
      <c r="C808" s="76"/>
      <c r="D808" s="29"/>
      <c r="E808" s="29"/>
      <c r="F808" s="29"/>
      <c r="G808" s="29"/>
      <c r="H808" s="29" t="str">
        <f t="shared" si="1"/>
        <v/>
      </c>
      <c r="I808" s="29" t="str">
        <f t="shared" si="2"/>
        <v/>
      </c>
      <c r="J808" s="29" t="str">
        <f>IF(A808="", "", IFERROR(VLOOKUP(A808, 'Master Roster'!A:H, 8, FALSE) - F808, ""))</f>
        <v/>
      </c>
      <c r="K808" s="29" t="s">
        <v>175</v>
      </c>
      <c r="L808" s="29" t="b">
        <v>0</v>
      </c>
      <c r="M808" s="29"/>
      <c r="N808" s="29" t="s">
        <v>175</v>
      </c>
      <c r="O808" s="29" t="str">
        <f>IF(ISBLANK(A808), "", LET(entry_day, VLOOKUP(A808, 'Master Roster'!$A:$G, 7, FALSE), start_date, DATE(E808, MONTH(D808&amp;" 1"), entry_day), end_date, EDATE(start_date, 1), period, TEXT(start_date, "mmm d, yyyy") &amp; " - " &amp; TEXT(end_date, "mmm d, yyyy"), HYPERLINK("https://wa.me/" &amp; VLOOKUP(A808, 'Master Roster'!$A:$F, 6, FALSE) &amp; "?text=" &amp; ENCODEURL("Hello " &amp; IFERROR(IF(VLOOKUP(A808, 'Master Roster'!$A:$J, 10, FALSE)="Male", "Mr. ", "Ms. "), "") &amp; B808 &amp; ", payment of K" &amp; F808 &amp; " received for " &amp; period &amp; ". Receipt No: " &amp; N808), "Send Receipt")))</f>
        <v/>
      </c>
    </row>
    <row r="809">
      <c r="A809" s="29"/>
      <c r="B809" s="29" t="s">
        <v>175</v>
      </c>
      <c r="C809" s="76"/>
      <c r="D809" s="29"/>
      <c r="E809" s="29"/>
      <c r="F809" s="29"/>
      <c r="G809" s="29"/>
      <c r="H809" s="29" t="str">
        <f t="shared" si="1"/>
        <v/>
      </c>
      <c r="I809" s="29" t="str">
        <f t="shared" si="2"/>
        <v/>
      </c>
      <c r="J809" s="29" t="str">
        <f>IF(A809="", "", IFERROR(VLOOKUP(A809, 'Master Roster'!A:H, 8, FALSE) - F809, ""))</f>
        <v/>
      </c>
      <c r="K809" s="29" t="s">
        <v>175</v>
      </c>
      <c r="L809" s="29" t="b">
        <v>0</v>
      </c>
      <c r="M809" s="29"/>
      <c r="N809" s="29" t="s">
        <v>175</v>
      </c>
      <c r="O809" s="29" t="str">
        <f>IF(ISBLANK(A809), "", LET(entry_day, VLOOKUP(A809, 'Master Roster'!$A:$G, 7, FALSE), start_date, DATE(E809, MONTH(D809&amp;" 1"), entry_day), end_date, EDATE(start_date, 1), period, TEXT(start_date, "mmm d, yyyy") &amp; " - " &amp; TEXT(end_date, "mmm d, yyyy"), HYPERLINK("https://wa.me/" &amp; VLOOKUP(A809, 'Master Roster'!$A:$F, 6, FALSE) &amp; "?text=" &amp; ENCODEURL("Hello " &amp; IFERROR(IF(VLOOKUP(A809, 'Master Roster'!$A:$J, 10, FALSE)="Male", "Mr. ", "Ms. "), "") &amp; B809 &amp; ", payment of K" &amp; F809 &amp; " received for " &amp; period &amp; ". Receipt No: " &amp; N809), "Send Receipt")))</f>
        <v/>
      </c>
    </row>
    <row r="810">
      <c r="A810" s="29"/>
      <c r="B810" s="29" t="s">
        <v>175</v>
      </c>
      <c r="C810" s="76"/>
      <c r="D810" s="29"/>
      <c r="E810" s="29"/>
      <c r="F810" s="29"/>
      <c r="G810" s="29"/>
      <c r="H810" s="29" t="str">
        <f t="shared" si="1"/>
        <v/>
      </c>
      <c r="I810" s="29" t="str">
        <f t="shared" si="2"/>
        <v/>
      </c>
      <c r="J810" s="29" t="str">
        <f>IF(A810="", "", IFERROR(VLOOKUP(A810, 'Master Roster'!A:H, 8, FALSE) - F810, ""))</f>
        <v/>
      </c>
      <c r="K810" s="29" t="s">
        <v>175</v>
      </c>
      <c r="L810" s="29" t="b">
        <v>0</v>
      </c>
      <c r="M810" s="29"/>
      <c r="N810" s="29" t="s">
        <v>175</v>
      </c>
      <c r="O810" s="29" t="str">
        <f>IF(ISBLANK(A810), "", LET(entry_day, VLOOKUP(A810, 'Master Roster'!$A:$G, 7, FALSE), start_date, DATE(E810, MONTH(D810&amp;" 1"), entry_day), end_date, EDATE(start_date, 1), period, TEXT(start_date, "mmm d, yyyy") &amp; " - " &amp; TEXT(end_date, "mmm d, yyyy"), HYPERLINK("https://wa.me/" &amp; VLOOKUP(A810, 'Master Roster'!$A:$F, 6, FALSE) &amp; "?text=" &amp; ENCODEURL("Hello " &amp; IFERROR(IF(VLOOKUP(A810, 'Master Roster'!$A:$J, 10, FALSE)="Male", "Mr. ", "Ms. "), "") &amp; B810 &amp; ", payment of K" &amp; F810 &amp; " received for " &amp; period &amp; ". Receipt No: " &amp; N810), "Send Receipt")))</f>
        <v/>
      </c>
    </row>
    <row r="811">
      <c r="A811" s="29"/>
      <c r="B811" s="29" t="s">
        <v>175</v>
      </c>
      <c r="C811" s="76"/>
      <c r="D811" s="29"/>
      <c r="E811" s="29"/>
      <c r="F811" s="29"/>
      <c r="G811" s="29"/>
      <c r="H811" s="29" t="str">
        <f t="shared" si="1"/>
        <v/>
      </c>
      <c r="I811" s="29" t="str">
        <f t="shared" si="2"/>
        <v/>
      </c>
      <c r="J811" s="29" t="str">
        <f>IF(A811="", "", IFERROR(VLOOKUP(A811, 'Master Roster'!A:H, 8, FALSE) - F811, ""))</f>
        <v/>
      </c>
      <c r="K811" s="29" t="s">
        <v>175</v>
      </c>
      <c r="L811" s="29" t="b">
        <v>0</v>
      </c>
      <c r="M811" s="29"/>
      <c r="N811" s="29" t="s">
        <v>175</v>
      </c>
      <c r="O811" s="29" t="str">
        <f>IF(ISBLANK(A811), "", LET(entry_day, VLOOKUP(A811, 'Master Roster'!$A:$G, 7, FALSE), start_date, DATE(E811, MONTH(D811&amp;" 1"), entry_day), end_date, EDATE(start_date, 1), period, TEXT(start_date, "mmm d, yyyy") &amp; " - " &amp; TEXT(end_date, "mmm d, yyyy"), HYPERLINK("https://wa.me/" &amp; VLOOKUP(A811, 'Master Roster'!$A:$F, 6, FALSE) &amp; "?text=" &amp; ENCODEURL("Hello " &amp; IFERROR(IF(VLOOKUP(A811, 'Master Roster'!$A:$J, 10, FALSE)="Male", "Mr. ", "Ms. "), "") &amp; B811 &amp; ", payment of K" &amp; F811 &amp; " received for " &amp; period &amp; ". Receipt No: " &amp; N811), "Send Receipt")))</f>
        <v/>
      </c>
    </row>
    <row r="812">
      <c r="A812" s="29"/>
      <c r="B812" s="29" t="s">
        <v>175</v>
      </c>
      <c r="C812" s="76"/>
      <c r="D812" s="29"/>
      <c r="E812" s="29"/>
      <c r="F812" s="29"/>
      <c r="G812" s="29"/>
      <c r="H812" s="29" t="str">
        <f t="shared" si="1"/>
        <v/>
      </c>
      <c r="I812" s="29" t="str">
        <f t="shared" si="2"/>
        <v/>
      </c>
      <c r="J812" s="29" t="str">
        <f>IF(A812="", "", IFERROR(VLOOKUP(A812, 'Master Roster'!A:H, 8, FALSE) - F812, ""))</f>
        <v/>
      </c>
      <c r="K812" s="29" t="s">
        <v>175</v>
      </c>
      <c r="L812" s="29" t="b">
        <v>0</v>
      </c>
      <c r="M812" s="29"/>
      <c r="N812" s="29" t="s">
        <v>175</v>
      </c>
      <c r="O812" s="29" t="str">
        <f>IF(ISBLANK(A812), "", LET(entry_day, VLOOKUP(A812, 'Master Roster'!$A:$G, 7, FALSE), start_date, DATE(E812, MONTH(D812&amp;" 1"), entry_day), end_date, EDATE(start_date, 1), period, TEXT(start_date, "mmm d, yyyy") &amp; " - " &amp; TEXT(end_date, "mmm d, yyyy"), HYPERLINK("https://wa.me/" &amp; VLOOKUP(A812, 'Master Roster'!$A:$F, 6, FALSE) &amp; "?text=" &amp; ENCODEURL("Hello " &amp; IFERROR(IF(VLOOKUP(A812, 'Master Roster'!$A:$J, 10, FALSE)="Male", "Mr. ", "Ms. "), "") &amp; B812 &amp; ", payment of K" &amp; F812 &amp; " received for " &amp; period &amp; ". Receipt No: " &amp; N812), "Send Receipt")))</f>
        <v/>
      </c>
    </row>
    <row r="813">
      <c r="A813" s="29"/>
      <c r="B813" s="29" t="s">
        <v>175</v>
      </c>
      <c r="C813" s="76"/>
      <c r="D813" s="29"/>
      <c r="E813" s="29"/>
      <c r="F813" s="29"/>
      <c r="G813" s="29"/>
      <c r="H813" s="29" t="str">
        <f t="shared" si="1"/>
        <v/>
      </c>
      <c r="I813" s="29" t="str">
        <f t="shared" si="2"/>
        <v/>
      </c>
      <c r="J813" s="29" t="str">
        <f>IF(A813="", "", IFERROR(VLOOKUP(A813, 'Master Roster'!A:H, 8, FALSE) - F813, ""))</f>
        <v/>
      </c>
      <c r="K813" s="29" t="s">
        <v>175</v>
      </c>
      <c r="L813" s="29" t="b">
        <v>0</v>
      </c>
      <c r="M813" s="29"/>
      <c r="N813" s="29" t="s">
        <v>175</v>
      </c>
      <c r="O813" s="29" t="str">
        <f>IF(ISBLANK(A813), "", LET(entry_day, VLOOKUP(A813, 'Master Roster'!$A:$G, 7, FALSE), start_date, DATE(E813, MONTH(D813&amp;" 1"), entry_day), end_date, EDATE(start_date, 1), period, TEXT(start_date, "mmm d, yyyy") &amp; " - " &amp; TEXT(end_date, "mmm d, yyyy"), HYPERLINK("https://wa.me/" &amp; VLOOKUP(A813, 'Master Roster'!$A:$F, 6, FALSE) &amp; "?text=" &amp; ENCODEURL("Hello " &amp; IFERROR(IF(VLOOKUP(A813, 'Master Roster'!$A:$J, 10, FALSE)="Male", "Mr. ", "Ms. "), "") &amp; B813 &amp; ", payment of K" &amp; F813 &amp; " received for " &amp; period &amp; ". Receipt No: " &amp; N813), "Send Receipt")))</f>
        <v/>
      </c>
    </row>
    <row r="814">
      <c r="A814" s="29"/>
      <c r="B814" s="29" t="s">
        <v>175</v>
      </c>
      <c r="C814" s="76"/>
      <c r="D814" s="29"/>
      <c r="E814" s="29"/>
      <c r="F814" s="29"/>
      <c r="G814" s="29"/>
      <c r="H814" s="29" t="str">
        <f t="shared" si="1"/>
        <v/>
      </c>
      <c r="I814" s="29" t="str">
        <f t="shared" si="2"/>
        <v/>
      </c>
      <c r="J814" s="29" t="str">
        <f>IF(A814="", "", IFERROR(VLOOKUP(A814, 'Master Roster'!A:H, 8, FALSE) - F814, ""))</f>
        <v/>
      </c>
      <c r="K814" s="29" t="s">
        <v>175</v>
      </c>
      <c r="L814" s="29" t="b">
        <v>0</v>
      </c>
      <c r="M814" s="29"/>
      <c r="N814" s="29" t="s">
        <v>175</v>
      </c>
      <c r="O814" s="29" t="str">
        <f>IF(ISBLANK(A814), "", LET(entry_day, VLOOKUP(A814, 'Master Roster'!$A:$G, 7, FALSE), start_date, DATE(E814, MONTH(D814&amp;" 1"), entry_day), end_date, EDATE(start_date, 1), period, TEXT(start_date, "mmm d, yyyy") &amp; " - " &amp; TEXT(end_date, "mmm d, yyyy"), HYPERLINK("https://wa.me/" &amp; VLOOKUP(A814, 'Master Roster'!$A:$F, 6, FALSE) &amp; "?text=" &amp; ENCODEURL("Hello " &amp; IFERROR(IF(VLOOKUP(A814, 'Master Roster'!$A:$J, 10, FALSE)="Male", "Mr. ", "Ms. "), "") &amp; B814 &amp; ", payment of K" &amp; F814 &amp; " received for " &amp; period &amp; ". Receipt No: " &amp; N814), "Send Receipt")))</f>
        <v/>
      </c>
    </row>
    <row r="815">
      <c r="A815" s="29"/>
      <c r="B815" s="29" t="s">
        <v>175</v>
      </c>
      <c r="C815" s="76"/>
      <c r="D815" s="29"/>
      <c r="E815" s="29"/>
      <c r="F815" s="29"/>
      <c r="G815" s="29"/>
      <c r="H815" s="29" t="str">
        <f t="shared" si="1"/>
        <v/>
      </c>
      <c r="I815" s="29" t="str">
        <f t="shared" si="2"/>
        <v/>
      </c>
      <c r="J815" s="29" t="str">
        <f>IF(A815="", "", IFERROR(VLOOKUP(A815, 'Master Roster'!A:H, 8, FALSE) - F815, ""))</f>
        <v/>
      </c>
      <c r="K815" s="29" t="s">
        <v>175</v>
      </c>
      <c r="L815" s="29" t="b">
        <v>0</v>
      </c>
      <c r="M815" s="29"/>
      <c r="N815" s="29" t="s">
        <v>175</v>
      </c>
      <c r="O815" s="29" t="str">
        <f>IF(ISBLANK(A815), "", LET(entry_day, VLOOKUP(A815, 'Master Roster'!$A:$G, 7, FALSE), start_date, DATE(E815, MONTH(D815&amp;" 1"), entry_day), end_date, EDATE(start_date, 1), period, TEXT(start_date, "mmm d, yyyy") &amp; " - " &amp; TEXT(end_date, "mmm d, yyyy"), HYPERLINK("https://wa.me/" &amp; VLOOKUP(A815, 'Master Roster'!$A:$F, 6, FALSE) &amp; "?text=" &amp; ENCODEURL("Hello " &amp; IFERROR(IF(VLOOKUP(A815, 'Master Roster'!$A:$J, 10, FALSE)="Male", "Mr. ", "Ms. "), "") &amp; B815 &amp; ", payment of K" &amp; F815 &amp; " received for " &amp; period &amp; ". Receipt No: " &amp; N815), "Send Receipt")))</f>
        <v/>
      </c>
    </row>
    <row r="816">
      <c r="A816" s="29"/>
      <c r="B816" s="29" t="s">
        <v>175</v>
      </c>
      <c r="C816" s="76"/>
      <c r="D816" s="29"/>
      <c r="E816" s="29"/>
      <c r="F816" s="29"/>
      <c r="G816" s="29"/>
      <c r="H816" s="29" t="str">
        <f t="shared" si="1"/>
        <v/>
      </c>
      <c r="I816" s="29" t="str">
        <f t="shared" si="2"/>
        <v/>
      </c>
      <c r="J816" s="29" t="str">
        <f>IF(A816="", "", IFERROR(VLOOKUP(A816, 'Master Roster'!A:H, 8, FALSE) - F816, ""))</f>
        <v/>
      </c>
      <c r="K816" s="29" t="s">
        <v>175</v>
      </c>
      <c r="L816" s="29" t="b">
        <v>0</v>
      </c>
      <c r="M816" s="29"/>
      <c r="N816" s="29" t="s">
        <v>175</v>
      </c>
      <c r="O816" s="29" t="str">
        <f>IF(ISBLANK(A816), "", LET(entry_day, VLOOKUP(A816, 'Master Roster'!$A:$G, 7, FALSE), start_date, DATE(E816, MONTH(D816&amp;" 1"), entry_day), end_date, EDATE(start_date, 1), period, TEXT(start_date, "mmm d, yyyy") &amp; " - " &amp; TEXT(end_date, "mmm d, yyyy"), HYPERLINK("https://wa.me/" &amp; VLOOKUP(A816, 'Master Roster'!$A:$F, 6, FALSE) &amp; "?text=" &amp; ENCODEURL("Hello " &amp; IFERROR(IF(VLOOKUP(A816, 'Master Roster'!$A:$J, 10, FALSE)="Male", "Mr. ", "Ms. "), "") &amp; B816 &amp; ", payment of K" &amp; F816 &amp; " received for " &amp; period &amp; ". Receipt No: " &amp; N816), "Send Receipt")))</f>
        <v/>
      </c>
    </row>
    <row r="817">
      <c r="A817" s="29"/>
      <c r="B817" s="29" t="s">
        <v>175</v>
      </c>
      <c r="C817" s="76"/>
      <c r="D817" s="29"/>
      <c r="E817" s="29"/>
      <c r="F817" s="29"/>
      <c r="G817" s="29"/>
      <c r="H817" s="29" t="str">
        <f t="shared" si="1"/>
        <v/>
      </c>
      <c r="I817" s="29" t="str">
        <f t="shared" si="2"/>
        <v/>
      </c>
      <c r="J817" s="29" t="str">
        <f>IF(A817="", "", IFERROR(VLOOKUP(A817, 'Master Roster'!A:H, 8, FALSE) - F817, ""))</f>
        <v/>
      </c>
      <c r="K817" s="29" t="s">
        <v>175</v>
      </c>
      <c r="L817" s="29" t="b">
        <v>0</v>
      </c>
      <c r="M817" s="29"/>
      <c r="N817" s="29" t="s">
        <v>175</v>
      </c>
      <c r="O817" s="29" t="str">
        <f>IF(ISBLANK(A817), "", LET(entry_day, VLOOKUP(A817, 'Master Roster'!$A:$G, 7, FALSE), start_date, DATE(E817, MONTH(D817&amp;" 1"), entry_day), end_date, EDATE(start_date, 1), period, TEXT(start_date, "mmm d, yyyy") &amp; " - " &amp; TEXT(end_date, "mmm d, yyyy"), HYPERLINK("https://wa.me/" &amp; VLOOKUP(A817, 'Master Roster'!$A:$F, 6, FALSE) &amp; "?text=" &amp; ENCODEURL("Hello " &amp; IFERROR(IF(VLOOKUP(A817, 'Master Roster'!$A:$J, 10, FALSE)="Male", "Mr. ", "Ms. "), "") &amp; B817 &amp; ", payment of K" &amp; F817 &amp; " received for " &amp; period &amp; ". Receipt No: " &amp; N817), "Send Receipt")))</f>
        <v/>
      </c>
    </row>
    <row r="818">
      <c r="A818" s="29"/>
      <c r="B818" s="29" t="s">
        <v>175</v>
      </c>
      <c r="C818" s="76"/>
      <c r="D818" s="29"/>
      <c r="E818" s="29"/>
      <c r="F818" s="29"/>
      <c r="G818" s="29"/>
      <c r="H818" s="29" t="str">
        <f t="shared" si="1"/>
        <v/>
      </c>
      <c r="I818" s="29" t="str">
        <f t="shared" si="2"/>
        <v/>
      </c>
      <c r="J818" s="29" t="str">
        <f>IF(A818="", "", IFERROR(VLOOKUP(A818, 'Master Roster'!A:H, 8, FALSE) - F818, ""))</f>
        <v/>
      </c>
      <c r="K818" s="29" t="s">
        <v>175</v>
      </c>
      <c r="L818" s="29" t="b">
        <v>0</v>
      </c>
      <c r="M818" s="29"/>
      <c r="N818" s="29" t="s">
        <v>175</v>
      </c>
      <c r="O818" s="29" t="str">
        <f>IF(ISBLANK(A818), "", LET(entry_day, VLOOKUP(A818, 'Master Roster'!$A:$G, 7, FALSE), start_date, DATE(E818, MONTH(D818&amp;" 1"), entry_day), end_date, EDATE(start_date, 1), period, TEXT(start_date, "mmm d, yyyy") &amp; " - " &amp; TEXT(end_date, "mmm d, yyyy"), HYPERLINK("https://wa.me/" &amp; VLOOKUP(A818, 'Master Roster'!$A:$F, 6, FALSE) &amp; "?text=" &amp; ENCODEURL("Hello " &amp; IFERROR(IF(VLOOKUP(A818, 'Master Roster'!$A:$J, 10, FALSE)="Male", "Mr. ", "Ms. "), "") &amp; B818 &amp; ", payment of K" &amp; F818 &amp; " received for " &amp; period &amp; ". Receipt No: " &amp; N818), "Send Receipt")))</f>
        <v/>
      </c>
    </row>
    <row r="819">
      <c r="A819" s="29"/>
      <c r="B819" s="29" t="s">
        <v>175</v>
      </c>
      <c r="C819" s="76"/>
      <c r="D819" s="29"/>
      <c r="E819" s="29"/>
      <c r="F819" s="29"/>
      <c r="G819" s="29"/>
      <c r="H819" s="29" t="str">
        <f t="shared" si="1"/>
        <v/>
      </c>
      <c r="I819" s="29" t="str">
        <f t="shared" si="2"/>
        <v/>
      </c>
      <c r="J819" s="29" t="str">
        <f>IF(A819="", "", IFERROR(VLOOKUP(A819, 'Master Roster'!A:H, 8, FALSE) - F819, ""))</f>
        <v/>
      </c>
      <c r="K819" s="29" t="s">
        <v>175</v>
      </c>
      <c r="L819" s="29" t="b">
        <v>0</v>
      </c>
      <c r="M819" s="29"/>
      <c r="N819" s="29" t="s">
        <v>175</v>
      </c>
      <c r="O819" s="29" t="str">
        <f>IF(ISBLANK(A819), "", LET(entry_day, VLOOKUP(A819, 'Master Roster'!$A:$G, 7, FALSE), start_date, DATE(E819, MONTH(D819&amp;" 1"), entry_day), end_date, EDATE(start_date, 1), period, TEXT(start_date, "mmm d, yyyy") &amp; " - " &amp; TEXT(end_date, "mmm d, yyyy"), HYPERLINK("https://wa.me/" &amp; VLOOKUP(A819, 'Master Roster'!$A:$F, 6, FALSE) &amp; "?text=" &amp; ENCODEURL("Hello " &amp; IFERROR(IF(VLOOKUP(A819, 'Master Roster'!$A:$J, 10, FALSE)="Male", "Mr. ", "Ms. "), "") &amp; B819 &amp; ", payment of K" &amp; F819 &amp; " received for " &amp; period &amp; ". Receipt No: " &amp; N819), "Send Receipt")))</f>
        <v/>
      </c>
    </row>
    <row r="820">
      <c r="A820" s="29"/>
      <c r="B820" s="29" t="s">
        <v>175</v>
      </c>
      <c r="C820" s="76"/>
      <c r="D820" s="29"/>
      <c r="E820" s="29"/>
      <c r="F820" s="29"/>
      <c r="G820" s="29"/>
      <c r="H820" s="29" t="str">
        <f t="shared" si="1"/>
        <v/>
      </c>
      <c r="I820" s="29" t="str">
        <f t="shared" si="2"/>
        <v/>
      </c>
      <c r="J820" s="29" t="str">
        <f>IF(A820="", "", IFERROR(VLOOKUP(A820, 'Master Roster'!A:H, 8, FALSE) - F820, ""))</f>
        <v/>
      </c>
      <c r="K820" s="29" t="s">
        <v>175</v>
      </c>
      <c r="L820" s="29" t="b">
        <v>0</v>
      </c>
      <c r="M820" s="29"/>
      <c r="N820" s="29" t="s">
        <v>175</v>
      </c>
      <c r="O820" s="29" t="str">
        <f>IF(ISBLANK(A820), "", LET(entry_day, VLOOKUP(A820, 'Master Roster'!$A:$G, 7, FALSE), start_date, DATE(E820, MONTH(D820&amp;" 1"), entry_day), end_date, EDATE(start_date, 1), period, TEXT(start_date, "mmm d, yyyy") &amp; " - " &amp; TEXT(end_date, "mmm d, yyyy"), HYPERLINK("https://wa.me/" &amp; VLOOKUP(A820, 'Master Roster'!$A:$F, 6, FALSE) &amp; "?text=" &amp; ENCODEURL("Hello " &amp; IFERROR(IF(VLOOKUP(A820, 'Master Roster'!$A:$J, 10, FALSE)="Male", "Mr. ", "Ms. "), "") &amp; B820 &amp; ", payment of K" &amp; F820 &amp; " received for " &amp; period &amp; ". Receipt No: " &amp; N820), "Send Receipt")))</f>
        <v/>
      </c>
    </row>
    <row r="821">
      <c r="A821" s="29"/>
      <c r="B821" s="29" t="s">
        <v>175</v>
      </c>
      <c r="C821" s="76"/>
      <c r="D821" s="29"/>
      <c r="E821" s="29"/>
      <c r="F821" s="29"/>
      <c r="G821" s="29"/>
      <c r="H821" s="29" t="str">
        <f t="shared" si="1"/>
        <v/>
      </c>
      <c r="I821" s="29" t="str">
        <f t="shared" si="2"/>
        <v/>
      </c>
      <c r="J821" s="29" t="str">
        <f>IF(A821="", "", IFERROR(VLOOKUP(A821, 'Master Roster'!A:H, 8, FALSE) - F821, ""))</f>
        <v/>
      </c>
      <c r="K821" s="29" t="s">
        <v>175</v>
      </c>
      <c r="L821" s="29" t="b">
        <v>0</v>
      </c>
      <c r="M821" s="29"/>
      <c r="N821" s="29" t="s">
        <v>175</v>
      </c>
      <c r="O821" s="29" t="str">
        <f>IF(ISBLANK(A821), "", LET(entry_day, VLOOKUP(A821, 'Master Roster'!$A:$G, 7, FALSE), start_date, DATE(E821, MONTH(D821&amp;" 1"), entry_day), end_date, EDATE(start_date, 1), period, TEXT(start_date, "mmm d, yyyy") &amp; " - " &amp; TEXT(end_date, "mmm d, yyyy"), HYPERLINK("https://wa.me/" &amp; VLOOKUP(A821, 'Master Roster'!$A:$F, 6, FALSE) &amp; "?text=" &amp; ENCODEURL("Hello " &amp; IFERROR(IF(VLOOKUP(A821, 'Master Roster'!$A:$J, 10, FALSE)="Male", "Mr. ", "Ms. "), "") &amp; B821 &amp; ", payment of K" &amp; F821 &amp; " received for " &amp; period &amp; ". Receipt No: " &amp; N821), "Send Receipt")))</f>
        <v/>
      </c>
    </row>
    <row r="822">
      <c r="A822" s="29"/>
      <c r="B822" s="29" t="s">
        <v>175</v>
      </c>
      <c r="C822" s="76"/>
      <c r="D822" s="29"/>
      <c r="E822" s="29"/>
      <c r="F822" s="29"/>
      <c r="G822" s="29"/>
      <c r="H822" s="29" t="str">
        <f t="shared" si="1"/>
        <v/>
      </c>
      <c r="I822" s="29" t="str">
        <f t="shared" si="2"/>
        <v/>
      </c>
      <c r="J822" s="29" t="str">
        <f>IF(A822="", "", IFERROR(VLOOKUP(A822, 'Master Roster'!A:H, 8, FALSE) - F822, ""))</f>
        <v/>
      </c>
      <c r="K822" s="29" t="s">
        <v>175</v>
      </c>
      <c r="L822" s="29" t="b">
        <v>0</v>
      </c>
      <c r="M822" s="29"/>
      <c r="N822" s="29" t="s">
        <v>175</v>
      </c>
      <c r="O822" s="29" t="str">
        <f>IF(ISBLANK(A822), "", LET(entry_day, VLOOKUP(A822, 'Master Roster'!$A:$G, 7, FALSE), start_date, DATE(E822, MONTH(D822&amp;" 1"), entry_day), end_date, EDATE(start_date, 1), period, TEXT(start_date, "mmm d, yyyy") &amp; " - " &amp; TEXT(end_date, "mmm d, yyyy"), HYPERLINK("https://wa.me/" &amp; VLOOKUP(A822, 'Master Roster'!$A:$F, 6, FALSE) &amp; "?text=" &amp; ENCODEURL("Hello " &amp; IFERROR(IF(VLOOKUP(A822, 'Master Roster'!$A:$J, 10, FALSE)="Male", "Mr. ", "Ms. "), "") &amp; B822 &amp; ", payment of K" &amp; F822 &amp; " received for " &amp; period &amp; ". Receipt No: " &amp; N822), "Send Receipt")))</f>
        <v/>
      </c>
    </row>
    <row r="823">
      <c r="A823" s="29"/>
      <c r="B823" s="29" t="s">
        <v>175</v>
      </c>
      <c r="C823" s="76"/>
      <c r="D823" s="29"/>
      <c r="E823" s="29"/>
      <c r="F823" s="29"/>
      <c r="G823" s="29"/>
      <c r="H823" s="29" t="str">
        <f t="shared" si="1"/>
        <v/>
      </c>
      <c r="I823" s="29" t="str">
        <f t="shared" si="2"/>
        <v/>
      </c>
      <c r="J823" s="29" t="str">
        <f>IF(A823="", "", IFERROR(VLOOKUP(A823, 'Master Roster'!A:H, 8, FALSE) - F823, ""))</f>
        <v/>
      </c>
      <c r="K823" s="29" t="s">
        <v>175</v>
      </c>
      <c r="L823" s="29" t="b">
        <v>0</v>
      </c>
      <c r="M823" s="29"/>
      <c r="N823" s="29" t="s">
        <v>175</v>
      </c>
      <c r="O823" s="29" t="str">
        <f>IF(ISBLANK(A823), "", LET(entry_day, VLOOKUP(A823, 'Master Roster'!$A:$G, 7, FALSE), start_date, DATE(E823, MONTH(D823&amp;" 1"), entry_day), end_date, EDATE(start_date, 1), period, TEXT(start_date, "mmm d, yyyy") &amp; " - " &amp; TEXT(end_date, "mmm d, yyyy"), HYPERLINK("https://wa.me/" &amp; VLOOKUP(A823, 'Master Roster'!$A:$F, 6, FALSE) &amp; "?text=" &amp; ENCODEURL("Hello " &amp; IFERROR(IF(VLOOKUP(A823, 'Master Roster'!$A:$J, 10, FALSE)="Male", "Mr. ", "Ms. "), "") &amp; B823 &amp; ", payment of K" &amp; F823 &amp; " received for " &amp; period &amp; ". Receipt No: " &amp; N823), "Send Receipt")))</f>
        <v/>
      </c>
    </row>
    <row r="824">
      <c r="A824" s="29"/>
      <c r="B824" s="29" t="s">
        <v>175</v>
      </c>
      <c r="C824" s="76"/>
      <c r="D824" s="29"/>
      <c r="E824" s="29"/>
      <c r="F824" s="29"/>
      <c r="G824" s="29"/>
      <c r="H824" s="29" t="str">
        <f t="shared" si="1"/>
        <v/>
      </c>
      <c r="I824" s="29" t="str">
        <f t="shared" si="2"/>
        <v/>
      </c>
      <c r="J824" s="29" t="str">
        <f>IF(A824="", "", IFERROR(VLOOKUP(A824, 'Master Roster'!A:H, 8, FALSE) - F824, ""))</f>
        <v/>
      </c>
      <c r="K824" s="29" t="s">
        <v>175</v>
      </c>
      <c r="L824" s="29" t="b">
        <v>0</v>
      </c>
      <c r="M824" s="29"/>
      <c r="N824" s="29" t="s">
        <v>175</v>
      </c>
      <c r="O824" s="29" t="str">
        <f>IF(ISBLANK(A824), "", LET(entry_day, VLOOKUP(A824, 'Master Roster'!$A:$G, 7, FALSE), start_date, DATE(E824, MONTH(D824&amp;" 1"), entry_day), end_date, EDATE(start_date, 1), period, TEXT(start_date, "mmm d, yyyy") &amp; " - " &amp; TEXT(end_date, "mmm d, yyyy"), HYPERLINK("https://wa.me/" &amp; VLOOKUP(A824, 'Master Roster'!$A:$F, 6, FALSE) &amp; "?text=" &amp; ENCODEURL("Hello " &amp; IFERROR(IF(VLOOKUP(A824, 'Master Roster'!$A:$J, 10, FALSE)="Male", "Mr. ", "Ms. "), "") &amp; B824 &amp; ", payment of K" &amp; F824 &amp; " received for " &amp; period &amp; ". Receipt No: " &amp; N824), "Send Receipt")))</f>
        <v/>
      </c>
    </row>
    <row r="825">
      <c r="A825" s="29"/>
      <c r="B825" s="29" t="s">
        <v>175</v>
      </c>
      <c r="C825" s="76"/>
      <c r="D825" s="29"/>
      <c r="E825" s="29"/>
      <c r="F825" s="29"/>
      <c r="G825" s="29"/>
      <c r="H825" s="29" t="str">
        <f t="shared" si="1"/>
        <v/>
      </c>
      <c r="I825" s="29" t="str">
        <f t="shared" si="2"/>
        <v/>
      </c>
      <c r="J825" s="29" t="str">
        <f>IF(A825="", "", IFERROR(VLOOKUP(A825, 'Master Roster'!A:H, 8, FALSE) - F825, ""))</f>
        <v/>
      </c>
      <c r="K825" s="29" t="s">
        <v>175</v>
      </c>
      <c r="L825" s="29" t="b">
        <v>0</v>
      </c>
      <c r="M825" s="29"/>
      <c r="N825" s="29" t="s">
        <v>175</v>
      </c>
      <c r="O825" s="29" t="str">
        <f>IF(ISBLANK(A825), "", LET(entry_day, VLOOKUP(A825, 'Master Roster'!$A:$G, 7, FALSE), start_date, DATE(E825, MONTH(D825&amp;" 1"), entry_day), end_date, EDATE(start_date, 1), period, TEXT(start_date, "mmm d, yyyy") &amp; " - " &amp; TEXT(end_date, "mmm d, yyyy"), HYPERLINK("https://wa.me/" &amp; VLOOKUP(A825, 'Master Roster'!$A:$F, 6, FALSE) &amp; "?text=" &amp; ENCODEURL("Hello " &amp; IFERROR(IF(VLOOKUP(A825, 'Master Roster'!$A:$J, 10, FALSE)="Male", "Mr. ", "Ms. "), "") &amp; B825 &amp; ", payment of K" &amp; F825 &amp; " received for " &amp; period &amp; ". Receipt No: " &amp; N825), "Send Receipt")))</f>
        <v/>
      </c>
    </row>
    <row r="826">
      <c r="A826" s="29"/>
      <c r="B826" s="29" t="s">
        <v>175</v>
      </c>
      <c r="C826" s="76"/>
      <c r="D826" s="29"/>
      <c r="E826" s="29"/>
      <c r="F826" s="29"/>
      <c r="G826" s="29"/>
      <c r="H826" s="29" t="str">
        <f t="shared" si="1"/>
        <v/>
      </c>
      <c r="I826" s="29" t="str">
        <f t="shared" si="2"/>
        <v/>
      </c>
      <c r="J826" s="29" t="str">
        <f>IF(A826="", "", IFERROR(VLOOKUP(A826, 'Master Roster'!A:H, 8, FALSE) - F826, ""))</f>
        <v/>
      </c>
      <c r="K826" s="29" t="s">
        <v>175</v>
      </c>
      <c r="L826" s="29" t="b">
        <v>0</v>
      </c>
      <c r="M826" s="29"/>
      <c r="N826" s="29" t="s">
        <v>175</v>
      </c>
      <c r="O826" s="29" t="str">
        <f>IF(ISBLANK(A826), "", LET(entry_day, VLOOKUP(A826, 'Master Roster'!$A:$G, 7, FALSE), start_date, DATE(E826, MONTH(D826&amp;" 1"), entry_day), end_date, EDATE(start_date, 1), period, TEXT(start_date, "mmm d, yyyy") &amp; " - " &amp; TEXT(end_date, "mmm d, yyyy"), HYPERLINK("https://wa.me/" &amp; VLOOKUP(A826, 'Master Roster'!$A:$F, 6, FALSE) &amp; "?text=" &amp; ENCODEURL("Hello " &amp; IFERROR(IF(VLOOKUP(A826, 'Master Roster'!$A:$J, 10, FALSE)="Male", "Mr. ", "Ms. "), "") &amp; B826 &amp; ", payment of K" &amp; F826 &amp; " received for " &amp; period &amp; ". Receipt No: " &amp; N826), "Send Receipt")))</f>
        <v/>
      </c>
    </row>
    <row r="827">
      <c r="A827" s="29"/>
      <c r="B827" s="29" t="s">
        <v>175</v>
      </c>
      <c r="C827" s="76"/>
      <c r="D827" s="29"/>
      <c r="E827" s="29"/>
      <c r="F827" s="29"/>
      <c r="G827" s="29"/>
      <c r="H827" s="29" t="str">
        <f t="shared" si="1"/>
        <v/>
      </c>
      <c r="I827" s="29" t="str">
        <f t="shared" si="2"/>
        <v/>
      </c>
      <c r="J827" s="29" t="str">
        <f>IF(A827="", "", IFERROR(VLOOKUP(A827, 'Master Roster'!A:H, 8, FALSE) - F827, ""))</f>
        <v/>
      </c>
      <c r="K827" s="29" t="s">
        <v>175</v>
      </c>
      <c r="L827" s="29" t="b">
        <v>0</v>
      </c>
      <c r="M827" s="29"/>
      <c r="N827" s="29" t="s">
        <v>175</v>
      </c>
      <c r="O827" s="29" t="str">
        <f>IF(ISBLANK(A827), "", LET(entry_day, VLOOKUP(A827, 'Master Roster'!$A:$G, 7, FALSE), start_date, DATE(E827, MONTH(D827&amp;" 1"), entry_day), end_date, EDATE(start_date, 1), period, TEXT(start_date, "mmm d, yyyy") &amp; " - " &amp; TEXT(end_date, "mmm d, yyyy"), HYPERLINK("https://wa.me/" &amp; VLOOKUP(A827, 'Master Roster'!$A:$F, 6, FALSE) &amp; "?text=" &amp; ENCODEURL("Hello " &amp; IFERROR(IF(VLOOKUP(A827, 'Master Roster'!$A:$J, 10, FALSE)="Male", "Mr. ", "Ms. "), "") &amp; B827 &amp; ", payment of K" &amp; F827 &amp; " received for " &amp; period &amp; ". Receipt No: " &amp; N827), "Send Receipt")))</f>
        <v/>
      </c>
    </row>
    <row r="828">
      <c r="A828" s="29"/>
      <c r="B828" s="29" t="s">
        <v>175</v>
      </c>
      <c r="C828" s="76"/>
      <c r="D828" s="29"/>
      <c r="E828" s="29"/>
      <c r="F828" s="29"/>
      <c r="G828" s="29"/>
      <c r="H828" s="29" t="str">
        <f t="shared" si="1"/>
        <v/>
      </c>
      <c r="I828" s="29" t="str">
        <f t="shared" si="2"/>
        <v/>
      </c>
      <c r="J828" s="29" t="str">
        <f>IF(A828="", "", IFERROR(VLOOKUP(A828, 'Master Roster'!A:H, 8, FALSE) - F828, ""))</f>
        <v/>
      </c>
      <c r="K828" s="29" t="s">
        <v>175</v>
      </c>
      <c r="L828" s="29" t="b">
        <v>0</v>
      </c>
      <c r="M828" s="29"/>
      <c r="N828" s="29" t="s">
        <v>175</v>
      </c>
      <c r="O828" s="29" t="str">
        <f>IF(ISBLANK(A828), "", LET(entry_day, VLOOKUP(A828, 'Master Roster'!$A:$G, 7, FALSE), start_date, DATE(E828, MONTH(D828&amp;" 1"), entry_day), end_date, EDATE(start_date, 1), period, TEXT(start_date, "mmm d, yyyy") &amp; " - " &amp; TEXT(end_date, "mmm d, yyyy"), HYPERLINK("https://wa.me/" &amp; VLOOKUP(A828, 'Master Roster'!$A:$F, 6, FALSE) &amp; "?text=" &amp; ENCODEURL("Hello " &amp; IFERROR(IF(VLOOKUP(A828, 'Master Roster'!$A:$J, 10, FALSE)="Male", "Mr. ", "Ms. "), "") &amp; B828 &amp; ", payment of K" &amp; F828 &amp; " received for " &amp; period &amp; ". Receipt No: " &amp; N828), "Send Receipt")))</f>
        <v/>
      </c>
    </row>
    <row r="829">
      <c r="A829" s="29"/>
      <c r="B829" s="29" t="s">
        <v>175</v>
      </c>
      <c r="C829" s="76"/>
      <c r="D829" s="29"/>
      <c r="E829" s="29"/>
      <c r="F829" s="29"/>
      <c r="G829" s="29"/>
      <c r="H829" s="29" t="str">
        <f t="shared" si="1"/>
        <v/>
      </c>
      <c r="I829" s="29" t="str">
        <f t="shared" si="2"/>
        <v/>
      </c>
      <c r="J829" s="29" t="str">
        <f>IF(A829="", "", IFERROR(VLOOKUP(A829, 'Master Roster'!A:H, 8, FALSE) - F829, ""))</f>
        <v/>
      </c>
      <c r="K829" s="29" t="s">
        <v>175</v>
      </c>
      <c r="L829" s="29" t="b">
        <v>0</v>
      </c>
      <c r="M829" s="29"/>
      <c r="N829" s="29" t="s">
        <v>175</v>
      </c>
      <c r="O829" s="29" t="str">
        <f>IF(ISBLANK(A829), "", LET(entry_day, VLOOKUP(A829, 'Master Roster'!$A:$G, 7, FALSE), start_date, DATE(E829, MONTH(D829&amp;" 1"), entry_day), end_date, EDATE(start_date, 1), period, TEXT(start_date, "mmm d, yyyy") &amp; " - " &amp; TEXT(end_date, "mmm d, yyyy"), HYPERLINK("https://wa.me/" &amp; VLOOKUP(A829, 'Master Roster'!$A:$F, 6, FALSE) &amp; "?text=" &amp; ENCODEURL("Hello " &amp; IFERROR(IF(VLOOKUP(A829, 'Master Roster'!$A:$J, 10, FALSE)="Male", "Mr. ", "Ms. "), "") &amp; B829 &amp; ", payment of K" &amp; F829 &amp; " received for " &amp; period &amp; ". Receipt No: " &amp; N829), "Send Receipt")))</f>
        <v/>
      </c>
    </row>
    <row r="830">
      <c r="A830" s="29"/>
      <c r="B830" s="29" t="s">
        <v>175</v>
      </c>
      <c r="C830" s="76"/>
      <c r="D830" s="29"/>
      <c r="E830" s="29"/>
      <c r="F830" s="29"/>
      <c r="G830" s="29"/>
      <c r="H830" s="29" t="str">
        <f t="shared" si="1"/>
        <v/>
      </c>
      <c r="I830" s="29" t="str">
        <f t="shared" si="2"/>
        <v/>
      </c>
      <c r="J830" s="29" t="str">
        <f>IF(A830="", "", IFERROR(VLOOKUP(A830, 'Master Roster'!A:H, 8, FALSE) - F830, ""))</f>
        <v/>
      </c>
      <c r="K830" s="29" t="s">
        <v>175</v>
      </c>
      <c r="L830" s="29" t="b">
        <v>0</v>
      </c>
      <c r="M830" s="29"/>
      <c r="N830" s="29" t="s">
        <v>175</v>
      </c>
      <c r="O830" s="29" t="str">
        <f>IF(ISBLANK(A830), "", LET(entry_day, VLOOKUP(A830, 'Master Roster'!$A:$G, 7, FALSE), start_date, DATE(E830, MONTH(D830&amp;" 1"), entry_day), end_date, EDATE(start_date, 1), period, TEXT(start_date, "mmm d, yyyy") &amp; " - " &amp; TEXT(end_date, "mmm d, yyyy"), HYPERLINK("https://wa.me/" &amp; VLOOKUP(A830, 'Master Roster'!$A:$F, 6, FALSE) &amp; "?text=" &amp; ENCODEURL("Hello " &amp; IFERROR(IF(VLOOKUP(A830, 'Master Roster'!$A:$J, 10, FALSE)="Male", "Mr. ", "Ms. "), "") &amp; B830 &amp; ", payment of K" &amp; F830 &amp; " received for " &amp; period &amp; ". Receipt No: " &amp; N830), "Send Receipt")))</f>
        <v/>
      </c>
    </row>
    <row r="831">
      <c r="A831" s="29"/>
      <c r="B831" s="29" t="s">
        <v>175</v>
      </c>
      <c r="C831" s="76"/>
      <c r="D831" s="29"/>
      <c r="E831" s="29"/>
      <c r="F831" s="29"/>
      <c r="G831" s="29"/>
      <c r="H831" s="29" t="str">
        <f t="shared" si="1"/>
        <v/>
      </c>
      <c r="I831" s="29" t="str">
        <f t="shared" si="2"/>
        <v/>
      </c>
      <c r="J831" s="29" t="str">
        <f>IF(A831="", "", IFERROR(VLOOKUP(A831, 'Master Roster'!A:H, 8, FALSE) - F831, ""))</f>
        <v/>
      </c>
      <c r="K831" s="29" t="s">
        <v>175</v>
      </c>
      <c r="L831" s="29" t="b">
        <v>0</v>
      </c>
      <c r="M831" s="29"/>
      <c r="N831" s="29" t="s">
        <v>175</v>
      </c>
      <c r="O831" s="29" t="str">
        <f>IF(ISBLANK(A831), "", LET(entry_day, VLOOKUP(A831, 'Master Roster'!$A:$G, 7, FALSE), start_date, DATE(E831, MONTH(D831&amp;" 1"), entry_day), end_date, EDATE(start_date, 1), period, TEXT(start_date, "mmm d, yyyy") &amp; " - " &amp; TEXT(end_date, "mmm d, yyyy"), HYPERLINK("https://wa.me/" &amp; VLOOKUP(A831, 'Master Roster'!$A:$F, 6, FALSE) &amp; "?text=" &amp; ENCODEURL("Hello " &amp; IFERROR(IF(VLOOKUP(A831, 'Master Roster'!$A:$J, 10, FALSE)="Male", "Mr. ", "Ms. "), "") &amp; B831 &amp; ", payment of K" &amp; F831 &amp; " received for " &amp; period &amp; ". Receipt No: " &amp; N831), "Send Receipt")))</f>
        <v/>
      </c>
    </row>
    <row r="832">
      <c r="A832" s="29"/>
      <c r="B832" s="29" t="s">
        <v>175</v>
      </c>
      <c r="C832" s="76"/>
      <c r="D832" s="29"/>
      <c r="E832" s="29"/>
      <c r="F832" s="29"/>
      <c r="G832" s="29"/>
      <c r="H832" s="29" t="str">
        <f t="shared" si="1"/>
        <v/>
      </c>
      <c r="I832" s="29" t="str">
        <f t="shared" si="2"/>
        <v/>
      </c>
      <c r="J832" s="29" t="str">
        <f>IF(A832="", "", IFERROR(VLOOKUP(A832, 'Master Roster'!A:H, 8, FALSE) - F832, ""))</f>
        <v/>
      </c>
      <c r="K832" s="29" t="s">
        <v>175</v>
      </c>
      <c r="L832" s="29" t="b">
        <v>0</v>
      </c>
      <c r="M832" s="29"/>
      <c r="N832" s="29" t="s">
        <v>175</v>
      </c>
      <c r="O832" s="29" t="str">
        <f>IF(ISBLANK(A832), "", LET(entry_day, VLOOKUP(A832, 'Master Roster'!$A:$G, 7, FALSE), start_date, DATE(E832, MONTH(D832&amp;" 1"), entry_day), end_date, EDATE(start_date, 1), period, TEXT(start_date, "mmm d, yyyy") &amp; " - " &amp; TEXT(end_date, "mmm d, yyyy"), HYPERLINK("https://wa.me/" &amp; VLOOKUP(A832, 'Master Roster'!$A:$F, 6, FALSE) &amp; "?text=" &amp; ENCODEURL("Hello " &amp; IFERROR(IF(VLOOKUP(A832, 'Master Roster'!$A:$J, 10, FALSE)="Male", "Mr. ", "Ms. "), "") &amp; B832 &amp; ", payment of K" &amp; F832 &amp; " received for " &amp; period &amp; ". Receipt No: " &amp; N832), "Send Receipt")))</f>
        <v/>
      </c>
    </row>
    <row r="833">
      <c r="A833" s="29"/>
      <c r="B833" s="29" t="s">
        <v>175</v>
      </c>
      <c r="C833" s="76"/>
      <c r="D833" s="29"/>
      <c r="E833" s="29"/>
      <c r="F833" s="29"/>
      <c r="G833" s="29"/>
      <c r="H833" s="29" t="str">
        <f t="shared" si="1"/>
        <v/>
      </c>
      <c r="I833" s="29" t="str">
        <f t="shared" si="2"/>
        <v/>
      </c>
      <c r="J833" s="29" t="str">
        <f>IF(A833="", "", IFERROR(VLOOKUP(A833, 'Master Roster'!A:H, 8, FALSE) - F833, ""))</f>
        <v/>
      </c>
      <c r="K833" s="29" t="s">
        <v>175</v>
      </c>
      <c r="L833" s="29" t="b">
        <v>0</v>
      </c>
      <c r="M833" s="29"/>
      <c r="N833" s="29" t="s">
        <v>175</v>
      </c>
      <c r="O833" s="29" t="str">
        <f>IF(ISBLANK(A833), "", LET(entry_day, VLOOKUP(A833, 'Master Roster'!$A:$G, 7, FALSE), start_date, DATE(E833, MONTH(D833&amp;" 1"), entry_day), end_date, EDATE(start_date, 1), period, TEXT(start_date, "mmm d, yyyy") &amp; " - " &amp; TEXT(end_date, "mmm d, yyyy"), HYPERLINK("https://wa.me/" &amp; VLOOKUP(A833, 'Master Roster'!$A:$F, 6, FALSE) &amp; "?text=" &amp; ENCODEURL("Hello " &amp; IFERROR(IF(VLOOKUP(A833, 'Master Roster'!$A:$J, 10, FALSE)="Male", "Mr. ", "Ms. "), "") &amp; B833 &amp; ", payment of K" &amp; F833 &amp; " received for " &amp; period &amp; ". Receipt No: " &amp; N833), "Send Receipt")))</f>
        <v/>
      </c>
    </row>
    <row r="834">
      <c r="A834" s="29"/>
      <c r="B834" s="29" t="s">
        <v>175</v>
      </c>
      <c r="C834" s="76"/>
      <c r="D834" s="29"/>
      <c r="E834" s="29"/>
      <c r="F834" s="29"/>
      <c r="G834" s="29"/>
      <c r="H834" s="29" t="str">
        <f t="shared" si="1"/>
        <v/>
      </c>
      <c r="I834" s="29" t="str">
        <f t="shared" si="2"/>
        <v/>
      </c>
      <c r="J834" s="29" t="str">
        <f>IF(A834="", "", IFERROR(VLOOKUP(A834, 'Master Roster'!A:H, 8, FALSE) - F834, ""))</f>
        <v/>
      </c>
      <c r="K834" s="29" t="s">
        <v>175</v>
      </c>
      <c r="L834" s="29" t="b">
        <v>0</v>
      </c>
      <c r="M834" s="29"/>
      <c r="N834" s="29" t="s">
        <v>175</v>
      </c>
      <c r="O834" s="29" t="str">
        <f>IF(ISBLANK(A834), "", LET(entry_day, VLOOKUP(A834, 'Master Roster'!$A:$G, 7, FALSE), start_date, DATE(E834, MONTH(D834&amp;" 1"), entry_day), end_date, EDATE(start_date, 1), period, TEXT(start_date, "mmm d, yyyy") &amp; " - " &amp; TEXT(end_date, "mmm d, yyyy"), HYPERLINK("https://wa.me/" &amp; VLOOKUP(A834, 'Master Roster'!$A:$F, 6, FALSE) &amp; "?text=" &amp; ENCODEURL("Hello " &amp; IFERROR(IF(VLOOKUP(A834, 'Master Roster'!$A:$J, 10, FALSE)="Male", "Mr. ", "Ms. "), "") &amp; B834 &amp; ", payment of K" &amp; F834 &amp; " received for " &amp; period &amp; ". Receipt No: " &amp; N834), "Send Receipt")))</f>
        <v/>
      </c>
    </row>
    <row r="835">
      <c r="A835" s="29"/>
      <c r="B835" s="29" t="s">
        <v>175</v>
      </c>
      <c r="C835" s="76"/>
      <c r="D835" s="29"/>
      <c r="E835" s="29"/>
      <c r="F835" s="29"/>
      <c r="G835" s="29"/>
      <c r="H835" s="29" t="str">
        <f t="shared" si="1"/>
        <v/>
      </c>
      <c r="I835" s="29" t="str">
        <f t="shared" si="2"/>
        <v/>
      </c>
      <c r="J835" s="29" t="str">
        <f>IF(A835="", "", IFERROR(VLOOKUP(A835, 'Master Roster'!A:H, 8, FALSE) - F835, ""))</f>
        <v/>
      </c>
      <c r="K835" s="29" t="s">
        <v>175</v>
      </c>
      <c r="L835" s="29" t="b">
        <v>0</v>
      </c>
      <c r="M835" s="29"/>
      <c r="N835" s="29" t="s">
        <v>175</v>
      </c>
      <c r="O835" s="29" t="str">
        <f>IF(ISBLANK(A835), "", LET(entry_day, VLOOKUP(A835, 'Master Roster'!$A:$G, 7, FALSE), start_date, DATE(E835, MONTH(D835&amp;" 1"), entry_day), end_date, EDATE(start_date, 1), period, TEXT(start_date, "mmm d, yyyy") &amp; " - " &amp; TEXT(end_date, "mmm d, yyyy"), HYPERLINK("https://wa.me/" &amp; VLOOKUP(A835, 'Master Roster'!$A:$F, 6, FALSE) &amp; "?text=" &amp; ENCODEURL("Hello " &amp; IFERROR(IF(VLOOKUP(A835, 'Master Roster'!$A:$J, 10, FALSE)="Male", "Mr. ", "Ms. "), "") &amp; B835 &amp; ", payment of K" &amp; F835 &amp; " received for " &amp; period &amp; ". Receipt No: " &amp; N835), "Send Receipt")))</f>
        <v/>
      </c>
    </row>
    <row r="836">
      <c r="A836" s="29"/>
      <c r="B836" s="29" t="s">
        <v>175</v>
      </c>
      <c r="C836" s="76"/>
      <c r="D836" s="29"/>
      <c r="E836" s="29"/>
      <c r="F836" s="29"/>
      <c r="G836" s="29"/>
      <c r="H836" s="29" t="str">
        <f t="shared" si="1"/>
        <v/>
      </c>
      <c r="I836" s="29" t="str">
        <f t="shared" si="2"/>
        <v/>
      </c>
      <c r="J836" s="29" t="str">
        <f>IF(A836="", "", IFERROR(VLOOKUP(A836, 'Master Roster'!A:H, 8, FALSE) - F836, ""))</f>
        <v/>
      </c>
      <c r="K836" s="29" t="s">
        <v>175</v>
      </c>
      <c r="L836" s="29" t="b">
        <v>0</v>
      </c>
      <c r="M836" s="29"/>
      <c r="N836" s="29" t="s">
        <v>175</v>
      </c>
      <c r="O836" s="29" t="str">
        <f>IF(ISBLANK(A836), "", LET(entry_day, VLOOKUP(A836, 'Master Roster'!$A:$G, 7, FALSE), start_date, DATE(E836, MONTH(D836&amp;" 1"), entry_day), end_date, EDATE(start_date, 1), period, TEXT(start_date, "mmm d, yyyy") &amp; " - " &amp; TEXT(end_date, "mmm d, yyyy"), HYPERLINK("https://wa.me/" &amp; VLOOKUP(A836, 'Master Roster'!$A:$F, 6, FALSE) &amp; "?text=" &amp; ENCODEURL("Hello " &amp; IFERROR(IF(VLOOKUP(A836, 'Master Roster'!$A:$J, 10, FALSE)="Male", "Mr. ", "Ms. "), "") &amp; B836 &amp; ", payment of K" &amp; F836 &amp; " received for " &amp; period &amp; ". Receipt No: " &amp; N836), "Send Receipt")))</f>
        <v/>
      </c>
    </row>
    <row r="837">
      <c r="A837" s="29"/>
      <c r="B837" s="29" t="s">
        <v>175</v>
      </c>
      <c r="C837" s="76"/>
      <c r="D837" s="29"/>
      <c r="E837" s="29"/>
      <c r="F837" s="29"/>
      <c r="G837" s="29"/>
      <c r="H837" s="29" t="str">
        <f t="shared" si="1"/>
        <v/>
      </c>
      <c r="I837" s="29" t="str">
        <f t="shared" si="2"/>
        <v/>
      </c>
      <c r="J837" s="29" t="str">
        <f>IF(A837="", "", IFERROR(VLOOKUP(A837, 'Master Roster'!A:H, 8, FALSE) - F837, ""))</f>
        <v/>
      </c>
      <c r="K837" s="29" t="s">
        <v>175</v>
      </c>
      <c r="L837" s="29" t="b">
        <v>0</v>
      </c>
      <c r="M837" s="29"/>
      <c r="N837" s="29" t="s">
        <v>175</v>
      </c>
      <c r="O837" s="29" t="str">
        <f>IF(ISBLANK(A837), "", LET(entry_day, VLOOKUP(A837, 'Master Roster'!$A:$G, 7, FALSE), start_date, DATE(E837, MONTH(D837&amp;" 1"), entry_day), end_date, EDATE(start_date, 1), period, TEXT(start_date, "mmm d, yyyy") &amp; " - " &amp; TEXT(end_date, "mmm d, yyyy"), HYPERLINK("https://wa.me/" &amp; VLOOKUP(A837, 'Master Roster'!$A:$F, 6, FALSE) &amp; "?text=" &amp; ENCODEURL("Hello " &amp; IFERROR(IF(VLOOKUP(A837, 'Master Roster'!$A:$J, 10, FALSE)="Male", "Mr. ", "Ms. "), "") &amp; B837 &amp; ", payment of K" &amp; F837 &amp; " received for " &amp; period &amp; ". Receipt No: " &amp; N837), "Send Receipt")))</f>
        <v/>
      </c>
    </row>
    <row r="838">
      <c r="A838" s="29"/>
      <c r="B838" s="29" t="s">
        <v>175</v>
      </c>
      <c r="C838" s="76"/>
      <c r="D838" s="29"/>
      <c r="E838" s="29"/>
      <c r="F838" s="29"/>
      <c r="G838" s="29"/>
      <c r="H838" s="29" t="str">
        <f t="shared" si="1"/>
        <v/>
      </c>
      <c r="I838" s="29" t="str">
        <f t="shared" si="2"/>
        <v/>
      </c>
      <c r="J838" s="29" t="str">
        <f>IF(A838="", "", IFERROR(VLOOKUP(A838, 'Master Roster'!A:H, 8, FALSE) - F838, ""))</f>
        <v/>
      </c>
      <c r="K838" s="29" t="s">
        <v>175</v>
      </c>
      <c r="L838" s="29" t="b">
        <v>0</v>
      </c>
      <c r="M838" s="29"/>
      <c r="N838" s="29" t="s">
        <v>175</v>
      </c>
      <c r="O838" s="29" t="str">
        <f>IF(ISBLANK(A838), "", LET(entry_day, VLOOKUP(A838, 'Master Roster'!$A:$G, 7, FALSE), start_date, DATE(E838, MONTH(D838&amp;" 1"), entry_day), end_date, EDATE(start_date, 1), period, TEXT(start_date, "mmm d, yyyy") &amp; " - " &amp; TEXT(end_date, "mmm d, yyyy"), HYPERLINK("https://wa.me/" &amp; VLOOKUP(A838, 'Master Roster'!$A:$F, 6, FALSE) &amp; "?text=" &amp; ENCODEURL("Hello " &amp; IFERROR(IF(VLOOKUP(A838, 'Master Roster'!$A:$J, 10, FALSE)="Male", "Mr. ", "Ms. "), "") &amp; B838 &amp; ", payment of K" &amp; F838 &amp; " received for " &amp; period &amp; ". Receipt No: " &amp; N838), "Send Receipt")))</f>
        <v/>
      </c>
    </row>
    <row r="839">
      <c r="A839" s="29"/>
      <c r="B839" s="29" t="s">
        <v>175</v>
      </c>
      <c r="C839" s="76"/>
      <c r="D839" s="29"/>
      <c r="E839" s="29"/>
      <c r="F839" s="29"/>
      <c r="G839" s="29"/>
      <c r="H839" s="29" t="str">
        <f t="shared" si="1"/>
        <v/>
      </c>
      <c r="I839" s="29" t="str">
        <f t="shared" si="2"/>
        <v/>
      </c>
      <c r="J839" s="29" t="str">
        <f>IF(A839="", "", IFERROR(VLOOKUP(A839, 'Master Roster'!A:H, 8, FALSE) - F839, ""))</f>
        <v/>
      </c>
      <c r="K839" s="29" t="s">
        <v>175</v>
      </c>
      <c r="L839" s="29" t="b">
        <v>0</v>
      </c>
      <c r="M839" s="29"/>
      <c r="N839" s="29" t="s">
        <v>175</v>
      </c>
      <c r="O839" s="29" t="str">
        <f>IF(ISBLANK(A839), "", LET(entry_day, VLOOKUP(A839, 'Master Roster'!$A:$G, 7, FALSE), start_date, DATE(E839, MONTH(D839&amp;" 1"), entry_day), end_date, EDATE(start_date, 1), period, TEXT(start_date, "mmm d, yyyy") &amp; " - " &amp; TEXT(end_date, "mmm d, yyyy"), HYPERLINK("https://wa.me/" &amp; VLOOKUP(A839, 'Master Roster'!$A:$F, 6, FALSE) &amp; "?text=" &amp; ENCODEURL("Hello " &amp; IFERROR(IF(VLOOKUP(A839, 'Master Roster'!$A:$J, 10, FALSE)="Male", "Mr. ", "Ms. "), "") &amp; B839 &amp; ", payment of K" &amp; F839 &amp; " received for " &amp; period &amp; ". Receipt No: " &amp; N839), "Send Receipt")))</f>
        <v/>
      </c>
    </row>
    <row r="840">
      <c r="A840" s="29"/>
      <c r="B840" s="29" t="s">
        <v>175</v>
      </c>
      <c r="C840" s="76"/>
      <c r="D840" s="29"/>
      <c r="E840" s="29"/>
      <c r="F840" s="29"/>
      <c r="G840" s="29"/>
      <c r="H840" s="29" t="str">
        <f t="shared" si="1"/>
        <v/>
      </c>
      <c r="I840" s="29" t="str">
        <f t="shared" si="2"/>
        <v/>
      </c>
      <c r="J840" s="29" t="str">
        <f>IF(A840="", "", IFERROR(VLOOKUP(A840, 'Master Roster'!A:H, 8, FALSE) - F840, ""))</f>
        <v/>
      </c>
      <c r="K840" s="29" t="s">
        <v>175</v>
      </c>
      <c r="L840" s="29" t="b">
        <v>0</v>
      </c>
      <c r="M840" s="29"/>
      <c r="N840" s="29" t="s">
        <v>175</v>
      </c>
      <c r="O840" s="29" t="str">
        <f>IF(ISBLANK(A840), "", LET(entry_day, VLOOKUP(A840, 'Master Roster'!$A:$G, 7, FALSE), start_date, DATE(E840, MONTH(D840&amp;" 1"), entry_day), end_date, EDATE(start_date, 1), period, TEXT(start_date, "mmm d, yyyy") &amp; " - " &amp; TEXT(end_date, "mmm d, yyyy"), HYPERLINK("https://wa.me/" &amp; VLOOKUP(A840, 'Master Roster'!$A:$F, 6, FALSE) &amp; "?text=" &amp; ENCODEURL("Hello " &amp; IFERROR(IF(VLOOKUP(A840, 'Master Roster'!$A:$J, 10, FALSE)="Male", "Mr. ", "Ms. "), "") &amp; B840 &amp; ", payment of K" &amp; F840 &amp; " received for " &amp; period &amp; ". Receipt No: " &amp; N840), "Send Receipt")))</f>
        <v/>
      </c>
    </row>
    <row r="841">
      <c r="A841" s="29"/>
      <c r="B841" s="29" t="s">
        <v>175</v>
      </c>
      <c r="C841" s="76"/>
      <c r="D841" s="29"/>
      <c r="E841" s="29"/>
      <c r="F841" s="29"/>
      <c r="G841" s="29"/>
      <c r="H841" s="29" t="str">
        <f t="shared" si="1"/>
        <v/>
      </c>
      <c r="I841" s="29" t="str">
        <f t="shared" si="2"/>
        <v/>
      </c>
      <c r="J841" s="29" t="str">
        <f>IF(A841="", "", IFERROR(VLOOKUP(A841, 'Master Roster'!A:H, 8, FALSE) - F841, ""))</f>
        <v/>
      </c>
      <c r="K841" s="29" t="s">
        <v>175</v>
      </c>
      <c r="L841" s="29" t="b">
        <v>0</v>
      </c>
      <c r="M841" s="29"/>
      <c r="N841" s="29" t="s">
        <v>175</v>
      </c>
      <c r="O841" s="29" t="str">
        <f>IF(ISBLANK(A841), "", LET(entry_day, VLOOKUP(A841, 'Master Roster'!$A:$G, 7, FALSE), start_date, DATE(E841, MONTH(D841&amp;" 1"), entry_day), end_date, EDATE(start_date, 1), period, TEXT(start_date, "mmm d, yyyy") &amp; " - " &amp; TEXT(end_date, "mmm d, yyyy"), HYPERLINK("https://wa.me/" &amp; VLOOKUP(A841, 'Master Roster'!$A:$F, 6, FALSE) &amp; "?text=" &amp; ENCODEURL("Hello " &amp; IFERROR(IF(VLOOKUP(A841, 'Master Roster'!$A:$J, 10, FALSE)="Male", "Mr. ", "Ms. "), "") &amp; B841 &amp; ", payment of K" &amp; F841 &amp; " received for " &amp; period &amp; ". Receipt No: " &amp; N841), "Send Receipt")))</f>
        <v/>
      </c>
    </row>
    <row r="842">
      <c r="A842" s="29"/>
      <c r="B842" s="29" t="s">
        <v>175</v>
      </c>
      <c r="C842" s="76"/>
      <c r="D842" s="29"/>
      <c r="E842" s="29"/>
      <c r="F842" s="29"/>
      <c r="G842" s="29"/>
      <c r="H842" s="29" t="str">
        <f t="shared" si="1"/>
        <v/>
      </c>
      <c r="I842" s="29" t="str">
        <f t="shared" si="2"/>
        <v/>
      </c>
      <c r="J842" s="29" t="str">
        <f>IF(A842="", "", IFERROR(VLOOKUP(A842, 'Master Roster'!A:H, 8, FALSE) - F842, ""))</f>
        <v/>
      </c>
      <c r="K842" s="29" t="s">
        <v>175</v>
      </c>
      <c r="L842" s="29" t="b">
        <v>0</v>
      </c>
      <c r="M842" s="29"/>
      <c r="N842" s="29" t="s">
        <v>175</v>
      </c>
      <c r="O842" s="29" t="str">
        <f>IF(ISBLANK(A842), "", LET(entry_day, VLOOKUP(A842, 'Master Roster'!$A:$G, 7, FALSE), start_date, DATE(E842, MONTH(D842&amp;" 1"), entry_day), end_date, EDATE(start_date, 1), period, TEXT(start_date, "mmm d, yyyy") &amp; " - " &amp; TEXT(end_date, "mmm d, yyyy"), HYPERLINK("https://wa.me/" &amp; VLOOKUP(A842, 'Master Roster'!$A:$F, 6, FALSE) &amp; "?text=" &amp; ENCODEURL("Hello " &amp; IFERROR(IF(VLOOKUP(A842, 'Master Roster'!$A:$J, 10, FALSE)="Male", "Mr. ", "Ms. "), "") &amp; B842 &amp; ", payment of K" &amp; F842 &amp; " received for " &amp; period &amp; ". Receipt No: " &amp; N842), "Send Receipt")))</f>
        <v/>
      </c>
    </row>
    <row r="843">
      <c r="A843" s="29"/>
      <c r="B843" s="29" t="s">
        <v>175</v>
      </c>
      <c r="C843" s="76"/>
      <c r="D843" s="29"/>
      <c r="E843" s="29"/>
      <c r="F843" s="29"/>
      <c r="G843" s="29"/>
      <c r="H843" s="29" t="str">
        <f t="shared" si="1"/>
        <v/>
      </c>
      <c r="I843" s="29" t="str">
        <f t="shared" si="2"/>
        <v/>
      </c>
      <c r="J843" s="29" t="str">
        <f>IF(A843="", "", IFERROR(VLOOKUP(A843, 'Master Roster'!A:H, 8, FALSE) - F843, ""))</f>
        <v/>
      </c>
      <c r="K843" s="29" t="s">
        <v>175</v>
      </c>
      <c r="L843" s="29" t="b">
        <v>0</v>
      </c>
      <c r="M843" s="29"/>
      <c r="N843" s="29" t="s">
        <v>175</v>
      </c>
      <c r="O843" s="29" t="str">
        <f>IF(ISBLANK(A843), "", LET(entry_day, VLOOKUP(A843, 'Master Roster'!$A:$G, 7, FALSE), start_date, DATE(E843, MONTH(D843&amp;" 1"), entry_day), end_date, EDATE(start_date, 1), period, TEXT(start_date, "mmm d, yyyy") &amp; " - " &amp; TEXT(end_date, "mmm d, yyyy"), HYPERLINK("https://wa.me/" &amp; VLOOKUP(A843, 'Master Roster'!$A:$F, 6, FALSE) &amp; "?text=" &amp; ENCODEURL("Hello " &amp; IFERROR(IF(VLOOKUP(A843, 'Master Roster'!$A:$J, 10, FALSE)="Male", "Mr. ", "Ms. "), "") &amp; B843 &amp; ", payment of K" &amp; F843 &amp; " received for " &amp; period &amp; ". Receipt No: " &amp; N843), "Send Receipt")))</f>
        <v/>
      </c>
    </row>
    <row r="844">
      <c r="A844" s="29"/>
      <c r="B844" s="29" t="s">
        <v>175</v>
      </c>
      <c r="C844" s="76"/>
      <c r="D844" s="29"/>
      <c r="E844" s="29"/>
      <c r="F844" s="29"/>
      <c r="G844" s="29"/>
      <c r="H844" s="29" t="str">
        <f t="shared" si="1"/>
        <v/>
      </c>
      <c r="I844" s="29" t="str">
        <f t="shared" si="2"/>
        <v/>
      </c>
      <c r="J844" s="29" t="str">
        <f>IF(A844="", "", IFERROR(VLOOKUP(A844, 'Master Roster'!A:H, 8, FALSE) - F844, ""))</f>
        <v/>
      </c>
      <c r="K844" s="29" t="s">
        <v>175</v>
      </c>
      <c r="L844" s="29" t="b">
        <v>0</v>
      </c>
      <c r="M844" s="29"/>
      <c r="N844" s="29" t="s">
        <v>175</v>
      </c>
      <c r="O844" s="29" t="str">
        <f>IF(ISBLANK(A844), "", LET(entry_day, VLOOKUP(A844, 'Master Roster'!$A:$G, 7, FALSE), start_date, DATE(E844, MONTH(D844&amp;" 1"), entry_day), end_date, EDATE(start_date, 1), period, TEXT(start_date, "mmm d, yyyy") &amp; " - " &amp; TEXT(end_date, "mmm d, yyyy"), HYPERLINK("https://wa.me/" &amp; VLOOKUP(A844, 'Master Roster'!$A:$F, 6, FALSE) &amp; "?text=" &amp; ENCODEURL("Hello " &amp; IFERROR(IF(VLOOKUP(A844, 'Master Roster'!$A:$J, 10, FALSE)="Male", "Mr. ", "Ms. "), "") &amp; B844 &amp; ", payment of K" &amp; F844 &amp; " received for " &amp; period &amp; ". Receipt No: " &amp; N844), "Send Receipt")))</f>
        <v/>
      </c>
    </row>
    <row r="845">
      <c r="A845" s="29"/>
      <c r="B845" s="29" t="s">
        <v>175</v>
      </c>
      <c r="C845" s="76"/>
      <c r="D845" s="29"/>
      <c r="E845" s="29"/>
      <c r="F845" s="29"/>
      <c r="G845" s="29"/>
      <c r="H845" s="29" t="str">
        <f t="shared" si="1"/>
        <v/>
      </c>
      <c r="I845" s="29" t="str">
        <f t="shared" si="2"/>
        <v/>
      </c>
      <c r="J845" s="29" t="str">
        <f>IF(A845="", "", IFERROR(VLOOKUP(A845, 'Master Roster'!A:H, 8, FALSE) - F845, ""))</f>
        <v/>
      </c>
      <c r="K845" s="29" t="s">
        <v>175</v>
      </c>
      <c r="L845" s="29" t="b">
        <v>0</v>
      </c>
      <c r="M845" s="29"/>
      <c r="N845" s="29" t="s">
        <v>175</v>
      </c>
      <c r="O845" s="29" t="str">
        <f>IF(ISBLANK(A845), "", LET(entry_day, VLOOKUP(A845, 'Master Roster'!$A:$G, 7, FALSE), start_date, DATE(E845, MONTH(D845&amp;" 1"), entry_day), end_date, EDATE(start_date, 1), period, TEXT(start_date, "mmm d, yyyy") &amp; " - " &amp; TEXT(end_date, "mmm d, yyyy"), HYPERLINK("https://wa.me/" &amp; VLOOKUP(A845, 'Master Roster'!$A:$F, 6, FALSE) &amp; "?text=" &amp; ENCODEURL("Hello " &amp; IFERROR(IF(VLOOKUP(A845, 'Master Roster'!$A:$J, 10, FALSE)="Male", "Mr. ", "Ms. "), "") &amp; B845 &amp; ", payment of K" &amp; F845 &amp; " received for " &amp; period &amp; ". Receipt No: " &amp; N845), "Send Receipt")))</f>
        <v/>
      </c>
    </row>
    <row r="846">
      <c r="A846" s="29"/>
      <c r="B846" s="29" t="s">
        <v>175</v>
      </c>
      <c r="C846" s="76"/>
      <c r="D846" s="29"/>
      <c r="E846" s="29"/>
      <c r="F846" s="29"/>
      <c r="G846" s="29"/>
      <c r="H846" s="29" t="str">
        <f t="shared" si="1"/>
        <v/>
      </c>
      <c r="I846" s="29" t="str">
        <f t="shared" si="2"/>
        <v/>
      </c>
      <c r="J846" s="29" t="str">
        <f>IF(A846="", "", IFERROR(VLOOKUP(A846, 'Master Roster'!A:H, 8, FALSE) - F846, ""))</f>
        <v/>
      </c>
      <c r="K846" s="29" t="s">
        <v>175</v>
      </c>
      <c r="L846" s="29" t="b">
        <v>0</v>
      </c>
      <c r="M846" s="29"/>
      <c r="N846" s="29" t="s">
        <v>175</v>
      </c>
      <c r="O846" s="29" t="str">
        <f>IF(ISBLANK(A846), "", LET(entry_day, VLOOKUP(A846, 'Master Roster'!$A:$G, 7, FALSE), start_date, DATE(E846, MONTH(D846&amp;" 1"), entry_day), end_date, EDATE(start_date, 1), period, TEXT(start_date, "mmm d, yyyy") &amp; " - " &amp; TEXT(end_date, "mmm d, yyyy"), HYPERLINK("https://wa.me/" &amp; VLOOKUP(A846, 'Master Roster'!$A:$F, 6, FALSE) &amp; "?text=" &amp; ENCODEURL("Hello " &amp; IFERROR(IF(VLOOKUP(A846, 'Master Roster'!$A:$J, 10, FALSE)="Male", "Mr. ", "Ms. "), "") &amp; B846 &amp; ", payment of K" &amp; F846 &amp; " received for " &amp; period &amp; ". Receipt No: " &amp; N846), "Send Receipt")))</f>
        <v/>
      </c>
    </row>
    <row r="847">
      <c r="A847" s="29"/>
      <c r="B847" s="29" t="s">
        <v>175</v>
      </c>
      <c r="C847" s="76"/>
      <c r="D847" s="29"/>
      <c r="E847" s="29"/>
      <c r="F847" s="29"/>
      <c r="G847" s="29"/>
      <c r="H847" s="29" t="str">
        <f t="shared" si="1"/>
        <v/>
      </c>
      <c r="I847" s="29" t="str">
        <f t="shared" si="2"/>
        <v/>
      </c>
      <c r="J847" s="29" t="str">
        <f>IF(A847="", "", IFERROR(VLOOKUP(A847, 'Master Roster'!A:H, 8, FALSE) - F847, ""))</f>
        <v/>
      </c>
      <c r="K847" s="29" t="s">
        <v>175</v>
      </c>
      <c r="L847" s="29" t="b">
        <v>0</v>
      </c>
      <c r="M847" s="29"/>
      <c r="N847" s="29" t="s">
        <v>175</v>
      </c>
      <c r="O847" s="29" t="str">
        <f>IF(ISBLANK(A847), "", LET(entry_day, VLOOKUP(A847, 'Master Roster'!$A:$G, 7, FALSE), start_date, DATE(E847, MONTH(D847&amp;" 1"), entry_day), end_date, EDATE(start_date, 1), period, TEXT(start_date, "mmm d, yyyy") &amp; " - " &amp; TEXT(end_date, "mmm d, yyyy"), HYPERLINK("https://wa.me/" &amp; VLOOKUP(A847, 'Master Roster'!$A:$F, 6, FALSE) &amp; "?text=" &amp; ENCODEURL("Hello " &amp; IFERROR(IF(VLOOKUP(A847, 'Master Roster'!$A:$J, 10, FALSE)="Male", "Mr. ", "Ms. "), "") &amp; B847 &amp; ", payment of K" &amp; F847 &amp; " received for " &amp; period &amp; ". Receipt No: " &amp; N847), "Send Receipt")))</f>
        <v/>
      </c>
    </row>
    <row r="848">
      <c r="A848" s="29"/>
      <c r="B848" s="29" t="s">
        <v>175</v>
      </c>
      <c r="C848" s="76"/>
      <c r="D848" s="29"/>
      <c r="E848" s="29"/>
      <c r="F848" s="29"/>
      <c r="G848" s="29"/>
      <c r="H848" s="29" t="str">
        <f t="shared" si="1"/>
        <v/>
      </c>
      <c r="I848" s="29" t="str">
        <f t="shared" si="2"/>
        <v/>
      </c>
      <c r="J848" s="29" t="str">
        <f>IF(A848="", "", IFERROR(VLOOKUP(A848, 'Master Roster'!A:H, 8, FALSE) - F848, ""))</f>
        <v/>
      </c>
      <c r="K848" s="29" t="s">
        <v>175</v>
      </c>
      <c r="L848" s="29" t="b">
        <v>0</v>
      </c>
      <c r="M848" s="29"/>
      <c r="N848" s="29" t="s">
        <v>175</v>
      </c>
      <c r="O848" s="29" t="str">
        <f>IF(ISBLANK(A848), "", LET(entry_day, VLOOKUP(A848, 'Master Roster'!$A:$G, 7, FALSE), start_date, DATE(E848, MONTH(D848&amp;" 1"), entry_day), end_date, EDATE(start_date, 1), period, TEXT(start_date, "mmm d, yyyy") &amp; " - " &amp; TEXT(end_date, "mmm d, yyyy"), HYPERLINK("https://wa.me/" &amp; VLOOKUP(A848, 'Master Roster'!$A:$F, 6, FALSE) &amp; "?text=" &amp; ENCODEURL("Hello " &amp; IFERROR(IF(VLOOKUP(A848, 'Master Roster'!$A:$J, 10, FALSE)="Male", "Mr. ", "Ms. "), "") &amp; B848 &amp; ", payment of K" &amp; F848 &amp; " received for " &amp; period &amp; ". Receipt No: " &amp; N848), "Send Receipt")))</f>
        <v/>
      </c>
    </row>
    <row r="849">
      <c r="A849" s="29"/>
      <c r="B849" s="29" t="s">
        <v>175</v>
      </c>
      <c r="C849" s="76"/>
      <c r="D849" s="29"/>
      <c r="E849" s="29"/>
      <c r="F849" s="29"/>
      <c r="G849" s="29"/>
      <c r="H849" s="29" t="str">
        <f t="shared" si="1"/>
        <v/>
      </c>
      <c r="I849" s="29" t="str">
        <f t="shared" si="2"/>
        <v/>
      </c>
      <c r="J849" s="29" t="str">
        <f>IF(A849="", "", IFERROR(VLOOKUP(A849, 'Master Roster'!A:H, 8, FALSE) - F849, ""))</f>
        <v/>
      </c>
      <c r="K849" s="29" t="s">
        <v>175</v>
      </c>
      <c r="L849" s="29" t="b">
        <v>0</v>
      </c>
      <c r="M849" s="29"/>
      <c r="N849" s="29" t="s">
        <v>175</v>
      </c>
      <c r="O849" s="29" t="str">
        <f>IF(ISBLANK(A849), "", LET(entry_day, VLOOKUP(A849, 'Master Roster'!$A:$G, 7, FALSE), start_date, DATE(E849, MONTH(D849&amp;" 1"), entry_day), end_date, EDATE(start_date, 1), period, TEXT(start_date, "mmm d, yyyy") &amp; " - " &amp; TEXT(end_date, "mmm d, yyyy"), HYPERLINK("https://wa.me/" &amp; VLOOKUP(A849, 'Master Roster'!$A:$F, 6, FALSE) &amp; "?text=" &amp; ENCODEURL("Hello " &amp; IFERROR(IF(VLOOKUP(A849, 'Master Roster'!$A:$J, 10, FALSE)="Male", "Mr. ", "Ms. "), "") &amp; B849 &amp; ", payment of K" &amp; F849 &amp; " received for " &amp; period &amp; ". Receipt No: " &amp; N849), "Send Receipt")))</f>
        <v/>
      </c>
    </row>
    <row r="850">
      <c r="A850" s="29"/>
      <c r="B850" s="29" t="s">
        <v>175</v>
      </c>
      <c r="C850" s="76"/>
      <c r="D850" s="29"/>
      <c r="E850" s="29"/>
      <c r="F850" s="29"/>
      <c r="G850" s="29"/>
      <c r="H850" s="29" t="str">
        <f t="shared" si="1"/>
        <v/>
      </c>
      <c r="I850" s="29" t="str">
        <f t="shared" si="2"/>
        <v/>
      </c>
      <c r="J850" s="29" t="str">
        <f>IF(A850="", "", IFERROR(VLOOKUP(A850, 'Master Roster'!A:H, 8, FALSE) - F850, ""))</f>
        <v/>
      </c>
      <c r="K850" s="29" t="s">
        <v>175</v>
      </c>
      <c r="L850" s="29" t="b">
        <v>0</v>
      </c>
      <c r="M850" s="29"/>
      <c r="N850" s="29" t="s">
        <v>175</v>
      </c>
      <c r="O850" s="29" t="str">
        <f>IF(ISBLANK(A850), "", LET(entry_day, VLOOKUP(A850, 'Master Roster'!$A:$G, 7, FALSE), start_date, DATE(E850, MONTH(D850&amp;" 1"), entry_day), end_date, EDATE(start_date, 1), period, TEXT(start_date, "mmm d, yyyy") &amp; " - " &amp; TEXT(end_date, "mmm d, yyyy"), HYPERLINK("https://wa.me/" &amp; VLOOKUP(A850, 'Master Roster'!$A:$F, 6, FALSE) &amp; "?text=" &amp; ENCODEURL("Hello " &amp; IFERROR(IF(VLOOKUP(A850, 'Master Roster'!$A:$J, 10, FALSE)="Male", "Mr. ", "Ms. "), "") &amp; B850 &amp; ", payment of K" &amp; F850 &amp; " received for " &amp; period &amp; ". Receipt No: " &amp; N850), "Send Receipt")))</f>
        <v/>
      </c>
    </row>
    <row r="851">
      <c r="A851" s="29"/>
      <c r="B851" s="29" t="s">
        <v>175</v>
      </c>
      <c r="C851" s="76"/>
      <c r="D851" s="29"/>
      <c r="E851" s="29"/>
      <c r="F851" s="29"/>
      <c r="G851" s="29"/>
      <c r="H851" s="29" t="str">
        <f t="shared" si="1"/>
        <v/>
      </c>
      <c r="I851" s="29" t="str">
        <f t="shared" si="2"/>
        <v/>
      </c>
      <c r="J851" s="29" t="str">
        <f>IF(A851="", "", IFERROR(VLOOKUP(A851, 'Master Roster'!A:H, 8, FALSE) - F851, ""))</f>
        <v/>
      </c>
      <c r="K851" s="29" t="s">
        <v>175</v>
      </c>
      <c r="L851" s="29" t="b">
        <v>0</v>
      </c>
      <c r="M851" s="29"/>
      <c r="N851" s="29" t="s">
        <v>175</v>
      </c>
      <c r="O851" s="29" t="str">
        <f>IF(ISBLANK(A851), "", LET(entry_day, VLOOKUP(A851, 'Master Roster'!$A:$G, 7, FALSE), start_date, DATE(E851, MONTH(D851&amp;" 1"), entry_day), end_date, EDATE(start_date, 1), period, TEXT(start_date, "mmm d, yyyy") &amp; " - " &amp; TEXT(end_date, "mmm d, yyyy"), HYPERLINK("https://wa.me/" &amp; VLOOKUP(A851, 'Master Roster'!$A:$F, 6, FALSE) &amp; "?text=" &amp; ENCODEURL("Hello " &amp; IFERROR(IF(VLOOKUP(A851, 'Master Roster'!$A:$J, 10, FALSE)="Male", "Mr. ", "Ms. "), "") &amp; B851 &amp; ", payment of K" &amp; F851 &amp; " received for " &amp; period &amp; ". Receipt No: " &amp; N851), "Send Receipt")))</f>
        <v/>
      </c>
    </row>
    <row r="852">
      <c r="A852" s="29"/>
      <c r="B852" s="29" t="s">
        <v>175</v>
      </c>
      <c r="C852" s="76"/>
      <c r="D852" s="29"/>
      <c r="E852" s="29"/>
      <c r="F852" s="29"/>
      <c r="G852" s="29"/>
      <c r="H852" s="29" t="str">
        <f t="shared" si="1"/>
        <v/>
      </c>
      <c r="I852" s="29" t="str">
        <f t="shared" si="2"/>
        <v/>
      </c>
      <c r="J852" s="29" t="str">
        <f>IF(A852="", "", IFERROR(VLOOKUP(A852, 'Master Roster'!A:H, 8, FALSE) - F852, ""))</f>
        <v/>
      </c>
      <c r="K852" s="29" t="s">
        <v>175</v>
      </c>
      <c r="L852" s="29" t="b">
        <v>0</v>
      </c>
      <c r="M852" s="29"/>
      <c r="N852" s="29" t="s">
        <v>175</v>
      </c>
      <c r="O852" s="29" t="str">
        <f>IF(ISBLANK(A852), "", LET(entry_day, VLOOKUP(A852, 'Master Roster'!$A:$G, 7, FALSE), start_date, DATE(E852, MONTH(D852&amp;" 1"), entry_day), end_date, EDATE(start_date, 1), period, TEXT(start_date, "mmm d, yyyy") &amp; " - " &amp; TEXT(end_date, "mmm d, yyyy"), HYPERLINK("https://wa.me/" &amp; VLOOKUP(A852, 'Master Roster'!$A:$F, 6, FALSE) &amp; "?text=" &amp; ENCODEURL("Hello " &amp; IFERROR(IF(VLOOKUP(A852, 'Master Roster'!$A:$J, 10, FALSE)="Male", "Mr. ", "Ms. "), "") &amp; B852 &amp; ", payment of K" &amp; F852 &amp; " received for " &amp; period &amp; ". Receipt No: " &amp; N852), "Send Receipt")))</f>
        <v/>
      </c>
    </row>
    <row r="853">
      <c r="A853" s="29"/>
      <c r="B853" s="29" t="s">
        <v>175</v>
      </c>
      <c r="C853" s="76"/>
      <c r="D853" s="29"/>
      <c r="E853" s="29"/>
      <c r="F853" s="29"/>
      <c r="G853" s="29"/>
      <c r="H853" s="29" t="str">
        <f t="shared" si="1"/>
        <v/>
      </c>
      <c r="I853" s="29" t="str">
        <f t="shared" si="2"/>
        <v/>
      </c>
      <c r="J853" s="29" t="str">
        <f>IF(A853="", "", IFERROR(VLOOKUP(A853, 'Master Roster'!A:H, 8, FALSE) - F853, ""))</f>
        <v/>
      </c>
      <c r="K853" s="29" t="s">
        <v>175</v>
      </c>
      <c r="L853" s="29" t="b">
        <v>0</v>
      </c>
      <c r="M853" s="29"/>
      <c r="N853" s="29" t="s">
        <v>175</v>
      </c>
      <c r="O853" s="29" t="str">
        <f>IF(ISBLANK(A853), "", LET(entry_day, VLOOKUP(A853, 'Master Roster'!$A:$G, 7, FALSE), start_date, DATE(E853, MONTH(D853&amp;" 1"), entry_day), end_date, EDATE(start_date, 1), period, TEXT(start_date, "mmm d, yyyy") &amp; " - " &amp; TEXT(end_date, "mmm d, yyyy"), HYPERLINK("https://wa.me/" &amp; VLOOKUP(A853, 'Master Roster'!$A:$F, 6, FALSE) &amp; "?text=" &amp; ENCODEURL("Hello " &amp; IFERROR(IF(VLOOKUP(A853, 'Master Roster'!$A:$J, 10, FALSE)="Male", "Mr. ", "Ms. "), "") &amp; B853 &amp; ", payment of K" &amp; F853 &amp; " received for " &amp; period &amp; ". Receipt No: " &amp; N853), "Send Receipt")))</f>
        <v/>
      </c>
    </row>
    <row r="854">
      <c r="A854" s="29"/>
      <c r="B854" s="29" t="s">
        <v>175</v>
      </c>
      <c r="C854" s="76"/>
      <c r="D854" s="29"/>
      <c r="E854" s="29"/>
      <c r="F854" s="29"/>
      <c r="G854" s="29"/>
      <c r="H854" s="29" t="str">
        <f t="shared" si="1"/>
        <v/>
      </c>
      <c r="I854" s="29" t="str">
        <f t="shared" si="2"/>
        <v/>
      </c>
      <c r="J854" s="29" t="str">
        <f>IF(A854="", "", IFERROR(VLOOKUP(A854, 'Master Roster'!A:H, 8, FALSE) - F854, ""))</f>
        <v/>
      </c>
      <c r="K854" s="29" t="s">
        <v>175</v>
      </c>
      <c r="L854" s="29" t="b">
        <v>0</v>
      </c>
      <c r="M854" s="29"/>
      <c r="N854" s="29" t="s">
        <v>175</v>
      </c>
      <c r="O854" s="29" t="str">
        <f>IF(ISBLANK(A854), "", LET(entry_day, VLOOKUP(A854, 'Master Roster'!$A:$G, 7, FALSE), start_date, DATE(E854, MONTH(D854&amp;" 1"), entry_day), end_date, EDATE(start_date, 1), period, TEXT(start_date, "mmm d, yyyy") &amp; " - " &amp; TEXT(end_date, "mmm d, yyyy"), HYPERLINK("https://wa.me/" &amp; VLOOKUP(A854, 'Master Roster'!$A:$F, 6, FALSE) &amp; "?text=" &amp; ENCODEURL("Hello " &amp; IFERROR(IF(VLOOKUP(A854, 'Master Roster'!$A:$J, 10, FALSE)="Male", "Mr. ", "Ms. "), "") &amp; B854 &amp; ", payment of K" &amp; F854 &amp; " received for " &amp; period &amp; ". Receipt No: " &amp; N854), "Send Receipt")))</f>
        <v/>
      </c>
    </row>
    <row r="855">
      <c r="A855" s="29"/>
      <c r="B855" s="29" t="s">
        <v>175</v>
      </c>
      <c r="C855" s="76"/>
      <c r="D855" s="29"/>
      <c r="E855" s="29"/>
      <c r="F855" s="29"/>
      <c r="G855" s="29"/>
      <c r="H855" s="29" t="str">
        <f t="shared" si="1"/>
        <v/>
      </c>
      <c r="I855" s="29" t="str">
        <f t="shared" si="2"/>
        <v/>
      </c>
      <c r="J855" s="29" t="str">
        <f>IF(A855="", "", IFERROR(VLOOKUP(A855, 'Master Roster'!A:H, 8, FALSE) - F855, ""))</f>
        <v/>
      </c>
      <c r="K855" s="29" t="s">
        <v>175</v>
      </c>
      <c r="L855" s="29" t="b">
        <v>0</v>
      </c>
      <c r="M855" s="29"/>
      <c r="N855" s="29" t="s">
        <v>175</v>
      </c>
      <c r="O855" s="29" t="str">
        <f>IF(ISBLANK(A855), "", LET(entry_day, VLOOKUP(A855, 'Master Roster'!$A:$G, 7, FALSE), start_date, DATE(E855, MONTH(D855&amp;" 1"), entry_day), end_date, EDATE(start_date, 1), period, TEXT(start_date, "mmm d, yyyy") &amp; " - " &amp; TEXT(end_date, "mmm d, yyyy"), HYPERLINK("https://wa.me/" &amp; VLOOKUP(A855, 'Master Roster'!$A:$F, 6, FALSE) &amp; "?text=" &amp; ENCODEURL("Hello " &amp; IFERROR(IF(VLOOKUP(A855, 'Master Roster'!$A:$J, 10, FALSE)="Male", "Mr. ", "Ms. "), "") &amp; B855 &amp; ", payment of K" &amp; F855 &amp; " received for " &amp; period &amp; ". Receipt No: " &amp; N855), "Send Receipt")))</f>
        <v/>
      </c>
    </row>
    <row r="856">
      <c r="A856" s="29"/>
      <c r="B856" s="29" t="s">
        <v>175</v>
      </c>
      <c r="C856" s="76"/>
      <c r="D856" s="29"/>
      <c r="E856" s="29"/>
      <c r="F856" s="29"/>
      <c r="G856" s="29"/>
      <c r="H856" s="29" t="str">
        <f t="shared" si="1"/>
        <v/>
      </c>
      <c r="I856" s="29" t="str">
        <f t="shared" si="2"/>
        <v/>
      </c>
      <c r="J856" s="29" t="str">
        <f>IF(A856="", "", IFERROR(VLOOKUP(A856, 'Master Roster'!A:H, 8, FALSE) - F856, ""))</f>
        <v/>
      </c>
      <c r="K856" s="29" t="s">
        <v>175</v>
      </c>
      <c r="L856" s="29" t="b">
        <v>0</v>
      </c>
      <c r="M856" s="29"/>
      <c r="N856" s="29" t="s">
        <v>175</v>
      </c>
      <c r="O856" s="29" t="str">
        <f>IF(ISBLANK(A856), "", LET(entry_day, VLOOKUP(A856, 'Master Roster'!$A:$G, 7, FALSE), start_date, DATE(E856, MONTH(D856&amp;" 1"), entry_day), end_date, EDATE(start_date, 1), period, TEXT(start_date, "mmm d, yyyy") &amp; " - " &amp; TEXT(end_date, "mmm d, yyyy"), HYPERLINK("https://wa.me/" &amp; VLOOKUP(A856, 'Master Roster'!$A:$F, 6, FALSE) &amp; "?text=" &amp; ENCODEURL("Hello " &amp; IFERROR(IF(VLOOKUP(A856, 'Master Roster'!$A:$J, 10, FALSE)="Male", "Mr. ", "Ms. "), "") &amp; B856 &amp; ", payment of K" &amp; F856 &amp; " received for " &amp; period &amp; ". Receipt No: " &amp; N856), "Send Receipt")))</f>
        <v/>
      </c>
    </row>
    <row r="857">
      <c r="A857" s="29"/>
      <c r="B857" s="29" t="s">
        <v>175</v>
      </c>
      <c r="C857" s="76"/>
      <c r="D857" s="29"/>
      <c r="E857" s="29"/>
      <c r="F857" s="29"/>
      <c r="G857" s="29"/>
      <c r="H857" s="29" t="str">
        <f t="shared" si="1"/>
        <v/>
      </c>
      <c r="I857" s="29" t="str">
        <f t="shared" si="2"/>
        <v/>
      </c>
      <c r="J857" s="29" t="str">
        <f>IF(A857="", "", IFERROR(VLOOKUP(A857, 'Master Roster'!A:H, 8, FALSE) - F857, ""))</f>
        <v/>
      </c>
      <c r="K857" s="29" t="s">
        <v>175</v>
      </c>
      <c r="L857" s="29" t="b">
        <v>0</v>
      </c>
      <c r="M857" s="29"/>
      <c r="N857" s="29" t="s">
        <v>175</v>
      </c>
      <c r="O857" s="29" t="str">
        <f>IF(ISBLANK(A857), "", LET(entry_day, VLOOKUP(A857, 'Master Roster'!$A:$G, 7, FALSE), start_date, DATE(E857, MONTH(D857&amp;" 1"), entry_day), end_date, EDATE(start_date, 1), period, TEXT(start_date, "mmm d, yyyy") &amp; " - " &amp; TEXT(end_date, "mmm d, yyyy"), HYPERLINK("https://wa.me/" &amp; VLOOKUP(A857, 'Master Roster'!$A:$F, 6, FALSE) &amp; "?text=" &amp; ENCODEURL("Hello " &amp; IFERROR(IF(VLOOKUP(A857, 'Master Roster'!$A:$J, 10, FALSE)="Male", "Mr. ", "Ms. "), "") &amp; B857 &amp; ", payment of K" &amp; F857 &amp; " received for " &amp; period &amp; ". Receipt No: " &amp; N857), "Send Receipt")))</f>
        <v/>
      </c>
    </row>
    <row r="858">
      <c r="A858" s="29"/>
      <c r="B858" s="29" t="s">
        <v>175</v>
      </c>
      <c r="C858" s="76"/>
      <c r="D858" s="29"/>
      <c r="E858" s="29"/>
      <c r="F858" s="29"/>
      <c r="G858" s="29"/>
      <c r="H858" s="29" t="str">
        <f t="shared" si="1"/>
        <v/>
      </c>
      <c r="I858" s="29" t="str">
        <f t="shared" si="2"/>
        <v/>
      </c>
      <c r="J858" s="29" t="str">
        <f>IF(A858="", "", IFERROR(VLOOKUP(A858, 'Master Roster'!A:H, 8, FALSE) - F858, ""))</f>
        <v/>
      </c>
      <c r="K858" s="29" t="s">
        <v>175</v>
      </c>
      <c r="L858" s="29" t="b">
        <v>0</v>
      </c>
      <c r="M858" s="29"/>
      <c r="N858" s="29" t="s">
        <v>175</v>
      </c>
      <c r="O858" s="29" t="str">
        <f>IF(ISBLANK(A858), "", LET(entry_day, VLOOKUP(A858, 'Master Roster'!$A:$G, 7, FALSE), start_date, DATE(E858, MONTH(D858&amp;" 1"), entry_day), end_date, EDATE(start_date, 1), period, TEXT(start_date, "mmm d, yyyy") &amp; " - " &amp; TEXT(end_date, "mmm d, yyyy"), HYPERLINK("https://wa.me/" &amp; VLOOKUP(A858, 'Master Roster'!$A:$F, 6, FALSE) &amp; "?text=" &amp; ENCODEURL("Hello " &amp; IFERROR(IF(VLOOKUP(A858, 'Master Roster'!$A:$J, 10, FALSE)="Male", "Mr. ", "Ms. "), "") &amp; B858 &amp; ", payment of K" &amp; F858 &amp; " received for " &amp; period &amp; ". Receipt No: " &amp; N858), "Send Receipt")))</f>
        <v/>
      </c>
    </row>
    <row r="859">
      <c r="A859" s="29"/>
      <c r="B859" s="29" t="s">
        <v>175</v>
      </c>
      <c r="C859" s="76"/>
      <c r="D859" s="29"/>
      <c r="E859" s="29"/>
      <c r="F859" s="29"/>
      <c r="G859" s="29"/>
      <c r="H859" s="29" t="str">
        <f t="shared" si="1"/>
        <v/>
      </c>
      <c r="I859" s="29" t="str">
        <f t="shared" si="2"/>
        <v/>
      </c>
      <c r="J859" s="29" t="str">
        <f>IF(A859="", "", IFERROR(VLOOKUP(A859, 'Master Roster'!A:H, 8, FALSE) - F859, ""))</f>
        <v/>
      </c>
      <c r="K859" s="29" t="s">
        <v>175</v>
      </c>
      <c r="L859" s="29" t="b">
        <v>0</v>
      </c>
      <c r="M859" s="29"/>
      <c r="N859" s="29" t="s">
        <v>175</v>
      </c>
      <c r="O859" s="29" t="str">
        <f>IF(ISBLANK(A859), "", LET(entry_day, VLOOKUP(A859, 'Master Roster'!$A:$G, 7, FALSE), start_date, DATE(E859, MONTH(D859&amp;" 1"), entry_day), end_date, EDATE(start_date, 1), period, TEXT(start_date, "mmm d, yyyy") &amp; " - " &amp; TEXT(end_date, "mmm d, yyyy"), HYPERLINK("https://wa.me/" &amp; VLOOKUP(A859, 'Master Roster'!$A:$F, 6, FALSE) &amp; "?text=" &amp; ENCODEURL("Hello " &amp; IFERROR(IF(VLOOKUP(A859, 'Master Roster'!$A:$J, 10, FALSE)="Male", "Mr. ", "Ms. "), "") &amp; B859 &amp; ", payment of K" &amp; F859 &amp; " received for " &amp; period &amp; ". Receipt No: " &amp; N859), "Send Receipt")))</f>
        <v/>
      </c>
    </row>
    <row r="860">
      <c r="A860" s="29"/>
      <c r="B860" s="29" t="s">
        <v>175</v>
      </c>
      <c r="C860" s="76"/>
      <c r="D860" s="29"/>
      <c r="E860" s="29"/>
      <c r="F860" s="29"/>
      <c r="G860" s="29"/>
      <c r="H860" s="29" t="str">
        <f t="shared" si="1"/>
        <v/>
      </c>
      <c r="I860" s="29" t="str">
        <f t="shared" si="2"/>
        <v/>
      </c>
      <c r="J860" s="29" t="str">
        <f>IF(A860="", "", IFERROR(VLOOKUP(A860, 'Master Roster'!A:H, 8, FALSE) - F860, ""))</f>
        <v/>
      </c>
      <c r="K860" s="29" t="s">
        <v>175</v>
      </c>
      <c r="L860" s="29" t="b">
        <v>0</v>
      </c>
      <c r="M860" s="29"/>
      <c r="N860" s="29" t="s">
        <v>175</v>
      </c>
      <c r="O860" s="29" t="str">
        <f>IF(ISBLANK(A860), "", LET(entry_day, VLOOKUP(A860, 'Master Roster'!$A:$G, 7, FALSE), start_date, DATE(E860, MONTH(D860&amp;" 1"), entry_day), end_date, EDATE(start_date, 1), period, TEXT(start_date, "mmm d, yyyy") &amp; " - " &amp; TEXT(end_date, "mmm d, yyyy"), HYPERLINK("https://wa.me/" &amp; VLOOKUP(A860, 'Master Roster'!$A:$F, 6, FALSE) &amp; "?text=" &amp; ENCODEURL("Hello " &amp; IFERROR(IF(VLOOKUP(A860, 'Master Roster'!$A:$J, 10, FALSE)="Male", "Mr. ", "Ms. "), "") &amp; B860 &amp; ", payment of K" &amp; F860 &amp; " received for " &amp; period &amp; ". Receipt No: " &amp; N860), "Send Receipt")))</f>
        <v/>
      </c>
    </row>
    <row r="861">
      <c r="A861" s="29"/>
      <c r="B861" s="29" t="s">
        <v>175</v>
      </c>
      <c r="C861" s="76"/>
      <c r="D861" s="29"/>
      <c r="E861" s="29"/>
      <c r="F861" s="29"/>
      <c r="G861" s="29"/>
      <c r="H861" s="29" t="str">
        <f t="shared" si="1"/>
        <v/>
      </c>
      <c r="I861" s="29" t="str">
        <f t="shared" si="2"/>
        <v/>
      </c>
      <c r="J861" s="29" t="str">
        <f>IF(A861="", "", IFERROR(VLOOKUP(A861, 'Master Roster'!A:H, 8, FALSE) - F861, ""))</f>
        <v/>
      </c>
      <c r="K861" s="29" t="s">
        <v>175</v>
      </c>
      <c r="L861" s="29" t="b">
        <v>0</v>
      </c>
      <c r="M861" s="29"/>
      <c r="N861" s="29" t="s">
        <v>175</v>
      </c>
      <c r="O861" s="29" t="str">
        <f>IF(ISBLANK(A861), "", LET(entry_day, VLOOKUP(A861, 'Master Roster'!$A:$G, 7, FALSE), start_date, DATE(E861, MONTH(D861&amp;" 1"), entry_day), end_date, EDATE(start_date, 1), period, TEXT(start_date, "mmm d, yyyy") &amp; " - " &amp; TEXT(end_date, "mmm d, yyyy"), HYPERLINK("https://wa.me/" &amp; VLOOKUP(A861, 'Master Roster'!$A:$F, 6, FALSE) &amp; "?text=" &amp; ENCODEURL("Hello " &amp; IFERROR(IF(VLOOKUP(A861, 'Master Roster'!$A:$J, 10, FALSE)="Male", "Mr. ", "Ms. "), "") &amp; B861 &amp; ", payment of K" &amp; F861 &amp; " received for " &amp; period &amp; ". Receipt No: " &amp; N861), "Send Receipt")))</f>
        <v/>
      </c>
    </row>
    <row r="862">
      <c r="A862" s="29"/>
      <c r="B862" s="29" t="s">
        <v>175</v>
      </c>
      <c r="C862" s="76"/>
      <c r="D862" s="29"/>
      <c r="E862" s="29"/>
      <c r="F862" s="29"/>
      <c r="G862" s="29"/>
      <c r="H862" s="29" t="str">
        <f t="shared" si="1"/>
        <v/>
      </c>
      <c r="I862" s="29" t="str">
        <f t="shared" si="2"/>
        <v/>
      </c>
      <c r="J862" s="29" t="str">
        <f>IF(A862="", "", IFERROR(VLOOKUP(A862, 'Master Roster'!A:H, 8, FALSE) - F862, ""))</f>
        <v/>
      </c>
      <c r="K862" s="29" t="s">
        <v>175</v>
      </c>
      <c r="L862" s="29" t="b">
        <v>0</v>
      </c>
      <c r="M862" s="29"/>
      <c r="N862" s="29" t="s">
        <v>175</v>
      </c>
      <c r="O862" s="29" t="str">
        <f>IF(ISBLANK(A862), "", LET(entry_day, VLOOKUP(A862, 'Master Roster'!$A:$G, 7, FALSE), start_date, DATE(E862, MONTH(D862&amp;" 1"), entry_day), end_date, EDATE(start_date, 1), period, TEXT(start_date, "mmm d, yyyy") &amp; " - " &amp; TEXT(end_date, "mmm d, yyyy"), HYPERLINK("https://wa.me/" &amp; VLOOKUP(A862, 'Master Roster'!$A:$F, 6, FALSE) &amp; "?text=" &amp; ENCODEURL("Hello " &amp; IFERROR(IF(VLOOKUP(A862, 'Master Roster'!$A:$J, 10, FALSE)="Male", "Mr. ", "Ms. "), "") &amp; B862 &amp; ", payment of K" &amp; F862 &amp; " received for " &amp; period &amp; ". Receipt No: " &amp; N862), "Send Receipt")))</f>
        <v/>
      </c>
    </row>
    <row r="863">
      <c r="A863" s="29"/>
      <c r="B863" s="29" t="s">
        <v>175</v>
      </c>
      <c r="C863" s="76"/>
      <c r="D863" s="29"/>
      <c r="E863" s="29"/>
      <c r="F863" s="29"/>
      <c r="G863" s="29"/>
      <c r="H863" s="29" t="str">
        <f t="shared" si="1"/>
        <v/>
      </c>
      <c r="I863" s="29" t="str">
        <f t="shared" si="2"/>
        <v/>
      </c>
      <c r="J863" s="29" t="str">
        <f>IF(A863="", "", IFERROR(VLOOKUP(A863, 'Master Roster'!A:H, 8, FALSE) - F863, ""))</f>
        <v/>
      </c>
      <c r="K863" s="29" t="s">
        <v>175</v>
      </c>
      <c r="L863" s="29" t="b">
        <v>0</v>
      </c>
      <c r="M863" s="29"/>
      <c r="N863" s="29" t="s">
        <v>175</v>
      </c>
      <c r="O863" s="29" t="str">
        <f>IF(ISBLANK(A863), "", LET(entry_day, VLOOKUP(A863, 'Master Roster'!$A:$G, 7, FALSE), start_date, DATE(E863, MONTH(D863&amp;" 1"), entry_day), end_date, EDATE(start_date, 1), period, TEXT(start_date, "mmm d, yyyy") &amp; " - " &amp; TEXT(end_date, "mmm d, yyyy"), HYPERLINK("https://wa.me/" &amp; VLOOKUP(A863, 'Master Roster'!$A:$F, 6, FALSE) &amp; "?text=" &amp; ENCODEURL("Hello " &amp; IFERROR(IF(VLOOKUP(A863, 'Master Roster'!$A:$J, 10, FALSE)="Male", "Mr. ", "Ms. "), "") &amp; B863 &amp; ", payment of K" &amp; F863 &amp; " received for " &amp; period &amp; ". Receipt No: " &amp; N863), "Send Receipt")))</f>
        <v/>
      </c>
    </row>
    <row r="864">
      <c r="A864" s="29"/>
      <c r="B864" s="29" t="s">
        <v>175</v>
      </c>
      <c r="C864" s="76"/>
      <c r="D864" s="29"/>
      <c r="E864" s="29"/>
      <c r="F864" s="29"/>
      <c r="G864" s="29"/>
      <c r="H864" s="29" t="str">
        <f t="shared" si="1"/>
        <v/>
      </c>
      <c r="I864" s="29" t="str">
        <f t="shared" si="2"/>
        <v/>
      </c>
      <c r="J864" s="29" t="str">
        <f>IF(A864="", "", IFERROR(VLOOKUP(A864, 'Master Roster'!A:H, 8, FALSE) - F864, ""))</f>
        <v/>
      </c>
      <c r="K864" s="29" t="s">
        <v>175</v>
      </c>
      <c r="L864" s="29" t="b">
        <v>0</v>
      </c>
      <c r="M864" s="29"/>
      <c r="N864" s="29" t="s">
        <v>175</v>
      </c>
      <c r="O864" s="29" t="str">
        <f>IF(ISBLANK(A864), "", LET(entry_day, VLOOKUP(A864, 'Master Roster'!$A:$G, 7, FALSE), start_date, DATE(E864, MONTH(D864&amp;" 1"), entry_day), end_date, EDATE(start_date, 1), period, TEXT(start_date, "mmm d, yyyy") &amp; " - " &amp; TEXT(end_date, "mmm d, yyyy"), HYPERLINK("https://wa.me/" &amp; VLOOKUP(A864, 'Master Roster'!$A:$F, 6, FALSE) &amp; "?text=" &amp; ENCODEURL("Hello " &amp; IFERROR(IF(VLOOKUP(A864, 'Master Roster'!$A:$J, 10, FALSE)="Male", "Mr. ", "Ms. "), "") &amp; B864 &amp; ", payment of K" &amp; F864 &amp; " received for " &amp; period &amp; ". Receipt No: " &amp; N864), "Send Receipt")))</f>
        <v/>
      </c>
    </row>
    <row r="865">
      <c r="A865" s="29"/>
      <c r="B865" s="29" t="s">
        <v>175</v>
      </c>
      <c r="C865" s="76"/>
      <c r="D865" s="29"/>
      <c r="E865" s="29"/>
      <c r="F865" s="29"/>
      <c r="G865" s="29"/>
      <c r="H865" s="29" t="str">
        <f t="shared" si="1"/>
        <v/>
      </c>
      <c r="I865" s="29" t="str">
        <f t="shared" si="2"/>
        <v/>
      </c>
      <c r="J865" s="29" t="str">
        <f>IF(A865="", "", IFERROR(VLOOKUP(A865, 'Master Roster'!A:H, 8, FALSE) - F865, ""))</f>
        <v/>
      </c>
      <c r="K865" s="29" t="s">
        <v>175</v>
      </c>
      <c r="L865" s="29" t="b">
        <v>0</v>
      </c>
      <c r="M865" s="29"/>
      <c r="N865" s="29" t="s">
        <v>175</v>
      </c>
      <c r="O865" s="29" t="str">
        <f>IF(ISBLANK(A865), "", LET(entry_day, VLOOKUP(A865, 'Master Roster'!$A:$G, 7, FALSE), start_date, DATE(E865, MONTH(D865&amp;" 1"), entry_day), end_date, EDATE(start_date, 1), period, TEXT(start_date, "mmm d, yyyy") &amp; " - " &amp; TEXT(end_date, "mmm d, yyyy"), HYPERLINK("https://wa.me/" &amp; VLOOKUP(A865, 'Master Roster'!$A:$F, 6, FALSE) &amp; "?text=" &amp; ENCODEURL("Hello " &amp; IFERROR(IF(VLOOKUP(A865, 'Master Roster'!$A:$J, 10, FALSE)="Male", "Mr. ", "Ms. "), "") &amp; B865 &amp; ", payment of K" &amp; F865 &amp; " received for " &amp; period &amp; ". Receipt No: " &amp; N865), "Send Receipt")))</f>
        <v/>
      </c>
    </row>
    <row r="866">
      <c r="A866" s="29"/>
      <c r="B866" s="29" t="s">
        <v>175</v>
      </c>
      <c r="C866" s="76"/>
      <c r="D866" s="29"/>
      <c r="E866" s="29"/>
      <c r="F866" s="29"/>
      <c r="G866" s="29"/>
      <c r="H866" s="29" t="str">
        <f t="shared" si="1"/>
        <v/>
      </c>
      <c r="I866" s="29" t="str">
        <f t="shared" si="2"/>
        <v/>
      </c>
      <c r="J866" s="29" t="str">
        <f>IF(A866="", "", IFERROR(VLOOKUP(A866, 'Master Roster'!A:H, 8, FALSE) - F866, ""))</f>
        <v/>
      </c>
      <c r="K866" s="29" t="s">
        <v>175</v>
      </c>
      <c r="L866" s="29" t="b">
        <v>0</v>
      </c>
      <c r="M866" s="29"/>
      <c r="N866" s="29" t="s">
        <v>175</v>
      </c>
      <c r="O866" s="29" t="str">
        <f>IF(ISBLANK(A866), "", LET(entry_day, VLOOKUP(A866, 'Master Roster'!$A:$G, 7, FALSE), start_date, DATE(E866, MONTH(D866&amp;" 1"), entry_day), end_date, EDATE(start_date, 1), period, TEXT(start_date, "mmm d, yyyy") &amp; " - " &amp; TEXT(end_date, "mmm d, yyyy"), HYPERLINK("https://wa.me/" &amp; VLOOKUP(A866, 'Master Roster'!$A:$F, 6, FALSE) &amp; "?text=" &amp; ENCODEURL("Hello " &amp; IFERROR(IF(VLOOKUP(A866, 'Master Roster'!$A:$J, 10, FALSE)="Male", "Mr. ", "Ms. "), "") &amp; B866 &amp; ", payment of K" &amp; F866 &amp; " received for " &amp; period &amp; ". Receipt No: " &amp; N866), "Send Receipt")))</f>
        <v/>
      </c>
    </row>
    <row r="867">
      <c r="A867" s="29"/>
      <c r="B867" s="29" t="s">
        <v>175</v>
      </c>
      <c r="C867" s="76"/>
      <c r="D867" s="29"/>
      <c r="E867" s="29"/>
      <c r="F867" s="29"/>
      <c r="G867" s="29"/>
      <c r="H867" s="29" t="str">
        <f t="shared" si="1"/>
        <v/>
      </c>
      <c r="I867" s="29" t="str">
        <f t="shared" si="2"/>
        <v/>
      </c>
      <c r="J867" s="29" t="str">
        <f>IF(A867="", "", IFERROR(VLOOKUP(A867, 'Master Roster'!A:H, 8, FALSE) - F867, ""))</f>
        <v/>
      </c>
      <c r="K867" s="29" t="s">
        <v>175</v>
      </c>
      <c r="L867" s="29" t="b">
        <v>0</v>
      </c>
      <c r="M867" s="29"/>
      <c r="N867" s="29" t="s">
        <v>175</v>
      </c>
      <c r="O867" s="29" t="str">
        <f>IF(ISBLANK(A867), "", LET(entry_day, VLOOKUP(A867, 'Master Roster'!$A:$G, 7, FALSE), start_date, DATE(E867, MONTH(D867&amp;" 1"), entry_day), end_date, EDATE(start_date, 1), period, TEXT(start_date, "mmm d, yyyy") &amp; " - " &amp; TEXT(end_date, "mmm d, yyyy"), HYPERLINK("https://wa.me/" &amp; VLOOKUP(A867, 'Master Roster'!$A:$F, 6, FALSE) &amp; "?text=" &amp; ENCODEURL("Hello " &amp; IFERROR(IF(VLOOKUP(A867, 'Master Roster'!$A:$J, 10, FALSE)="Male", "Mr. ", "Ms. "), "") &amp; B867 &amp; ", payment of K" &amp; F867 &amp; " received for " &amp; period &amp; ". Receipt No: " &amp; N867), "Send Receipt")))</f>
        <v/>
      </c>
    </row>
    <row r="868">
      <c r="A868" s="29"/>
      <c r="B868" s="29" t="s">
        <v>175</v>
      </c>
      <c r="C868" s="76"/>
      <c r="D868" s="29"/>
      <c r="E868" s="29"/>
      <c r="F868" s="29"/>
      <c r="G868" s="29"/>
      <c r="H868" s="29" t="str">
        <f t="shared" si="1"/>
        <v/>
      </c>
      <c r="I868" s="29" t="str">
        <f t="shared" si="2"/>
        <v/>
      </c>
      <c r="J868" s="29" t="str">
        <f>IF(A868="", "", IFERROR(VLOOKUP(A868, 'Master Roster'!A:H, 8, FALSE) - F868, ""))</f>
        <v/>
      </c>
      <c r="K868" s="29" t="s">
        <v>175</v>
      </c>
      <c r="L868" s="29" t="b">
        <v>0</v>
      </c>
      <c r="M868" s="29"/>
      <c r="N868" s="29" t="s">
        <v>175</v>
      </c>
      <c r="O868" s="29" t="str">
        <f>IF(ISBLANK(A868), "", LET(entry_day, VLOOKUP(A868, 'Master Roster'!$A:$G, 7, FALSE), start_date, DATE(E868, MONTH(D868&amp;" 1"), entry_day), end_date, EDATE(start_date, 1), period, TEXT(start_date, "mmm d, yyyy") &amp; " - " &amp; TEXT(end_date, "mmm d, yyyy"), HYPERLINK("https://wa.me/" &amp; VLOOKUP(A868, 'Master Roster'!$A:$F, 6, FALSE) &amp; "?text=" &amp; ENCODEURL("Hello " &amp; IFERROR(IF(VLOOKUP(A868, 'Master Roster'!$A:$J, 10, FALSE)="Male", "Mr. ", "Ms. "), "") &amp; B868 &amp; ", payment of K" &amp; F868 &amp; " received for " &amp; period &amp; ". Receipt No: " &amp; N868), "Send Receipt")))</f>
        <v/>
      </c>
    </row>
    <row r="869">
      <c r="A869" s="29"/>
      <c r="B869" s="29" t="s">
        <v>175</v>
      </c>
      <c r="C869" s="76"/>
      <c r="D869" s="29"/>
      <c r="E869" s="29"/>
      <c r="F869" s="29"/>
      <c r="G869" s="29"/>
      <c r="H869" s="29" t="str">
        <f t="shared" si="1"/>
        <v/>
      </c>
      <c r="I869" s="29" t="str">
        <f t="shared" si="2"/>
        <v/>
      </c>
      <c r="J869" s="29" t="str">
        <f>IF(A869="", "", IFERROR(VLOOKUP(A869, 'Master Roster'!A:H, 8, FALSE) - F869, ""))</f>
        <v/>
      </c>
      <c r="K869" s="29" t="s">
        <v>175</v>
      </c>
      <c r="L869" s="29" t="b">
        <v>0</v>
      </c>
      <c r="M869" s="29"/>
      <c r="N869" s="29" t="s">
        <v>175</v>
      </c>
      <c r="O869" s="29" t="str">
        <f>IF(ISBLANK(A869), "", LET(entry_day, VLOOKUP(A869, 'Master Roster'!$A:$G, 7, FALSE), start_date, DATE(E869, MONTH(D869&amp;" 1"), entry_day), end_date, EDATE(start_date, 1), period, TEXT(start_date, "mmm d, yyyy") &amp; " - " &amp; TEXT(end_date, "mmm d, yyyy"), HYPERLINK("https://wa.me/" &amp; VLOOKUP(A869, 'Master Roster'!$A:$F, 6, FALSE) &amp; "?text=" &amp; ENCODEURL("Hello " &amp; IFERROR(IF(VLOOKUP(A869, 'Master Roster'!$A:$J, 10, FALSE)="Male", "Mr. ", "Ms. "), "") &amp; B869 &amp; ", payment of K" &amp; F869 &amp; " received for " &amp; period &amp; ". Receipt No: " &amp; N869), "Send Receipt")))</f>
        <v/>
      </c>
    </row>
    <row r="870">
      <c r="A870" s="29"/>
      <c r="B870" s="29" t="s">
        <v>175</v>
      </c>
      <c r="C870" s="76"/>
      <c r="D870" s="29"/>
      <c r="E870" s="29"/>
      <c r="F870" s="29"/>
      <c r="G870" s="29"/>
      <c r="H870" s="29" t="str">
        <f t="shared" si="1"/>
        <v/>
      </c>
      <c r="I870" s="29" t="str">
        <f t="shared" si="2"/>
        <v/>
      </c>
      <c r="J870" s="29" t="str">
        <f>IF(A870="", "", IFERROR(VLOOKUP(A870, 'Master Roster'!A:H, 8, FALSE) - F870, ""))</f>
        <v/>
      </c>
      <c r="K870" s="29" t="s">
        <v>175</v>
      </c>
      <c r="L870" s="29" t="b">
        <v>0</v>
      </c>
      <c r="M870" s="29"/>
      <c r="N870" s="29" t="s">
        <v>175</v>
      </c>
      <c r="O870" s="29" t="str">
        <f>IF(ISBLANK(A870), "", LET(entry_day, VLOOKUP(A870, 'Master Roster'!$A:$G, 7, FALSE), start_date, DATE(E870, MONTH(D870&amp;" 1"), entry_day), end_date, EDATE(start_date, 1), period, TEXT(start_date, "mmm d, yyyy") &amp; " - " &amp; TEXT(end_date, "mmm d, yyyy"), HYPERLINK("https://wa.me/" &amp; VLOOKUP(A870, 'Master Roster'!$A:$F, 6, FALSE) &amp; "?text=" &amp; ENCODEURL("Hello " &amp; IFERROR(IF(VLOOKUP(A870, 'Master Roster'!$A:$J, 10, FALSE)="Male", "Mr. ", "Ms. "), "") &amp; B870 &amp; ", payment of K" &amp; F870 &amp; " received for " &amp; period &amp; ". Receipt No: " &amp; N870), "Send Receipt")))</f>
        <v/>
      </c>
    </row>
    <row r="871">
      <c r="A871" s="29"/>
      <c r="B871" s="29" t="s">
        <v>175</v>
      </c>
      <c r="C871" s="76"/>
      <c r="D871" s="29"/>
      <c r="E871" s="29"/>
      <c r="F871" s="29"/>
      <c r="G871" s="29"/>
      <c r="H871" s="29" t="str">
        <f t="shared" si="1"/>
        <v/>
      </c>
      <c r="I871" s="29" t="str">
        <f t="shared" si="2"/>
        <v/>
      </c>
      <c r="J871" s="29" t="str">
        <f>IF(A871="", "", IFERROR(VLOOKUP(A871, 'Master Roster'!A:H, 8, FALSE) - F871, ""))</f>
        <v/>
      </c>
      <c r="K871" s="29" t="s">
        <v>175</v>
      </c>
      <c r="L871" s="29" t="b">
        <v>0</v>
      </c>
      <c r="M871" s="29"/>
      <c r="N871" s="29" t="s">
        <v>175</v>
      </c>
      <c r="O871" s="29" t="str">
        <f>IF(ISBLANK(A871), "", LET(entry_day, VLOOKUP(A871, 'Master Roster'!$A:$G, 7, FALSE), start_date, DATE(E871, MONTH(D871&amp;" 1"), entry_day), end_date, EDATE(start_date, 1), period, TEXT(start_date, "mmm d, yyyy") &amp; " - " &amp; TEXT(end_date, "mmm d, yyyy"), HYPERLINK("https://wa.me/" &amp; VLOOKUP(A871, 'Master Roster'!$A:$F, 6, FALSE) &amp; "?text=" &amp; ENCODEURL("Hello " &amp; IFERROR(IF(VLOOKUP(A871, 'Master Roster'!$A:$J, 10, FALSE)="Male", "Mr. ", "Ms. "), "") &amp; B871 &amp; ", payment of K" &amp; F871 &amp; " received for " &amp; period &amp; ". Receipt No: " &amp; N871), "Send Receipt")))</f>
        <v/>
      </c>
    </row>
    <row r="872">
      <c r="A872" s="29"/>
      <c r="B872" s="29" t="s">
        <v>175</v>
      </c>
      <c r="C872" s="76"/>
      <c r="D872" s="29"/>
      <c r="E872" s="29"/>
      <c r="F872" s="29"/>
      <c r="G872" s="29"/>
      <c r="H872" s="29" t="str">
        <f t="shared" si="1"/>
        <v/>
      </c>
      <c r="I872" s="29" t="str">
        <f t="shared" si="2"/>
        <v/>
      </c>
      <c r="J872" s="29" t="str">
        <f>IF(A872="", "", IFERROR(VLOOKUP(A872, 'Master Roster'!A:H, 8, FALSE) - F872, ""))</f>
        <v/>
      </c>
      <c r="K872" s="29" t="s">
        <v>175</v>
      </c>
      <c r="L872" s="29" t="b">
        <v>0</v>
      </c>
      <c r="M872" s="29"/>
      <c r="N872" s="29" t="s">
        <v>175</v>
      </c>
      <c r="O872" s="29" t="str">
        <f>IF(ISBLANK(A872), "", LET(entry_day, VLOOKUP(A872, 'Master Roster'!$A:$G, 7, FALSE), start_date, DATE(E872, MONTH(D872&amp;" 1"), entry_day), end_date, EDATE(start_date, 1), period, TEXT(start_date, "mmm d, yyyy") &amp; " - " &amp; TEXT(end_date, "mmm d, yyyy"), HYPERLINK("https://wa.me/" &amp; VLOOKUP(A872, 'Master Roster'!$A:$F, 6, FALSE) &amp; "?text=" &amp; ENCODEURL("Hello " &amp; IFERROR(IF(VLOOKUP(A872, 'Master Roster'!$A:$J, 10, FALSE)="Male", "Mr. ", "Ms. "), "") &amp; B872 &amp; ", payment of K" &amp; F872 &amp; " received for " &amp; period &amp; ". Receipt No: " &amp; N872), "Send Receipt")))</f>
        <v/>
      </c>
    </row>
    <row r="873">
      <c r="A873" s="29"/>
      <c r="B873" s="29" t="s">
        <v>175</v>
      </c>
      <c r="C873" s="76"/>
      <c r="D873" s="29"/>
      <c r="E873" s="29"/>
      <c r="F873" s="29"/>
      <c r="G873" s="29"/>
      <c r="H873" s="29" t="str">
        <f t="shared" si="1"/>
        <v/>
      </c>
      <c r="I873" s="29" t="str">
        <f t="shared" si="2"/>
        <v/>
      </c>
      <c r="J873" s="29" t="str">
        <f>IF(A873="", "", IFERROR(VLOOKUP(A873, 'Master Roster'!A:H, 8, FALSE) - F873, ""))</f>
        <v/>
      </c>
      <c r="K873" s="29" t="s">
        <v>175</v>
      </c>
      <c r="L873" s="29" t="b">
        <v>0</v>
      </c>
      <c r="M873" s="29"/>
      <c r="N873" s="29" t="s">
        <v>175</v>
      </c>
      <c r="O873" s="29" t="str">
        <f>IF(ISBLANK(A873), "", LET(entry_day, VLOOKUP(A873, 'Master Roster'!$A:$G, 7, FALSE), start_date, DATE(E873, MONTH(D873&amp;" 1"), entry_day), end_date, EDATE(start_date, 1), period, TEXT(start_date, "mmm d, yyyy") &amp; " - " &amp; TEXT(end_date, "mmm d, yyyy"), HYPERLINK("https://wa.me/" &amp; VLOOKUP(A873, 'Master Roster'!$A:$F, 6, FALSE) &amp; "?text=" &amp; ENCODEURL("Hello " &amp; IFERROR(IF(VLOOKUP(A873, 'Master Roster'!$A:$J, 10, FALSE)="Male", "Mr. ", "Ms. "), "") &amp; B873 &amp; ", payment of K" &amp; F873 &amp; " received for " &amp; period &amp; ". Receipt No: " &amp; N873), "Send Receipt")))</f>
        <v/>
      </c>
    </row>
    <row r="874">
      <c r="A874" s="29"/>
      <c r="B874" s="29" t="s">
        <v>175</v>
      </c>
      <c r="C874" s="76"/>
      <c r="D874" s="29"/>
      <c r="E874" s="29"/>
      <c r="F874" s="29"/>
      <c r="G874" s="29"/>
      <c r="H874" s="29" t="str">
        <f t="shared" si="1"/>
        <v/>
      </c>
      <c r="I874" s="29" t="str">
        <f t="shared" si="2"/>
        <v/>
      </c>
      <c r="J874" s="29" t="str">
        <f>IF(A874="", "", IFERROR(VLOOKUP(A874, 'Master Roster'!A:H, 8, FALSE) - F874, ""))</f>
        <v/>
      </c>
      <c r="K874" s="29" t="s">
        <v>175</v>
      </c>
      <c r="L874" s="29" t="b">
        <v>0</v>
      </c>
      <c r="M874" s="29"/>
      <c r="N874" s="29" t="s">
        <v>175</v>
      </c>
      <c r="O874" s="29" t="str">
        <f>IF(ISBLANK(A874), "", LET(entry_day, VLOOKUP(A874, 'Master Roster'!$A:$G, 7, FALSE), start_date, DATE(E874, MONTH(D874&amp;" 1"), entry_day), end_date, EDATE(start_date, 1), period, TEXT(start_date, "mmm d, yyyy") &amp; " - " &amp; TEXT(end_date, "mmm d, yyyy"), HYPERLINK("https://wa.me/" &amp; VLOOKUP(A874, 'Master Roster'!$A:$F, 6, FALSE) &amp; "?text=" &amp; ENCODEURL("Hello " &amp; IFERROR(IF(VLOOKUP(A874, 'Master Roster'!$A:$J, 10, FALSE)="Male", "Mr. ", "Ms. "), "") &amp; B874 &amp; ", payment of K" &amp; F874 &amp; " received for " &amp; period &amp; ". Receipt No: " &amp; N874), "Send Receipt")))</f>
        <v/>
      </c>
    </row>
    <row r="875">
      <c r="A875" s="29"/>
      <c r="B875" s="29" t="s">
        <v>175</v>
      </c>
      <c r="C875" s="76"/>
      <c r="D875" s="29"/>
      <c r="E875" s="29"/>
      <c r="F875" s="29"/>
      <c r="G875" s="29"/>
      <c r="H875" s="29" t="str">
        <f t="shared" si="1"/>
        <v/>
      </c>
      <c r="I875" s="29" t="str">
        <f t="shared" si="2"/>
        <v/>
      </c>
      <c r="J875" s="29" t="str">
        <f>IF(A875="", "", IFERROR(VLOOKUP(A875, 'Master Roster'!A:H, 8, FALSE) - F875, ""))</f>
        <v/>
      </c>
      <c r="K875" s="29" t="s">
        <v>175</v>
      </c>
      <c r="L875" s="29" t="b">
        <v>0</v>
      </c>
      <c r="M875" s="29"/>
      <c r="N875" s="29" t="s">
        <v>175</v>
      </c>
      <c r="O875" s="29" t="str">
        <f>IF(ISBLANK(A875), "", LET(entry_day, VLOOKUP(A875, 'Master Roster'!$A:$G, 7, FALSE), start_date, DATE(E875, MONTH(D875&amp;" 1"), entry_day), end_date, EDATE(start_date, 1), period, TEXT(start_date, "mmm d, yyyy") &amp; " - " &amp; TEXT(end_date, "mmm d, yyyy"), HYPERLINK("https://wa.me/" &amp; VLOOKUP(A875, 'Master Roster'!$A:$F, 6, FALSE) &amp; "?text=" &amp; ENCODEURL("Hello " &amp; IFERROR(IF(VLOOKUP(A875, 'Master Roster'!$A:$J, 10, FALSE)="Male", "Mr. ", "Ms. "), "") &amp; B875 &amp; ", payment of K" &amp; F875 &amp; " received for " &amp; period &amp; ". Receipt No: " &amp; N875), "Send Receipt")))</f>
        <v/>
      </c>
    </row>
    <row r="876">
      <c r="A876" s="29"/>
      <c r="B876" s="29" t="s">
        <v>175</v>
      </c>
      <c r="C876" s="76"/>
      <c r="D876" s="29"/>
      <c r="E876" s="29"/>
      <c r="F876" s="29"/>
      <c r="G876" s="29"/>
      <c r="H876" s="29" t="str">
        <f t="shared" si="1"/>
        <v/>
      </c>
      <c r="I876" s="29" t="str">
        <f t="shared" si="2"/>
        <v/>
      </c>
      <c r="J876" s="29" t="str">
        <f>IF(A876="", "", IFERROR(VLOOKUP(A876, 'Master Roster'!A:H, 8, FALSE) - F876, ""))</f>
        <v/>
      </c>
      <c r="K876" s="29" t="s">
        <v>175</v>
      </c>
      <c r="L876" s="29" t="b">
        <v>0</v>
      </c>
      <c r="M876" s="29"/>
      <c r="N876" s="29" t="s">
        <v>175</v>
      </c>
      <c r="O876" s="29" t="str">
        <f>IF(ISBLANK(A876), "", LET(entry_day, VLOOKUP(A876, 'Master Roster'!$A:$G, 7, FALSE), start_date, DATE(E876, MONTH(D876&amp;" 1"), entry_day), end_date, EDATE(start_date, 1), period, TEXT(start_date, "mmm d, yyyy") &amp; " - " &amp; TEXT(end_date, "mmm d, yyyy"), HYPERLINK("https://wa.me/" &amp; VLOOKUP(A876, 'Master Roster'!$A:$F, 6, FALSE) &amp; "?text=" &amp; ENCODEURL("Hello " &amp; IFERROR(IF(VLOOKUP(A876, 'Master Roster'!$A:$J, 10, FALSE)="Male", "Mr. ", "Ms. "), "") &amp; B876 &amp; ", payment of K" &amp; F876 &amp; " received for " &amp; period &amp; ". Receipt No: " &amp; N876), "Send Receipt")))</f>
        <v/>
      </c>
    </row>
    <row r="877">
      <c r="A877" s="29"/>
      <c r="B877" s="29" t="s">
        <v>175</v>
      </c>
      <c r="C877" s="76"/>
      <c r="D877" s="29"/>
      <c r="E877" s="29"/>
      <c r="F877" s="29"/>
      <c r="G877" s="29"/>
      <c r="H877" s="29" t="str">
        <f t="shared" si="1"/>
        <v/>
      </c>
      <c r="I877" s="29" t="str">
        <f t="shared" si="2"/>
        <v/>
      </c>
      <c r="J877" s="29" t="str">
        <f>IF(A877="", "", IFERROR(VLOOKUP(A877, 'Master Roster'!A:H, 8, FALSE) - F877, ""))</f>
        <v/>
      </c>
      <c r="K877" s="29" t="s">
        <v>175</v>
      </c>
      <c r="L877" s="29" t="b">
        <v>0</v>
      </c>
      <c r="M877" s="29"/>
      <c r="N877" s="29" t="s">
        <v>175</v>
      </c>
      <c r="O877" s="29" t="str">
        <f>IF(ISBLANK(A877), "", LET(entry_day, VLOOKUP(A877, 'Master Roster'!$A:$G, 7, FALSE), start_date, DATE(E877, MONTH(D877&amp;" 1"), entry_day), end_date, EDATE(start_date, 1), period, TEXT(start_date, "mmm d, yyyy") &amp; " - " &amp; TEXT(end_date, "mmm d, yyyy"), HYPERLINK("https://wa.me/" &amp; VLOOKUP(A877, 'Master Roster'!$A:$F, 6, FALSE) &amp; "?text=" &amp; ENCODEURL("Hello " &amp; IFERROR(IF(VLOOKUP(A877, 'Master Roster'!$A:$J, 10, FALSE)="Male", "Mr. ", "Ms. "), "") &amp; B877 &amp; ", payment of K" &amp; F877 &amp; " received for " &amp; period &amp; ". Receipt No: " &amp; N877), "Send Receipt")))</f>
        <v/>
      </c>
    </row>
    <row r="878">
      <c r="A878" s="29"/>
      <c r="B878" s="29" t="s">
        <v>175</v>
      </c>
      <c r="C878" s="76"/>
      <c r="D878" s="29"/>
      <c r="E878" s="29"/>
      <c r="F878" s="29"/>
      <c r="G878" s="29"/>
      <c r="H878" s="29" t="str">
        <f t="shared" si="1"/>
        <v/>
      </c>
      <c r="I878" s="29" t="str">
        <f t="shared" si="2"/>
        <v/>
      </c>
      <c r="J878" s="29" t="str">
        <f>IF(A878="", "", IFERROR(VLOOKUP(A878, 'Master Roster'!A:H, 8, FALSE) - F878, ""))</f>
        <v/>
      </c>
      <c r="K878" s="29" t="s">
        <v>175</v>
      </c>
      <c r="L878" s="29" t="b">
        <v>0</v>
      </c>
      <c r="M878" s="29"/>
      <c r="N878" s="29" t="s">
        <v>175</v>
      </c>
      <c r="O878" s="29" t="str">
        <f>IF(ISBLANK(A878), "", LET(entry_day, VLOOKUP(A878, 'Master Roster'!$A:$G, 7, FALSE), start_date, DATE(E878, MONTH(D878&amp;" 1"), entry_day), end_date, EDATE(start_date, 1), period, TEXT(start_date, "mmm d, yyyy") &amp; " - " &amp; TEXT(end_date, "mmm d, yyyy"), HYPERLINK("https://wa.me/" &amp; VLOOKUP(A878, 'Master Roster'!$A:$F, 6, FALSE) &amp; "?text=" &amp; ENCODEURL("Hello " &amp; IFERROR(IF(VLOOKUP(A878, 'Master Roster'!$A:$J, 10, FALSE)="Male", "Mr. ", "Ms. "), "") &amp; B878 &amp; ", payment of K" &amp; F878 &amp; " received for " &amp; period &amp; ". Receipt No: " &amp; N878), "Send Receipt")))</f>
        <v/>
      </c>
    </row>
    <row r="879">
      <c r="A879" s="29"/>
      <c r="B879" s="29" t="s">
        <v>175</v>
      </c>
      <c r="C879" s="76"/>
      <c r="D879" s="29"/>
      <c r="E879" s="29"/>
      <c r="F879" s="29"/>
      <c r="G879" s="29"/>
      <c r="H879" s="29" t="str">
        <f t="shared" si="1"/>
        <v/>
      </c>
      <c r="I879" s="29" t="str">
        <f t="shared" si="2"/>
        <v/>
      </c>
      <c r="J879" s="29" t="str">
        <f>IF(A879="", "", IFERROR(VLOOKUP(A879, 'Master Roster'!A:H, 8, FALSE) - F879, ""))</f>
        <v/>
      </c>
      <c r="K879" s="29" t="s">
        <v>175</v>
      </c>
      <c r="L879" s="29" t="b">
        <v>0</v>
      </c>
      <c r="M879" s="29"/>
      <c r="N879" s="29" t="s">
        <v>175</v>
      </c>
      <c r="O879" s="29" t="str">
        <f>IF(ISBLANK(A879), "", LET(entry_day, VLOOKUP(A879, 'Master Roster'!$A:$G, 7, FALSE), start_date, DATE(E879, MONTH(D879&amp;" 1"), entry_day), end_date, EDATE(start_date, 1), period, TEXT(start_date, "mmm d, yyyy") &amp; " - " &amp; TEXT(end_date, "mmm d, yyyy"), HYPERLINK("https://wa.me/" &amp; VLOOKUP(A879, 'Master Roster'!$A:$F, 6, FALSE) &amp; "?text=" &amp; ENCODEURL("Hello " &amp; IFERROR(IF(VLOOKUP(A879, 'Master Roster'!$A:$J, 10, FALSE)="Male", "Mr. ", "Ms. "), "") &amp; B879 &amp; ", payment of K" &amp; F879 &amp; " received for " &amp; period &amp; ". Receipt No: " &amp; N879), "Send Receipt")))</f>
        <v/>
      </c>
    </row>
    <row r="880">
      <c r="A880" s="29"/>
      <c r="B880" s="29" t="s">
        <v>175</v>
      </c>
      <c r="C880" s="76"/>
      <c r="D880" s="29"/>
      <c r="E880" s="29"/>
      <c r="F880" s="29"/>
      <c r="G880" s="29"/>
      <c r="H880" s="29" t="str">
        <f t="shared" si="1"/>
        <v/>
      </c>
      <c r="I880" s="29" t="str">
        <f t="shared" si="2"/>
        <v/>
      </c>
      <c r="J880" s="29" t="str">
        <f>IF(A880="", "", IFERROR(VLOOKUP(A880, 'Master Roster'!A:H, 8, FALSE) - F880, ""))</f>
        <v/>
      </c>
      <c r="K880" s="29" t="s">
        <v>175</v>
      </c>
      <c r="L880" s="29" t="b">
        <v>0</v>
      </c>
      <c r="M880" s="29"/>
      <c r="N880" s="29" t="s">
        <v>175</v>
      </c>
      <c r="O880" s="29" t="str">
        <f>IF(ISBLANK(A880), "", LET(entry_day, VLOOKUP(A880, 'Master Roster'!$A:$G, 7, FALSE), start_date, DATE(E880, MONTH(D880&amp;" 1"), entry_day), end_date, EDATE(start_date, 1), period, TEXT(start_date, "mmm d, yyyy") &amp; " - " &amp; TEXT(end_date, "mmm d, yyyy"), HYPERLINK("https://wa.me/" &amp; VLOOKUP(A880, 'Master Roster'!$A:$F, 6, FALSE) &amp; "?text=" &amp; ENCODEURL("Hello " &amp; IFERROR(IF(VLOOKUP(A880, 'Master Roster'!$A:$J, 10, FALSE)="Male", "Mr. ", "Ms. "), "") &amp; B880 &amp; ", payment of K" &amp; F880 &amp; " received for " &amp; period &amp; ". Receipt No: " &amp; N880), "Send Receipt")))</f>
        <v/>
      </c>
    </row>
    <row r="881">
      <c r="A881" s="29"/>
      <c r="B881" s="29" t="s">
        <v>175</v>
      </c>
      <c r="C881" s="76"/>
      <c r="D881" s="29"/>
      <c r="E881" s="29"/>
      <c r="F881" s="29"/>
      <c r="G881" s="29"/>
      <c r="H881" s="29" t="str">
        <f t="shared" si="1"/>
        <v/>
      </c>
      <c r="I881" s="29" t="str">
        <f t="shared" si="2"/>
        <v/>
      </c>
      <c r="J881" s="29" t="str">
        <f>IF(A881="", "", IFERROR(VLOOKUP(A881, 'Master Roster'!A:H, 8, FALSE) - F881, ""))</f>
        <v/>
      </c>
      <c r="K881" s="29" t="s">
        <v>175</v>
      </c>
      <c r="L881" s="29" t="b">
        <v>0</v>
      </c>
      <c r="M881" s="29"/>
      <c r="N881" s="29" t="s">
        <v>175</v>
      </c>
      <c r="O881" s="29" t="str">
        <f>IF(ISBLANK(A881), "", LET(entry_day, VLOOKUP(A881, 'Master Roster'!$A:$G, 7, FALSE), start_date, DATE(E881, MONTH(D881&amp;" 1"), entry_day), end_date, EDATE(start_date, 1), period, TEXT(start_date, "mmm d, yyyy") &amp; " - " &amp; TEXT(end_date, "mmm d, yyyy"), HYPERLINK("https://wa.me/" &amp; VLOOKUP(A881, 'Master Roster'!$A:$F, 6, FALSE) &amp; "?text=" &amp; ENCODEURL("Hello " &amp; IFERROR(IF(VLOOKUP(A881, 'Master Roster'!$A:$J, 10, FALSE)="Male", "Mr. ", "Ms. "), "") &amp; B881 &amp; ", payment of K" &amp; F881 &amp; " received for " &amp; period &amp; ". Receipt No: " &amp; N881), "Send Receipt")))</f>
        <v/>
      </c>
    </row>
    <row r="882">
      <c r="A882" s="29"/>
      <c r="B882" s="29" t="s">
        <v>175</v>
      </c>
      <c r="C882" s="76"/>
      <c r="D882" s="29"/>
      <c r="E882" s="29"/>
      <c r="F882" s="29"/>
      <c r="G882" s="29"/>
      <c r="H882" s="29" t="str">
        <f t="shared" si="1"/>
        <v/>
      </c>
      <c r="I882" s="29" t="str">
        <f t="shared" si="2"/>
        <v/>
      </c>
      <c r="J882" s="29" t="str">
        <f>IF(A882="", "", IFERROR(VLOOKUP(A882, 'Master Roster'!A:H, 8, FALSE) - F882, ""))</f>
        <v/>
      </c>
      <c r="K882" s="29" t="s">
        <v>175</v>
      </c>
      <c r="L882" s="29" t="b">
        <v>0</v>
      </c>
      <c r="M882" s="29"/>
      <c r="N882" s="29" t="s">
        <v>175</v>
      </c>
      <c r="O882" s="29" t="str">
        <f>IF(ISBLANK(A882), "", LET(entry_day, VLOOKUP(A882, 'Master Roster'!$A:$G, 7, FALSE), start_date, DATE(E882, MONTH(D882&amp;" 1"), entry_day), end_date, EDATE(start_date, 1), period, TEXT(start_date, "mmm d, yyyy") &amp; " - " &amp; TEXT(end_date, "mmm d, yyyy"), HYPERLINK("https://wa.me/" &amp; VLOOKUP(A882, 'Master Roster'!$A:$F, 6, FALSE) &amp; "?text=" &amp; ENCODEURL("Hello " &amp; IFERROR(IF(VLOOKUP(A882, 'Master Roster'!$A:$J, 10, FALSE)="Male", "Mr. ", "Ms. "), "") &amp; B882 &amp; ", payment of K" &amp; F882 &amp; " received for " &amp; period &amp; ". Receipt No: " &amp; N882), "Send Receipt")))</f>
        <v/>
      </c>
    </row>
    <row r="883">
      <c r="A883" s="29"/>
      <c r="B883" s="29" t="s">
        <v>175</v>
      </c>
      <c r="C883" s="76"/>
      <c r="D883" s="29"/>
      <c r="E883" s="29"/>
      <c r="F883" s="29"/>
      <c r="G883" s="29"/>
      <c r="H883" s="29" t="str">
        <f t="shared" si="1"/>
        <v/>
      </c>
      <c r="I883" s="29" t="str">
        <f t="shared" si="2"/>
        <v/>
      </c>
      <c r="J883" s="29" t="str">
        <f>IF(A883="", "", IFERROR(VLOOKUP(A883, 'Master Roster'!A:H, 8, FALSE) - F883, ""))</f>
        <v/>
      </c>
      <c r="K883" s="29" t="s">
        <v>175</v>
      </c>
      <c r="L883" s="29" t="b">
        <v>0</v>
      </c>
      <c r="M883" s="29"/>
      <c r="N883" s="29" t="s">
        <v>175</v>
      </c>
      <c r="O883" s="29" t="str">
        <f>IF(ISBLANK(A883), "", LET(entry_day, VLOOKUP(A883, 'Master Roster'!$A:$G, 7, FALSE), start_date, DATE(E883, MONTH(D883&amp;" 1"), entry_day), end_date, EDATE(start_date, 1), period, TEXT(start_date, "mmm d, yyyy") &amp; " - " &amp; TEXT(end_date, "mmm d, yyyy"), HYPERLINK("https://wa.me/" &amp; VLOOKUP(A883, 'Master Roster'!$A:$F, 6, FALSE) &amp; "?text=" &amp; ENCODEURL("Hello " &amp; IFERROR(IF(VLOOKUP(A883, 'Master Roster'!$A:$J, 10, FALSE)="Male", "Mr. ", "Ms. "), "") &amp; B883 &amp; ", payment of K" &amp; F883 &amp; " received for " &amp; period &amp; ". Receipt No: " &amp; N883), "Send Receipt")))</f>
        <v/>
      </c>
    </row>
    <row r="884">
      <c r="A884" s="29"/>
      <c r="B884" s="29" t="s">
        <v>175</v>
      </c>
      <c r="C884" s="76"/>
      <c r="D884" s="29"/>
      <c r="E884" s="29"/>
      <c r="F884" s="29"/>
      <c r="G884" s="29"/>
      <c r="H884" s="29" t="str">
        <f t="shared" si="1"/>
        <v/>
      </c>
      <c r="I884" s="29" t="str">
        <f t="shared" si="2"/>
        <v/>
      </c>
      <c r="J884" s="29" t="str">
        <f>IF(A884="", "", IFERROR(VLOOKUP(A884, 'Master Roster'!A:H, 8, FALSE) - F884, ""))</f>
        <v/>
      </c>
      <c r="K884" s="29" t="s">
        <v>175</v>
      </c>
      <c r="L884" s="29" t="b">
        <v>0</v>
      </c>
      <c r="M884" s="29"/>
      <c r="N884" s="29" t="s">
        <v>175</v>
      </c>
      <c r="O884" s="29" t="str">
        <f>IF(ISBLANK(A884), "", LET(entry_day, VLOOKUP(A884, 'Master Roster'!$A:$G, 7, FALSE), start_date, DATE(E884, MONTH(D884&amp;" 1"), entry_day), end_date, EDATE(start_date, 1), period, TEXT(start_date, "mmm d, yyyy") &amp; " - " &amp; TEXT(end_date, "mmm d, yyyy"), HYPERLINK("https://wa.me/" &amp; VLOOKUP(A884, 'Master Roster'!$A:$F, 6, FALSE) &amp; "?text=" &amp; ENCODEURL("Hello " &amp; IFERROR(IF(VLOOKUP(A884, 'Master Roster'!$A:$J, 10, FALSE)="Male", "Mr. ", "Ms. "), "") &amp; B884 &amp; ", payment of K" &amp; F884 &amp; " received for " &amp; period &amp; ". Receipt No: " &amp; N884), "Send Receipt")))</f>
        <v/>
      </c>
    </row>
    <row r="885">
      <c r="A885" s="29"/>
      <c r="B885" s="29" t="s">
        <v>175</v>
      </c>
      <c r="C885" s="76"/>
      <c r="D885" s="29"/>
      <c r="E885" s="29"/>
      <c r="F885" s="29"/>
      <c r="G885" s="29"/>
      <c r="H885" s="29" t="str">
        <f t="shared" si="1"/>
        <v/>
      </c>
      <c r="I885" s="29" t="str">
        <f t="shared" si="2"/>
        <v/>
      </c>
      <c r="J885" s="29" t="str">
        <f>IF(A885="", "", IFERROR(VLOOKUP(A885, 'Master Roster'!A:H, 8, FALSE) - F885, ""))</f>
        <v/>
      </c>
      <c r="K885" s="29" t="s">
        <v>175</v>
      </c>
      <c r="L885" s="29" t="b">
        <v>0</v>
      </c>
      <c r="M885" s="29"/>
      <c r="N885" s="29" t="s">
        <v>175</v>
      </c>
      <c r="O885" s="29" t="str">
        <f>IF(ISBLANK(A885), "", LET(entry_day, VLOOKUP(A885, 'Master Roster'!$A:$G, 7, FALSE), start_date, DATE(E885, MONTH(D885&amp;" 1"), entry_day), end_date, EDATE(start_date, 1), period, TEXT(start_date, "mmm d, yyyy") &amp; " - " &amp; TEXT(end_date, "mmm d, yyyy"), HYPERLINK("https://wa.me/" &amp; VLOOKUP(A885, 'Master Roster'!$A:$F, 6, FALSE) &amp; "?text=" &amp; ENCODEURL("Hello " &amp; IFERROR(IF(VLOOKUP(A885, 'Master Roster'!$A:$J, 10, FALSE)="Male", "Mr. ", "Ms. "), "") &amp; B885 &amp; ", payment of K" &amp; F885 &amp; " received for " &amp; period &amp; ". Receipt No: " &amp; N885), "Send Receipt")))</f>
        <v/>
      </c>
    </row>
    <row r="886">
      <c r="A886" s="29"/>
      <c r="B886" s="29" t="s">
        <v>175</v>
      </c>
      <c r="C886" s="76"/>
      <c r="D886" s="29"/>
      <c r="E886" s="29"/>
      <c r="F886" s="29"/>
      <c r="G886" s="29"/>
      <c r="H886" s="29" t="str">
        <f t="shared" si="1"/>
        <v/>
      </c>
      <c r="I886" s="29" t="str">
        <f t="shared" si="2"/>
        <v/>
      </c>
      <c r="J886" s="29" t="str">
        <f>IF(A886="", "", IFERROR(VLOOKUP(A886, 'Master Roster'!A:H, 8, FALSE) - F886, ""))</f>
        <v/>
      </c>
      <c r="K886" s="29" t="s">
        <v>175</v>
      </c>
      <c r="L886" s="29" t="b">
        <v>0</v>
      </c>
      <c r="M886" s="29"/>
      <c r="N886" s="29" t="s">
        <v>175</v>
      </c>
      <c r="O886" s="29" t="str">
        <f>IF(ISBLANK(A886), "", LET(entry_day, VLOOKUP(A886, 'Master Roster'!$A:$G, 7, FALSE), start_date, DATE(E886, MONTH(D886&amp;" 1"), entry_day), end_date, EDATE(start_date, 1), period, TEXT(start_date, "mmm d, yyyy") &amp; " - " &amp; TEXT(end_date, "mmm d, yyyy"), HYPERLINK("https://wa.me/" &amp; VLOOKUP(A886, 'Master Roster'!$A:$F, 6, FALSE) &amp; "?text=" &amp; ENCODEURL("Hello " &amp; IFERROR(IF(VLOOKUP(A886, 'Master Roster'!$A:$J, 10, FALSE)="Male", "Mr. ", "Ms. "), "") &amp; B886 &amp; ", payment of K" &amp; F886 &amp; " received for " &amp; period &amp; ". Receipt No: " &amp; N886), "Send Receipt")))</f>
        <v/>
      </c>
    </row>
    <row r="887">
      <c r="A887" s="29"/>
      <c r="B887" s="29" t="s">
        <v>175</v>
      </c>
      <c r="C887" s="76"/>
      <c r="D887" s="29"/>
      <c r="E887" s="29"/>
      <c r="F887" s="29"/>
      <c r="G887" s="29"/>
      <c r="H887" s="29" t="str">
        <f t="shared" si="1"/>
        <v/>
      </c>
      <c r="I887" s="29" t="str">
        <f t="shared" si="2"/>
        <v/>
      </c>
      <c r="J887" s="29" t="str">
        <f>IF(A887="", "", IFERROR(VLOOKUP(A887, 'Master Roster'!A:H, 8, FALSE) - F887, ""))</f>
        <v/>
      </c>
      <c r="K887" s="29" t="s">
        <v>175</v>
      </c>
      <c r="L887" s="29" t="b">
        <v>0</v>
      </c>
      <c r="M887" s="29"/>
      <c r="N887" s="29" t="s">
        <v>175</v>
      </c>
      <c r="O887" s="29" t="str">
        <f>IF(ISBLANK(A887), "", LET(entry_day, VLOOKUP(A887, 'Master Roster'!$A:$G, 7, FALSE), start_date, DATE(E887, MONTH(D887&amp;" 1"), entry_day), end_date, EDATE(start_date, 1), period, TEXT(start_date, "mmm d, yyyy") &amp; " - " &amp; TEXT(end_date, "mmm d, yyyy"), HYPERLINK("https://wa.me/" &amp; VLOOKUP(A887, 'Master Roster'!$A:$F, 6, FALSE) &amp; "?text=" &amp; ENCODEURL("Hello " &amp; IFERROR(IF(VLOOKUP(A887, 'Master Roster'!$A:$J, 10, FALSE)="Male", "Mr. ", "Ms. "), "") &amp; B887 &amp; ", payment of K" &amp; F887 &amp; " received for " &amp; period &amp; ". Receipt No: " &amp; N887), "Send Receipt")))</f>
        <v/>
      </c>
    </row>
    <row r="888">
      <c r="A888" s="29"/>
      <c r="B888" s="29" t="s">
        <v>175</v>
      </c>
      <c r="C888" s="76"/>
      <c r="D888" s="29"/>
      <c r="E888" s="29"/>
      <c r="F888" s="29"/>
      <c r="G888" s="29"/>
      <c r="H888" s="29" t="str">
        <f t="shared" si="1"/>
        <v/>
      </c>
      <c r="I888" s="29" t="str">
        <f t="shared" si="2"/>
        <v/>
      </c>
      <c r="J888" s="29" t="str">
        <f>IF(A888="", "", IFERROR(VLOOKUP(A888, 'Master Roster'!A:H, 8, FALSE) - F888, ""))</f>
        <v/>
      </c>
      <c r="K888" s="29" t="s">
        <v>175</v>
      </c>
      <c r="L888" s="29" t="b">
        <v>0</v>
      </c>
      <c r="M888" s="29"/>
      <c r="N888" s="29" t="s">
        <v>175</v>
      </c>
      <c r="O888" s="29" t="str">
        <f>IF(ISBLANK(A888), "", LET(entry_day, VLOOKUP(A888, 'Master Roster'!$A:$G, 7, FALSE), start_date, DATE(E888, MONTH(D888&amp;" 1"), entry_day), end_date, EDATE(start_date, 1), period, TEXT(start_date, "mmm d, yyyy") &amp; " - " &amp; TEXT(end_date, "mmm d, yyyy"), HYPERLINK("https://wa.me/" &amp; VLOOKUP(A888, 'Master Roster'!$A:$F, 6, FALSE) &amp; "?text=" &amp; ENCODEURL("Hello " &amp; IFERROR(IF(VLOOKUP(A888, 'Master Roster'!$A:$J, 10, FALSE)="Male", "Mr. ", "Ms. "), "") &amp; B888 &amp; ", payment of K" &amp; F888 &amp; " received for " &amp; period &amp; ". Receipt No: " &amp; N888), "Send Receipt")))</f>
        <v/>
      </c>
    </row>
    <row r="889">
      <c r="A889" s="29"/>
      <c r="B889" s="29" t="s">
        <v>175</v>
      </c>
      <c r="C889" s="76"/>
      <c r="D889" s="29"/>
      <c r="E889" s="29"/>
      <c r="F889" s="29"/>
      <c r="G889" s="29"/>
      <c r="H889" s="29" t="str">
        <f t="shared" si="1"/>
        <v/>
      </c>
      <c r="I889" s="29" t="str">
        <f t="shared" si="2"/>
        <v/>
      </c>
      <c r="J889" s="29" t="str">
        <f>IF(A889="", "", IFERROR(VLOOKUP(A889, 'Master Roster'!A:H, 8, FALSE) - F889, ""))</f>
        <v/>
      </c>
      <c r="K889" s="29" t="s">
        <v>175</v>
      </c>
      <c r="L889" s="29" t="b">
        <v>0</v>
      </c>
      <c r="M889" s="29"/>
      <c r="N889" s="29" t="s">
        <v>175</v>
      </c>
      <c r="O889" s="29" t="str">
        <f>IF(ISBLANK(A889), "", LET(entry_day, VLOOKUP(A889, 'Master Roster'!$A:$G, 7, FALSE), start_date, DATE(E889, MONTH(D889&amp;" 1"), entry_day), end_date, EDATE(start_date, 1), period, TEXT(start_date, "mmm d, yyyy") &amp; " - " &amp; TEXT(end_date, "mmm d, yyyy"), HYPERLINK("https://wa.me/" &amp; VLOOKUP(A889, 'Master Roster'!$A:$F, 6, FALSE) &amp; "?text=" &amp; ENCODEURL("Hello " &amp; IFERROR(IF(VLOOKUP(A889, 'Master Roster'!$A:$J, 10, FALSE)="Male", "Mr. ", "Ms. "), "") &amp; B889 &amp; ", payment of K" &amp; F889 &amp; " received for " &amp; period &amp; ". Receipt No: " &amp; N889), "Send Receipt")))</f>
        <v/>
      </c>
    </row>
    <row r="890">
      <c r="A890" s="29"/>
      <c r="B890" s="29" t="s">
        <v>175</v>
      </c>
      <c r="C890" s="76"/>
      <c r="D890" s="29"/>
      <c r="E890" s="29"/>
      <c r="F890" s="29"/>
      <c r="G890" s="29"/>
      <c r="H890" s="29" t="str">
        <f t="shared" si="1"/>
        <v/>
      </c>
      <c r="I890" s="29" t="str">
        <f t="shared" si="2"/>
        <v/>
      </c>
      <c r="J890" s="29" t="str">
        <f>IF(A890="", "", IFERROR(VLOOKUP(A890, 'Master Roster'!A:H, 8, FALSE) - F890, ""))</f>
        <v/>
      </c>
      <c r="K890" s="29" t="s">
        <v>175</v>
      </c>
      <c r="L890" s="29" t="b">
        <v>0</v>
      </c>
      <c r="M890" s="29"/>
      <c r="N890" s="29" t="s">
        <v>175</v>
      </c>
      <c r="O890" s="29" t="str">
        <f>IF(ISBLANK(A890), "", LET(entry_day, VLOOKUP(A890, 'Master Roster'!$A:$G, 7, FALSE), start_date, DATE(E890, MONTH(D890&amp;" 1"), entry_day), end_date, EDATE(start_date, 1), period, TEXT(start_date, "mmm d, yyyy") &amp; " - " &amp; TEXT(end_date, "mmm d, yyyy"), HYPERLINK("https://wa.me/" &amp; VLOOKUP(A890, 'Master Roster'!$A:$F, 6, FALSE) &amp; "?text=" &amp; ENCODEURL("Hello " &amp; IFERROR(IF(VLOOKUP(A890, 'Master Roster'!$A:$J, 10, FALSE)="Male", "Mr. ", "Ms. "), "") &amp; B890 &amp; ", payment of K" &amp; F890 &amp; " received for " &amp; period &amp; ". Receipt No: " &amp; N890), "Send Receipt")))</f>
        <v/>
      </c>
    </row>
    <row r="891">
      <c r="A891" s="29"/>
      <c r="B891" s="29" t="s">
        <v>175</v>
      </c>
      <c r="C891" s="76"/>
      <c r="D891" s="29"/>
      <c r="E891" s="29"/>
      <c r="F891" s="29"/>
      <c r="G891" s="29"/>
      <c r="H891" s="29" t="str">
        <f t="shared" si="1"/>
        <v/>
      </c>
      <c r="I891" s="29" t="str">
        <f t="shared" si="2"/>
        <v/>
      </c>
      <c r="J891" s="29" t="str">
        <f>IF(A891="", "", IFERROR(VLOOKUP(A891, 'Master Roster'!A:H, 8, FALSE) - F891, ""))</f>
        <v/>
      </c>
      <c r="K891" s="29" t="s">
        <v>175</v>
      </c>
      <c r="L891" s="29" t="b">
        <v>0</v>
      </c>
      <c r="M891" s="29"/>
      <c r="N891" s="29" t="s">
        <v>175</v>
      </c>
      <c r="O891" s="29" t="str">
        <f>IF(ISBLANK(A891), "", LET(entry_day, VLOOKUP(A891, 'Master Roster'!$A:$G, 7, FALSE), start_date, DATE(E891, MONTH(D891&amp;" 1"), entry_day), end_date, EDATE(start_date, 1), period, TEXT(start_date, "mmm d, yyyy") &amp; " - " &amp; TEXT(end_date, "mmm d, yyyy"), HYPERLINK("https://wa.me/" &amp; VLOOKUP(A891, 'Master Roster'!$A:$F, 6, FALSE) &amp; "?text=" &amp; ENCODEURL("Hello " &amp; IFERROR(IF(VLOOKUP(A891, 'Master Roster'!$A:$J, 10, FALSE)="Male", "Mr. ", "Ms. "), "") &amp; B891 &amp; ", payment of K" &amp; F891 &amp; " received for " &amp; period &amp; ". Receipt No: " &amp; N891), "Send Receipt")))</f>
        <v/>
      </c>
    </row>
    <row r="892">
      <c r="A892" s="29"/>
      <c r="B892" s="29" t="s">
        <v>175</v>
      </c>
      <c r="C892" s="76"/>
      <c r="D892" s="29"/>
      <c r="E892" s="29"/>
      <c r="F892" s="29"/>
      <c r="G892" s="29"/>
      <c r="H892" s="29" t="str">
        <f t="shared" si="1"/>
        <v/>
      </c>
      <c r="I892" s="29" t="str">
        <f t="shared" si="2"/>
        <v/>
      </c>
      <c r="J892" s="29" t="str">
        <f>IF(A892="", "", IFERROR(VLOOKUP(A892, 'Master Roster'!A:H, 8, FALSE) - F892, ""))</f>
        <v/>
      </c>
      <c r="K892" s="29" t="s">
        <v>175</v>
      </c>
      <c r="L892" s="29" t="b">
        <v>0</v>
      </c>
      <c r="M892" s="29"/>
      <c r="N892" s="29" t="s">
        <v>175</v>
      </c>
      <c r="O892" s="29" t="str">
        <f>IF(ISBLANK(A892), "", LET(entry_day, VLOOKUP(A892, 'Master Roster'!$A:$G, 7, FALSE), start_date, DATE(E892, MONTH(D892&amp;" 1"), entry_day), end_date, EDATE(start_date, 1), period, TEXT(start_date, "mmm d, yyyy") &amp; " - " &amp; TEXT(end_date, "mmm d, yyyy"), HYPERLINK("https://wa.me/" &amp; VLOOKUP(A892, 'Master Roster'!$A:$F, 6, FALSE) &amp; "?text=" &amp; ENCODEURL("Hello " &amp; IFERROR(IF(VLOOKUP(A892, 'Master Roster'!$A:$J, 10, FALSE)="Male", "Mr. ", "Ms. "), "") &amp; B892 &amp; ", payment of K" &amp; F892 &amp; " received for " &amp; period &amp; ". Receipt No: " &amp; N892), "Send Receipt")))</f>
        <v/>
      </c>
    </row>
    <row r="893">
      <c r="A893" s="29"/>
      <c r="B893" s="29" t="s">
        <v>175</v>
      </c>
      <c r="C893" s="76"/>
      <c r="D893" s="29"/>
      <c r="E893" s="29"/>
      <c r="F893" s="29"/>
      <c r="G893" s="29"/>
      <c r="H893" s="29" t="str">
        <f t="shared" si="1"/>
        <v/>
      </c>
      <c r="I893" s="29" t="str">
        <f t="shared" si="2"/>
        <v/>
      </c>
      <c r="J893" s="29" t="str">
        <f>IF(A893="", "", IFERROR(VLOOKUP(A893, 'Master Roster'!A:H, 8, FALSE) - F893, ""))</f>
        <v/>
      </c>
      <c r="K893" s="29" t="s">
        <v>175</v>
      </c>
      <c r="L893" s="29" t="b">
        <v>0</v>
      </c>
      <c r="M893" s="29"/>
      <c r="N893" s="29" t="s">
        <v>175</v>
      </c>
      <c r="O893" s="29" t="str">
        <f>IF(ISBLANK(A893), "", LET(entry_day, VLOOKUP(A893, 'Master Roster'!$A:$G, 7, FALSE), start_date, DATE(E893, MONTH(D893&amp;" 1"), entry_day), end_date, EDATE(start_date, 1), period, TEXT(start_date, "mmm d, yyyy") &amp; " - " &amp; TEXT(end_date, "mmm d, yyyy"), HYPERLINK("https://wa.me/" &amp; VLOOKUP(A893, 'Master Roster'!$A:$F, 6, FALSE) &amp; "?text=" &amp; ENCODEURL("Hello " &amp; IFERROR(IF(VLOOKUP(A893, 'Master Roster'!$A:$J, 10, FALSE)="Male", "Mr. ", "Ms. "), "") &amp; B893 &amp; ", payment of K" &amp; F893 &amp; " received for " &amp; period &amp; ". Receipt No: " &amp; N893), "Send Receipt")))</f>
        <v/>
      </c>
    </row>
    <row r="894">
      <c r="A894" s="29"/>
      <c r="B894" s="29" t="s">
        <v>175</v>
      </c>
      <c r="C894" s="76"/>
      <c r="D894" s="29"/>
      <c r="E894" s="29"/>
      <c r="F894" s="29"/>
      <c r="G894" s="29"/>
      <c r="H894" s="29" t="str">
        <f t="shared" si="1"/>
        <v/>
      </c>
      <c r="I894" s="29" t="str">
        <f t="shared" si="2"/>
        <v/>
      </c>
      <c r="J894" s="29" t="str">
        <f>IF(A894="", "", IFERROR(VLOOKUP(A894, 'Master Roster'!A:H, 8, FALSE) - F894, ""))</f>
        <v/>
      </c>
      <c r="K894" s="29" t="s">
        <v>175</v>
      </c>
      <c r="L894" s="29" t="b">
        <v>0</v>
      </c>
      <c r="M894" s="29"/>
      <c r="N894" s="29" t="s">
        <v>175</v>
      </c>
      <c r="O894" s="29" t="str">
        <f>IF(ISBLANK(A894), "", LET(entry_day, VLOOKUP(A894, 'Master Roster'!$A:$G, 7, FALSE), start_date, DATE(E894, MONTH(D894&amp;" 1"), entry_day), end_date, EDATE(start_date, 1), period, TEXT(start_date, "mmm d, yyyy") &amp; " - " &amp; TEXT(end_date, "mmm d, yyyy"), HYPERLINK("https://wa.me/" &amp; VLOOKUP(A894, 'Master Roster'!$A:$F, 6, FALSE) &amp; "?text=" &amp; ENCODEURL("Hello " &amp; IFERROR(IF(VLOOKUP(A894, 'Master Roster'!$A:$J, 10, FALSE)="Male", "Mr. ", "Ms. "), "") &amp; B894 &amp; ", payment of K" &amp; F894 &amp; " received for " &amp; period &amp; ". Receipt No: " &amp; N894), "Send Receipt")))</f>
        <v/>
      </c>
    </row>
    <row r="895">
      <c r="A895" s="29"/>
      <c r="B895" s="29" t="s">
        <v>175</v>
      </c>
      <c r="C895" s="76"/>
      <c r="D895" s="29"/>
      <c r="E895" s="29"/>
      <c r="F895" s="29"/>
      <c r="G895" s="29"/>
      <c r="H895" s="29" t="str">
        <f t="shared" si="1"/>
        <v/>
      </c>
      <c r="I895" s="29" t="str">
        <f t="shared" si="2"/>
        <v/>
      </c>
      <c r="J895" s="29" t="str">
        <f>IF(A895="", "", IFERROR(VLOOKUP(A895, 'Master Roster'!A:H, 8, FALSE) - F895, ""))</f>
        <v/>
      </c>
      <c r="K895" s="29" t="s">
        <v>175</v>
      </c>
      <c r="L895" s="29" t="b">
        <v>0</v>
      </c>
      <c r="M895" s="29"/>
      <c r="N895" s="29" t="s">
        <v>175</v>
      </c>
      <c r="O895" s="29" t="str">
        <f>IF(ISBLANK(A895), "", LET(entry_day, VLOOKUP(A895, 'Master Roster'!$A:$G, 7, FALSE), start_date, DATE(E895, MONTH(D895&amp;" 1"), entry_day), end_date, EDATE(start_date, 1), period, TEXT(start_date, "mmm d, yyyy") &amp; " - " &amp; TEXT(end_date, "mmm d, yyyy"), HYPERLINK("https://wa.me/" &amp; VLOOKUP(A895, 'Master Roster'!$A:$F, 6, FALSE) &amp; "?text=" &amp; ENCODEURL("Hello " &amp; IFERROR(IF(VLOOKUP(A895, 'Master Roster'!$A:$J, 10, FALSE)="Male", "Mr. ", "Ms. "), "") &amp; B895 &amp; ", payment of K" &amp; F895 &amp; " received for " &amp; period &amp; ". Receipt No: " &amp; N895), "Send Receipt")))</f>
        <v/>
      </c>
    </row>
    <row r="896">
      <c r="A896" s="29"/>
      <c r="B896" s="29" t="s">
        <v>175</v>
      </c>
      <c r="C896" s="76"/>
      <c r="D896" s="29"/>
      <c r="E896" s="29"/>
      <c r="F896" s="29"/>
      <c r="G896" s="29"/>
      <c r="H896" s="29" t="str">
        <f t="shared" si="1"/>
        <v/>
      </c>
      <c r="I896" s="29" t="str">
        <f t="shared" si="2"/>
        <v/>
      </c>
      <c r="J896" s="29" t="str">
        <f>IF(A896="", "", IFERROR(VLOOKUP(A896, 'Master Roster'!A:H, 8, FALSE) - F896, ""))</f>
        <v/>
      </c>
      <c r="K896" s="29" t="s">
        <v>175</v>
      </c>
      <c r="L896" s="29" t="b">
        <v>0</v>
      </c>
      <c r="M896" s="29"/>
      <c r="N896" s="29" t="s">
        <v>175</v>
      </c>
      <c r="O896" s="29" t="str">
        <f>IF(ISBLANK(A896), "", LET(entry_day, VLOOKUP(A896, 'Master Roster'!$A:$G, 7, FALSE), start_date, DATE(E896, MONTH(D896&amp;" 1"), entry_day), end_date, EDATE(start_date, 1), period, TEXT(start_date, "mmm d, yyyy") &amp; " - " &amp; TEXT(end_date, "mmm d, yyyy"), HYPERLINK("https://wa.me/" &amp; VLOOKUP(A896, 'Master Roster'!$A:$F, 6, FALSE) &amp; "?text=" &amp; ENCODEURL("Hello " &amp; IFERROR(IF(VLOOKUP(A896, 'Master Roster'!$A:$J, 10, FALSE)="Male", "Mr. ", "Ms. "), "") &amp; B896 &amp; ", payment of K" &amp; F896 &amp; " received for " &amp; period &amp; ". Receipt No: " &amp; N896), "Send Receipt")))</f>
        <v/>
      </c>
    </row>
    <row r="897">
      <c r="A897" s="29"/>
      <c r="B897" s="29" t="s">
        <v>175</v>
      </c>
      <c r="C897" s="76"/>
      <c r="D897" s="29"/>
      <c r="E897" s="29"/>
      <c r="F897" s="29"/>
      <c r="G897" s="29"/>
      <c r="H897" s="29" t="str">
        <f t="shared" si="1"/>
        <v/>
      </c>
      <c r="I897" s="29" t="str">
        <f t="shared" si="2"/>
        <v/>
      </c>
      <c r="J897" s="29" t="str">
        <f>IF(A897="", "", IFERROR(VLOOKUP(A897, 'Master Roster'!A:H, 8, FALSE) - F897, ""))</f>
        <v/>
      </c>
      <c r="K897" s="29" t="s">
        <v>175</v>
      </c>
      <c r="L897" s="29" t="b">
        <v>0</v>
      </c>
      <c r="M897" s="29"/>
      <c r="N897" s="29" t="s">
        <v>175</v>
      </c>
      <c r="O897" s="29" t="str">
        <f>IF(ISBLANK(A897), "", LET(entry_day, VLOOKUP(A897, 'Master Roster'!$A:$G, 7, FALSE), start_date, DATE(E897, MONTH(D897&amp;" 1"), entry_day), end_date, EDATE(start_date, 1), period, TEXT(start_date, "mmm d, yyyy") &amp; " - " &amp; TEXT(end_date, "mmm d, yyyy"), HYPERLINK("https://wa.me/" &amp; VLOOKUP(A897, 'Master Roster'!$A:$F, 6, FALSE) &amp; "?text=" &amp; ENCODEURL("Hello " &amp; IFERROR(IF(VLOOKUP(A897, 'Master Roster'!$A:$J, 10, FALSE)="Male", "Mr. ", "Ms. "), "") &amp; B897 &amp; ", payment of K" &amp; F897 &amp; " received for " &amp; period &amp; ". Receipt No: " &amp; N897), "Send Receipt")))</f>
        <v/>
      </c>
    </row>
    <row r="898">
      <c r="A898" s="29"/>
      <c r="B898" s="29" t="s">
        <v>175</v>
      </c>
      <c r="C898" s="76"/>
      <c r="D898" s="29"/>
      <c r="E898" s="29"/>
      <c r="F898" s="29"/>
      <c r="G898" s="29"/>
      <c r="H898" s="29" t="str">
        <f t="shared" si="1"/>
        <v/>
      </c>
      <c r="I898" s="29" t="str">
        <f t="shared" si="2"/>
        <v/>
      </c>
      <c r="J898" s="29" t="str">
        <f>IF(A898="", "", IFERROR(VLOOKUP(A898, 'Master Roster'!A:H, 8, FALSE) - F898, ""))</f>
        <v/>
      </c>
      <c r="K898" s="29" t="s">
        <v>175</v>
      </c>
      <c r="L898" s="29" t="b">
        <v>0</v>
      </c>
      <c r="M898" s="29"/>
      <c r="N898" s="29" t="s">
        <v>175</v>
      </c>
      <c r="O898" s="29" t="str">
        <f>IF(ISBLANK(A898), "", LET(entry_day, VLOOKUP(A898, 'Master Roster'!$A:$G, 7, FALSE), start_date, DATE(E898, MONTH(D898&amp;" 1"), entry_day), end_date, EDATE(start_date, 1), period, TEXT(start_date, "mmm d, yyyy") &amp; " - " &amp; TEXT(end_date, "mmm d, yyyy"), HYPERLINK("https://wa.me/" &amp; VLOOKUP(A898, 'Master Roster'!$A:$F, 6, FALSE) &amp; "?text=" &amp; ENCODEURL("Hello " &amp; IFERROR(IF(VLOOKUP(A898, 'Master Roster'!$A:$J, 10, FALSE)="Male", "Mr. ", "Ms. "), "") &amp; B898 &amp; ", payment of K" &amp; F898 &amp; " received for " &amp; period &amp; ". Receipt No: " &amp; N898), "Send Receipt")))</f>
        <v/>
      </c>
    </row>
    <row r="899">
      <c r="A899" s="29"/>
      <c r="B899" s="29" t="s">
        <v>175</v>
      </c>
      <c r="C899" s="76"/>
      <c r="D899" s="29"/>
      <c r="E899" s="29"/>
      <c r="F899" s="29"/>
      <c r="G899" s="29"/>
      <c r="H899" s="29" t="str">
        <f t="shared" si="1"/>
        <v/>
      </c>
      <c r="I899" s="29" t="str">
        <f t="shared" si="2"/>
        <v/>
      </c>
      <c r="J899" s="29" t="str">
        <f>IF(A899="", "", IFERROR(VLOOKUP(A899, 'Master Roster'!A:H, 8, FALSE) - F899, ""))</f>
        <v/>
      </c>
      <c r="K899" s="29" t="s">
        <v>175</v>
      </c>
      <c r="L899" s="29" t="b">
        <v>0</v>
      </c>
      <c r="M899" s="29"/>
      <c r="N899" s="29" t="s">
        <v>175</v>
      </c>
      <c r="O899" s="29" t="str">
        <f>IF(ISBLANK(A899), "", LET(entry_day, VLOOKUP(A899, 'Master Roster'!$A:$G, 7, FALSE), start_date, DATE(E899, MONTH(D899&amp;" 1"), entry_day), end_date, EDATE(start_date, 1), period, TEXT(start_date, "mmm d, yyyy") &amp; " - " &amp; TEXT(end_date, "mmm d, yyyy"), HYPERLINK("https://wa.me/" &amp; VLOOKUP(A899, 'Master Roster'!$A:$F, 6, FALSE) &amp; "?text=" &amp; ENCODEURL("Hello " &amp; IFERROR(IF(VLOOKUP(A899, 'Master Roster'!$A:$J, 10, FALSE)="Male", "Mr. ", "Ms. "), "") &amp; B899 &amp; ", payment of K" &amp; F899 &amp; " received for " &amp; period &amp; ". Receipt No: " &amp; N899), "Send Receipt")))</f>
        <v/>
      </c>
    </row>
    <row r="900">
      <c r="A900" s="29"/>
      <c r="B900" s="29" t="s">
        <v>175</v>
      </c>
      <c r="C900" s="76"/>
      <c r="D900" s="29"/>
      <c r="E900" s="29"/>
      <c r="F900" s="29"/>
      <c r="G900" s="29"/>
      <c r="H900" s="29" t="str">
        <f t="shared" si="1"/>
        <v/>
      </c>
      <c r="I900" s="29" t="str">
        <f t="shared" si="2"/>
        <v/>
      </c>
      <c r="J900" s="29" t="str">
        <f>IF(A900="", "", IFERROR(VLOOKUP(A900, 'Master Roster'!A:H, 8, FALSE) - F900, ""))</f>
        <v/>
      </c>
      <c r="K900" s="29" t="s">
        <v>175</v>
      </c>
      <c r="L900" s="29" t="b">
        <v>0</v>
      </c>
      <c r="M900" s="29"/>
      <c r="N900" s="29" t="s">
        <v>175</v>
      </c>
      <c r="O900" s="29" t="str">
        <f>IF(ISBLANK(A900), "", LET(entry_day, VLOOKUP(A900, 'Master Roster'!$A:$G, 7, FALSE), start_date, DATE(E900, MONTH(D900&amp;" 1"), entry_day), end_date, EDATE(start_date, 1), period, TEXT(start_date, "mmm d, yyyy") &amp; " - " &amp; TEXT(end_date, "mmm d, yyyy"), HYPERLINK("https://wa.me/" &amp; VLOOKUP(A900, 'Master Roster'!$A:$F, 6, FALSE) &amp; "?text=" &amp; ENCODEURL("Hello " &amp; IFERROR(IF(VLOOKUP(A900, 'Master Roster'!$A:$J, 10, FALSE)="Male", "Mr. ", "Ms. "), "") &amp; B900 &amp; ", payment of K" &amp; F900 &amp; " received for " &amp; period &amp; ". Receipt No: " &amp; N900), "Send Receipt")))</f>
        <v/>
      </c>
    </row>
    <row r="901">
      <c r="A901" s="29"/>
      <c r="B901" s="29" t="s">
        <v>175</v>
      </c>
      <c r="C901" s="76"/>
      <c r="D901" s="29"/>
      <c r="E901" s="29"/>
      <c r="F901" s="29"/>
      <c r="G901" s="29"/>
      <c r="H901" s="29" t="str">
        <f t="shared" si="1"/>
        <v/>
      </c>
      <c r="I901" s="29" t="str">
        <f t="shared" si="2"/>
        <v/>
      </c>
      <c r="J901" s="29" t="str">
        <f>IF(A901="", "", IFERROR(VLOOKUP(A901, 'Master Roster'!A:H, 8, FALSE) - F901, ""))</f>
        <v/>
      </c>
      <c r="K901" s="29" t="s">
        <v>175</v>
      </c>
      <c r="L901" s="29" t="b">
        <v>0</v>
      </c>
      <c r="M901" s="29"/>
      <c r="N901" s="29" t="s">
        <v>175</v>
      </c>
      <c r="O901" s="29" t="str">
        <f>IF(ISBLANK(A901), "", LET(entry_day, VLOOKUP(A901, 'Master Roster'!$A:$G, 7, FALSE), start_date, DATE(E901, MONTH(D901&amp;" 1"), entry_day), end_date, EDATE(start_date, 1), period, TEXT(start_date, "mmm d, yyyy") &amp; " - " &amp; TEXT(end_date, "mmm d, yyyy"), HYPERLINK("https://wa.me/" &amp; VLOOKUP(A901, 'Master Roster'!$A:$F, 6, FALSE) &amp; "?text=" &amp; ENCODEURL("Hello " &amp; IFERROR(IF(VLOOKUP(A901, 'Master Roster'!$A:$J, 10, FALSE)="Male", "Mr. ", "Ms. "), "") &amp; B901 &amp; ", payment of K" &amp; F901 &amp; " received for " &amp; period &amp; ". Receipt No: " &amp; N901), "Send Receipt")))</f>
        <v/>
      </c>
    </row>
    <row r="902">
      <c r="A902" s="29"/>
      <c r="B902" s="29" t="s">
        <v>175</v>
      </c>
      <c r="C902" s="76"/>
      <c r="D902" s="29"/>
      <c r="E902" s="29"/>
      <c r="F902" s="29"/>
      <c r="G902" s="29"/>
      <c r="H902" s="29" t="str">
        <f t="shared" si="1"/>
        <v/>
      </c>
      <c r="I902" s="29" t="str">
        <f t="shared" si="2"/>
        <v/>
      </c>
      <c r="J902" s="29" t="str">
        <f>IF(A902="", "", IFERROR(VLOOKUP(A902, 'Master Roster'!A:H, 8, FALSE) - F902, ""))</f>
        <v/>
      </c>
      <c r="K902" s="29" t="s">
        <v>175</v>
      </c>
      <c r="L902" s="29" t="b">
        <v>0</v>
      </c>
      <c r="M902" s="29"/>
      <c r="N902" s="29" t="s">
        <v>175</v>
      </c>
      <c r="O902" s="29" t="str">
        <f>IF(ISBLANK(A902), "", LET(entry_day, VLOOKUP(A902, 'Master Roster'!$A:$G, 7, FALSE), start_date, DATE(E902, MONTH(D902&amp;" 1"), entry_day), end_date, EDATE(start_date, 1), period, TEXT(start_date, "mmm d, yyyy") &amp; " - " &amp; TEXT(end_date, "mmm d, yyyy"), HYPERLINK("https://wa.me/" &amp; VLOOKUP(A902, 'Master Roster'!$A:$F, 6, FALSE) &amp; "?text=" &amp; ENCODEURL("Hello " &amp; IFERROR(IF(VLOOKUP(A902, 'Master Roster'!$A:$J, 10, FALSE)="Male", "Mr. ", "Ms. "), "") &amp; B902 &amp; ", payment of K" &amp; F902 &amp; " received for " &amp; period &amp; ". Receipt No: " &amp; N902), "Send Receipt")))</f>
        <v/>
      </c>
    </row>
    <row r="903">
      <c r="A903" s="29"/>
      <c r="B903" s="29" t="s">
        <v>175</v>
      </c>
      <c r="C903" s="76"/>
      <c r="D903" s="29"/>
      <c r="E903" s="29"/>
      <c r="F903" s="29"/>
      <c r="G903" s="29"/>
      <c r="H903" s="29" t="str">
        <f t="shared" si="1"/>
        <v/>
      </c>
      <c r="I903" s="29" t="str">
        <f t="shared" si="2"/>
        <v/>
      </c>
      <c r="J903" s="29" t="str">
        <f>IF(A903="", "", IFERROR(VLOOKUP(A903, 'Master Roster'!A:H, 8, FALSE) - F903, ""))</f>
        <v/>
      </c>
      <c r="K903" s="29" t="s">
        <v>175</v>
      </c>
      <c r="L903" s="29" t="b">
        <v>0</v>
      </c>
      <c r="M903" s="29"/>
      <c r="N903" s="29" t="s">
        <v>175</v>
      </c>
      <c r="O903" s="29" t="str">
        <f>IF(ISBLANK(A903), "", LET(entry_day, VLOOKUP(A903, 'Master Roster'!$A:$G, 7, FALSE), start_date, DATE(E903, MONTH(D903&amp;" 1"), entry_day), end_date, EDATE(start_date, 1), period, TEXT(start_date, "mmm d, yyyy") &amp; " - " &amp; TEXT(end_date, "mmm d, yyyy"), HYPERLINK("https://wa.me/" &amp; VLOOKUP(A903, 'Master Roster'!$A:$F, 6, FALSE) &amp; "?text=" &amp; ENCODEURL("Hello " &amp; IFERROR(IF(VLOOKUP(A903, 'Master Roster'!$A:$J, 10, FALSE)="Male", "Mr. ", "Ms. "), "") &amp; B903 &amp; ", payment of K" &amp; F903 &amp; " received for " &amp; period &amp; ". Receipt No: " &amp; N903), "Send Receipt")))</f>
        <v/>
      </c>
    </row>
    <row r="904">
      <c r="A904" s="29"/>
      <c r="B904" s="29" t="s">
        <v>175</v>
      </c>
      <c r="C904" s="76"/>
      <c r="D904" s="29"/>
      <c r="E904" s="29"/>
      <c r="F904" s="29"/>
      <c r="G904" s="29"/>
      <c r="H904" s="29" t="str">
        <f t="shared" si="1"/>
        <v/>
      </c>
      <c r="I904" s="29" t="str">
        <f t="shared" si="2"/>
        <v/>
      </c>
      <c r="J904" s="29" t="str">
        <f>IF(A904="", "", IFERROR(VLOOKUP(A904, 'Master Roster'!A:H, 8, FALSE) - F904, ""))</f>
        <v/>
      </c>
      <c r="K904" s="29" t="s">
        <v>175</v>
      </c>
      <c r="L904" s="29" t="b">
        <v>0</v>
      </c>
      <c r="M904" s="29"/>
      <c r="N904" s="29" t="s">
        <v>175</v>
      </c>
      <c r="O904" s="29" t="str">
        <f>IF(ISBLANK(A904), "", LET(entry_day, VLOOKUP(A904, 'Master Roster'!$A:$G, 7, FALSE), start_date, DATE(E904, MONTH(D904&amp;" 1"), entry_day), end_date, EDATE(start_date, 1), period, TEXT(start_date, "mmm d, yyyy") &amp; " - " &amp; TEXT(end_date, "mmm d, yyyy"), HYPERLINK("https://wa.me/" &amp; VLOOKUP(A904, 'Master Roster'!$A:$F, 6, FALSE) &amp; "?text=" &amp; ENCODEURL("Hello " &amp; IFERROR(IF(VLOOKUP(A904, 'Master Roster'!$A:$J, 10, FALSE)="Male", "Mr. ", "Ms. "), "") &amp; B904 &amp; ", payment of K" &amp; F904 &amp; " received for " &amp; period &amp; ". Receipt No: " &amp; N904), "Send Receipt")))</f>
        <v/>
      </c>
    </row>
    <row r="905">
      <c r="A905" s="29"/>
      <c r="B905" s="29" t="s">
        <v>175</v>
      </c>
      <c r="C905" s="76"/>
      <c r="D905" s="29"/>
      <c r="E905" s="29"/>
      <c r="F905" s="29"/>
      <c r="G905" s="29"/>
      <c r="H905" s="29" t="str">
        <f t="shared" si="1"/>
        <v/>
      </c>
      <c r="I905" s="29" t="str">
        <f t="shared" si="2"/>
        <v/>
      </c>
      <c r="J905" s="29" t="str">
        <f>IF(A905="", "", IFERROR(VLOOKUP(A905, 'Master Roster'!A:H, 8, FALSE) - F905, ""))</f>
        <v/>
      </c>
      <c r="K905" s="29" t="s">
        <v>175</v>
      </c>
      <c r="L905" s="29" t="b">
        <v>0</v>
      </c>
      <c r="M905" s="29"/>
      <c r="N905" s="29" t="s">
        <v>175</v>
      </c>
      <c r="O905" s="29" t="str">
        <f>IF(ISBLANK(A905), "", LET(entry_day, VLOOKUP(A905, 'Master Roster'!$A:$G, 7, FALSE), start_date, DATE(E905, MONTH(D905&amp;" 1"), entry_day), end_date, EDATE(start_date, 1), period, TEXT(start_date, "mmm d, yyyy") &amp; " - " &amp; TEXT(end_date, "mmm d, yyyy"), HYPERLINK("https://wa.me/" &amp; VLOOKUP(A905, 'Master Roster'!$A:$F, 6, FALSE) &amp; "?text=" &amp; ENCODEURL("Hello " &amp; IFERROR(IF(VLOOKUP(A905, 'Master Roster'!$A:$J, 10, FALSE)="Male", "Mr. ", "Ms. "), "") &amp; B905 &amp; ", payment of K" &amp; F905 &amp; " received for " &amp; period &amp; ". Receipt No: " &amp; N905), "Send Receipt")))</f>
        <v/>
      </c>
    </row>
    <row r="906">
      <c r="A906" s="29"/>
      <c r="B906" s="29" t="s">
        <v>175</v>
      </c>
      <c r="C906" s="76"/>
      <c r="D906" s="29"/>
      <c r="E906" s="29"/>
      <c r="F906" s="29"/>
      <c r="G906" s="29"/>
      <c r="H906" s="29" t="str">
        <f t="shared" si="1"/>
        <v/>
      </c>
      <c r="I906" s="29" t="str">
        <f t="shared" si="2"/>
        <v/>
      </c>
      <c r="J906" s="29" t="str">
        <f>IF(A906="", "", IFERROR(VLOOKUP(A906, 'Master Roster'!A:H, 8, FALSE) - F906, ""))</f>
        <v/>
      </c>
      <c r="K906" s="29" t="s">
        <v>175</v>
      </c>
      <c r="L906" s="29" t="b">
        <v>0</v>
      </c>
      <c r="M906" s="29"/>
      <c r="N906" s="29" t="s">
        <v>175</v>
      </c>
      <c r="O906" s="29" t="str">
        <f>IF(ISBLANK(A906), "", LET(entry_day, VLOOKUP(A906, 'Master Roster'!$A:$G, 7, FALSE), start_date, DATE(E906, MONTH(D906&amp;" 1"), entry_day), end_date, EDATE(start_date, 1), period, TEXT(start_date, "mmm d, yyyy") &amp; " - " &amp; TEXT(end_date, "mmm d, yyyy"), HYPERLINK("https://wa.me/" &amp; VLOOKUP(A906, 'Master Roster'!$A:$F, 6, FALSE) &amp; "?text=" &amp; ENCODEURL("Hello " &amp; IFERROR(IF(VLOOKUP(A906, 'Master Roster'!$A:$J, 10, FALSE)="Male", "Mr. ", "Ms. "), "") &amp; B906 &amp; ", payment of K" &amp; F906 &amp; " received for " &amp; period &amp; ". Receipt No: " &amp; N906), "Send Receipt")))</f>
        <v/>
      </c>
    </row>
    <row r="907">
      <c r="A907" s="29"/>
      <c r="B907" s="29" t="s">
        <v>175</v>
      </c>
      <c r="C907" s="76"/>
      <c r="D907" s="29"/>
      <c r="E907" s="29"/>
      <c r="F907" s="29"/>
      <c r="G907" s="29"/>
      <c r="H907" s="29" t="str">
        <f t="shared" si="1"/>
        <v/>
      </c>
      <c r="I907" s="29" t="str">
        <f t="shared" si="2"/>
        <v/>
      </c>
      <c r="J907" s="29" t="str">
        <f>IF(A907="", "", IFERROR(VLOOKUP(A907, 'Master Roster'!A:H, 8, FALSE) - F907, ""))</f>
        <v/>
      </c>
      <c r="K907" s="29" t="s">
        <v>175</v>
      </c>
      <c r="L907" s="29" t="b">
        <v>0</v>
      </c>
      <c r="M907" s="29"/>
      <c r="N907" s="29" t="s">
        <v>175</v>
      </c>
      <c r="O907" s="29" t="str">
        <f>IF(ISBLANK(A907), "", LET(entry_day, VLOOKUP(A907, 'Master Roster'!$A:$G, 7, FALSE), start_date, DATE(E907, MONTH(D907&amp;" 1"), entry_day), end_date, EDATE(start_date, 1), period, TEXT(start_date, "mmm d, yyyy") &amp; " - " &amp; TEXT(end_date, "mmm d, yyyy"), HYPERLINK("https://wa.me/" &amp; VLOOKUP(A907, 'Master Roster'!$A:$F, 6, FALSE) &amp; "?text=" &amp; ENCODEURL("Hello " &amp; IFERROR(IF(VLOOKUP(A907, 'Master Roster'!$A:$J, 10, FALSE)="Male", "Mr. ", "Ms. "), "") &amp; B907 &amp; ", payment of K" &amp; F907 &amp; " received for " &amp; period &amp; ". Receipt No: " &amp; N907), "Send Receipt")))</f>
        <v/>
      </c>
    </row>
    <row r="908">
      <c r="A908" s="29"/>
      <c r="B908" s="29" t="s">
        <v>175</v>
      </c>
      <c r="C908" s="76"/>
      <c r="D908" s="29"/>
      <c r="E908" s="29"/>
      <c r="F908" s="29"/>
      <c r="G908" s="29"/>
      <c r="H908" s="29" t="str">
        <f t="shared" si="1"/>
        <v/>
      </c>
      <c r="I908" s="29" t="str">
        <f t="shared" si="2"/>
        <v/>
      </c>
      <c r="J908" s="29" t="str">
        <f>IF(A908="", "", IFERROR(VLOOKUP(A908, 'Master Roster'!A:H, 8, FALSE) - F908, ""))</f>
        <v/>
      </c>
      <c r="K908" s="29" t="s">
        <v>175</v>
      </c>
      <c r="L908" s="29" t="b">
        <v>0</v>
      </c>
      <c r="M908" s="29"/>
      <c r="N908" s="29" t="s">
        <v>175</v>
      </c>
      <c r="O908" s="29" t="str">
        <f>IF(ISBLANK(A908), "", LET(entry_day, VLOOKUP(A908, 'Master Roster'!$A:$G, 7, FALSE), start_date, DATE(E908, MONTH(D908&amp;" 1"), entry_day), end_date, EDATE(start_date, 1), period, TEXT(start_date, "mmm d, yyyy") &amp; " - " &amp; TEXT(end_date, "mmm d, yyyy"), HYPERLINK("https://wa.me/" &amp; VLOOKUP(A908, 'Master Roster'!$A:$F, 6, FALSE) &amp; "?text=" &amp; ENCODEURL("Hello " &amp; IFERROR(IF(VLOOKUP(A908, 'Master Roster'!$A:$J, 10, FALSE)="Male", "Mr. ", "Ms. "), "") &amp; B908 &amp; ", payment of K" &amp; F908 &amp; " received for " &amp; period &amp; ". Receipt No: " &amp; N908), "Send Receipt")))</f>
        <v/>
      </c>
    </row>
    <row r="909">
      <c r="A909" s="29"/>
      <c r="B909" s="29" t="s">
        <v>175</v>
      </c>
      <c r="C909" s="76"/>
      <c r="D909" s="29"/>
      <c r="E909" s="29"/>
      <c r="F909" s="29"/>
      <c r="G909" s="29"/>
      <c r="H909" s="29" t="str">
        <f t="shared" si="1"/>
        <v/>
      </c>
      <c r="I909" s="29" t="str">
        <f t="shared" si="2"/>
        <v/>
      </c>
      <c r="J909" s="29" t="str">
        <f>IF(A909="", "", IFERROR(VLOOKUP(A909, 'Master Roster'!A:H, 8, FALSE) - F909, ""))</f>
        <v/>
      </c>
      <c r="K909" s="29" t="s">
        <v>175</v>
      </c>
      <c r="L909" s="29" t="b">
        <v>0</v>
      </c>
      <c r="M909" s="29"/>
      <c r="N909" s="29" t="s">
        <v>175</v>
      </c>
      <c r="O909" s="29" t="str">
        <f>IF(ISBLANK(A909), "", LET(entry_day, VLOOKUP(A909, 'Master Roster'!$A:$G, 7, FALSE), start_date, DATE(E909, MONTH(D909&amp;" 1"), entry_day), end_date, EDATE(start_date, 1), period, TEXT(start_date, "mmm d, yyyy") &amp; " - " &amp; TEXT(end_date, "mmm d, yyyy"), HYPERLINK("https://wa.me/" &amp; VLOOKUP(A909, 'Master Roster'!$A:$F, 6, FALSE) &amp; "?text=" &amp; ENCODEURL("Hello " &amp; IFERROR(IF(VLOOKUP(A909, 'Master Roster'!$A:$J, 10, FALSE)="Male", "Mr. ", "Ms. "), "") &amp; B909 &amp; ", payment of K" &amp; F909 &amp; " received for " &amp; period &amp; ". Receipt No: " &amp; N909), "Send Receipt")))</f>
        <v/>
      </c>
    </row>
    <row r="910">
      <c r="A910" s="29"/>
      <c r="B910" s="29" t="s">
        <v>175</v>
      </c>
      <c r="C910" s="76"/>
      <c r="D910" s="29"/>
      <c r="E910" s="29"/>
      <c r="F910" s="29"/>
      <c r="G910" s="29"/>
      <c r="H910" s="29" t="str">
        <f t="shared" si="1"/>
        <v/>
      </c>
      <c r="I910" s="29" t="str">
        <f t="shared" si="2"/>
        <v/>
      </c>
      <c r="J910" s="29" t="str">
        <f>IF(A910="", "", IFERROR(VLOOKUP(A910, 'Master Roster'!A:H, 8, FALSE) - F910, ""))</f>
        <v/>
      </c>
      <c r="K910" s="29" t="s">
        <v>175</v>
      </c>
      <c r="L910" s="29" t="b">
        <v>0</v>
      </c>
      <c r="M910" s="29"/>
      <c r="N910" s="29" t="s">
        <v>175</v>
      </c>
      <c r="O910" s="29" t="str">
        <f>IF(ISBLANK(A910), "", LET(entry_day, VLOOKUP(A910, 'Master Roster'!$A:$G, 7, FALSE), start_date, DATE(E910, MONTH(D910&amp;" 1"), entry_day), end_date, EDATE(start_date, 1), period, TEXT(start_date, "mmm d, yyyy") &amp; " - " &amp; TEXT(end_date, "mmm d, yyyy"), HYPERLINK("https://wa.me/" &amp; VLOOKUP(A910, 'Master Roster'!$A:$F, 6, FALSE) &amp; "?text=" &amp; ENCODEURL("Hello " &amp; IFERROR(IF(VLOOKUP(A910, 'Master Roster'!$A:$J, 10, FALSE)="Male", "Mr. ", "Ms. "), "") &amp; B910 &amp; ", payment of K" &amp; F910 &amp; " received for " &amp; period &amp; ". Receipt No: " &amp; N910), "Send Receipt")))</f>
        <v/>
      </c>
    </row>
    <row r="911">
      <c r="A911" s="29"/>
      <c r="B911" s="29" t="s">
        <v>175</v>
      </c>
      <c r="C911" s="76"/>
      <c r="D911" s="29"/>
      <c r="E911" s="29"/>
      <c r="F911" s="29"/>
      <c r="G911" s="29"/>
      <c r="H911" s="29" t="str">
        <f t="shared" si="1"/>
        <v/>
      </c>
      <c r="I911" s="29" t="str">
        <f t="shared" si="2"/>
        <v/>
      </c>
      <c r="J911" s="29" t="str">
        <f>IF(A911="", "", IFERROR(VLOOKUP(A911, 'Master Roster'!A:H, 8, FALSE) - F911, ""))</f>
        <v/>
      </c>
      <c r="K911" s="29" t="s">
        <v>175</v>
      </c>
      <c r="L911" s="29" t="b">
        <v>0</v>
      </c>
      <c r="M911" s="29"/>
      <c r="N911" s="29" t="s">
        <v>175</v>
      </c>
      <c r="O911" s="29" t="str">
        <f>IF(ISBLANK(A911), "", LET(entry_day, VLOOKUP(A911, 'Master Roster'!$A:$G, 7, FALSE), start_date, DATE(E911, MONTH(D911&amp;" 1"), entry_day), end_date, EDATE(start_date, 1), period, TEXT(start_date, "mmm d, yyyy") &amp; " - " &amp; TEXT(end_date, "mmm d, yyyy"), HYPERLINK("https://wa.me/" &amp; VLOOKUP(A911, 'Master Roster'!$A:$F, 6, FALSE) &amp; "?text=" &amp; ENCODEURL("Hello " &amp; IFERROR(IF(VLOOKUP(A911, 'Master Roster'!$A:$J, 10, FALSE)="Male", "Mr. ", "Ms. "), "") &amp; B911 &amp; ", payment of K" &amp; F911 &amp; " received for " &amp; period &amp; ". Receipt No: " &amp; N911), "Send Receipt")))</f>
        <v/>
      </c>
    </row>
    <row r="912">
      <c r="A912" s="29"/>
      <c r="B912" s="29" t="s">
        <v>175</v>
      </c>
      <c r="C912" s="76"/>
      <c r="D912" s="29"/>
      <c r="E912" s="29"/>
      <c r="F912" s="29"/>
      <c r="G912" s="29"/>
      <c r="H912" s="29" t="str">
        <f t="shared" si="1"/>
        <v/>
      </c>
      <c r="I912" s="29" t="str">
        <f t="shared" si="2"/>
        <v/>
      </c>
      <c r="J912" s="29" t="str">
        <f>IF(A912="", "", IFERROR(VLOOKUP(A912, 'Master Roster'!A:H, 8, FALSE) - F912, ""))</f>
        <v/>
      </c>
      <c r="K912" s="29" t="s">
        <v>175</v>
      </c>
      <c r="L912" s="29" t="b">
        <v>0</v>
      </c>
      <c r="M912" s="29"/>
      <c r="N912" s="29" t="s">
        <v>175</v>
      </c>
      <c r="O912" s="29" t="str">
        <f>IF(ISBLANK(A912), "", LET(entry_day, VLOOKUP(A912, 'Master Roster'!$A:$G, 7, FALSE), start_date, DATE(E912, MONTH(D912&amp;" 1"), entry_day), end_date, EDATE(start_date, 1), period, TEXT(start_date, "mmm d, yyyy") &amp; " - " &amp; TEXT(end_date, "mmm d, yyyy"), HYPERLINK("https://wa.me/" &amp; VLOOKUP(A912, 'Master Roster'!$A:$F, 6, FALSE) &amp; "?text=" &amp; ENCODEURL("Hello " &amp; IFERROR(IF(VLOOKUP(A912, 'Master Roster'!$A:$J, 10, FALSE)="Male", "Mr. ", "Ms. "), "") &amp; B912 &amp; ", payment of K" &amp; F912 &amp; " received for " &amp; period &amp; ". Receipt No: " &amp; N912), "Send Receipt")))</f>
        <v/>
      </c>
    </row>
    <row r="913">
      <c r="A913" s="29"/>
      <c r="B913" s="29" t="s">
        <v>175</v>
      </c>
      <c r="C913" s="76"/>
      <c r="D913" s="29"/>
      <c r="E913" s="29"/>
      <c r="F913" s="29"/>
      <c r="G913" s="29"/>
      <c r="H913" s="29" t="str">
        <f t="shared" si="1"/>
        <v/>
      </c>
      <c r="I913" s="29" t="str">
        <f t="shared" si="2"/>
        <v/>
      </c>
      <c r="J913" s="29" t="str">
        <f>IF(A913="", "", IFERROR(VLOOKUP(A913, 'Master Roster'!A:H, 8, FALSE) - F913, ""))</f>
        <v/>
      </c>
      <c r="K913" s="29" t="s">
        <v>175</v>
      </c>
      <c r="L913" s="29" t="b">
        <v>0</v>
      </c>
      <c r="M913" s="29"/>
      <c r="N913" s="29" t="s">
        <v>175</v>
      </c>
      <c r="O913" s="29" t="str">
        <f>IF(ISBLANK(A913), "", LET(entry_day, VLOOKUP(A913, 'Master Roster'!$A:$G, 7, FALSE), start_date, DATE(E913, MONTH(D913&amp;" 1"), entry_day), end_date, EDATE(start_date, 1), period, TEXT(start_date, "mmm d, yyyy") &amp; " - " &amp; TEXT(end_date, "mmm d, yyyy"), HYPERLINK("https://wa.me/" &amp; VLOOKUP(A913, 'Master Roster'!$A:$F, 6, FALSE) &amp; "?text=" &amp; ENCODEURL("Hello " &amp; IFERROR(IF(VLOOKUP(A913, 'Master Roster'!$A:$J, 10, FALSE)="Male", "Mr. ", "Ms. "), "") &amp; B913 &amp; ", payment of K" &amp; F913 &amp; " received for " &amp; period &amp; ". Receipt No: " &amp; N913), "Send Receipt")))</f>
        <v/>
      </c>
    </row>
    <row r="914">
      <c r="A914" s="29"/>
      <c r="B914" s="29" t="s">
        <v>175</v>
      </c>
      <c r="C914" s="76"/>
      <c r="D914" s="29"/>
      <c r="E914" s="29"/>
      <c r="F914" s="29"/>
      <c r="G914" s="29"/>
      <c r="H914" s="29" t="str">
        <f t="shared" si="1"/>
        <v/>
      </c>
      <c r="I914" s="29" t="str">
        <f t="shared" si="2"/>
        <v/>
      </c>
      <c r="J914" s="29" t="str">
        <f>IF(A914="", "", IFERROR(VLOOKUP(A914, 'Master Roster'!A:H, 8, FALSE) - F914, ""))</f>
        <v/>
      </c>
      <c r="K914" s="29" t="s">
        <v>175</v>
      </c>
      <c r="L914" s="29" t="b">
        <v>0</v>
      </c>
      <c r="M914" s="29"/>
      <c r="N914" s="29" t="s">
        <v>175</v>
      </c>
      <c r="O914" s="29" t="str">
        <f>IF(ISBLANK(A914), "", LET(entry_day, VLOOKUP(A914, 'Master Roster'!$A:$G, 7, FALSE), start_date, DATE(E914, MONTH(D914&amp;" 1"), entry_day), end_date, EDATE(start_date, 1), period, TEXT(start_date, "mmm d, yyyy") &amp; " - " &amp; TEXT(end_date, "mmm d, yyyy"), HYPERLINK("https://wa.me/" &amp; VLOOKUP(A914, 'Master Roster'!$A:$F, 6, FALSE) &amp; "?text=" &amp; ENCODEURL("Hello " &amp; IFERROR(IF(VLOOKUP(A914, 'Master Roster'!$A:$J, 10, FALSE)="Male", "Mr. ", "Ms. "), "") &amp; B914 &amp; ", payment of K" &amp; F914 &amp; " received for " &amp; period &amp; ". Receipt No: " &amp; N914), "Send Receipt")))</f>
        <v/>
      </c>
    </row>
    <row r="915">
      <c r="A915" s="29"/>
      <c r="B915" s="29" t="s">
        <v>175</v>
      </c>
      <c r="C915" s="76"/>
      <c r="D915" s="29"/>
      <c r="E915" s="29"/>
      <c r="F915" s="29"/>
      <c r="G915" s="29"/>
      <c r="H915" s="29" t="str">
        <f t="shared" si="1"/>
        <v/>
      </c>
      <c r="I915" s="29" t="str">
        <f t="shared" si="2"/>
        <v/>
      </c>
      <c r="J915" s="29" t="str">
        <f>IF(A915="", "", IFERROR(VLOOKUP(A915, 'Master Roster'!A:H, 8, FALSE) - F915, ""))</f>
        <v/>
      </c>
      <c r="K915" s="29" t="s">
        <v>175</v>
      </c>
      <c r="L915" s="29" t="b">
        <v>0</v>
      </c>
      <c r="M915" s="29"/>
      <c r="N915" s="29" t="s">
        <v>175</v>
      </c>
      <c r="O915" s="29" t="str">
        <f>IF(ISBLANK(A915), "", LET(entry_day, VLOOKUP(A915, 'Master Roster'!$A:$G, 7, FALSE), start_date, DATE(E915, MONTH(D915&amp;" 1"), entry_day), end_date, EDATE(start_date, 1), period, TEXT(start_date, "mmm d, yyyy") &amp; " - " &amp; TEXT(end_date, "mmm d, yyyy"), HYPERLINK("https://wa.me/" &amp; VLOOKUP(A915, 'Master Roster'!$A:$F, 6, FALSE) &amp; "?text=" &amp; ENCODEURL("Hello " &amp; IFERROR(IF(VLOOKUP(A915, 'Master Roster'!$A:$J, 10, FALSE)="Male", "Mr. ", "Ms. "), "") &amp; B915 &amp; ", payment of K" &amp; F915 &amp; " received for " &amp; period &amp; ". Receipt No: " &amp; N915), "Send Receipt")))</f>
        <v/>
      </c>
    </row>
    <row r="916">
      <c r="A916" s="29"/>
      <c r="B916" s="29" t="s">
        <v>175</v>
      </c>
      <c r="C916" s="76"/>
      <c r="D916" s="29"/>
      <c r="E916" s="29"/>
      <c r="F916" s="29"/>
      <c r="G916" s="29"/>
      <c r="H916" s="29" t="str">
        <f t="shared" si="1"/>
        <v/>
      </c>
      <c r="I916" s="29" t="str">
        <f t="shared" si="2"/>
        <v/>
      </c>
      <c r="J916" s="29" t="str">
        <f>IF(A916="", "", IFERROR(VLOOKUP(A916, 'Master Roster'!A:H, 8, FALSE) - F916, ""))</f>
        <v/>
      </c>
      <c r="K916" s="29" t="s">
        <v>175</v>
      </c>
      <c r="L916" s="29" t="b">
        <v>0</v>
      </c>
      <c r="M916" s="29"/>
      <c r="N916" s="29" t="s">
        <v>175</v>
      </c>
      <c r="O916" s="29" t="str">
        <f>IF(ISBLANK(A916), "", LET(entry_day, VLOOKUP(A916, 'Master Roster'!$A:$G, 7, FALSE), start_date, DATE(E916, MONTH(D916&amp;" 1"), entry_day), end_date, EDATE(start_date, 1), period, TEXT(start_date, "mmm d, yyyy") &amp; " - " &amp; TEXT(end_date, "mmm d, yyyy"), HYPERLINK("https://wa.me/" &amp; VLOOKUP(A916, 'Master Roster'!$A:$F, 6, FALSE) &amp; "?text=" &amp; ENCODEURL("Hello " &amp; IFERROR(IF(VLOOKUP(A916, 'Master Roster'!$A:$J, 10, FALSE)="Male", "Mr. ", "Ms. "), "") &amp; B916 &amp; ", payment of K" &amp; F916 &amp; " received for " &amp; period &amp; ". Receipt No: " &amp; N916), "Send Receipt")))</f>
        <v/>
      </c>
    </row>
    <row r="917">
      <c r="A917" s="29"/>
      <c r="B917" s="29" t="s">
        <v>175</v>
      </c>
      <c r="C917" s="76"/>
      <c r="D917" s="29"/>
      <c r="E917" s="29"/>
      <c r="F917" s="29"/>
      <c r="G917" s="29"/>
      <c r="H917" s="29" t="str">
        <f t="shared" si="1"/>
        <v/>
      </c>
      <c r="I917" s="29" t="str">
        <f t="shared" si="2"/>
        <v/>
      </c>
      <c r="J917" s="29" t="str">
        <f>IF(A917="", "", IFERROR(VLOOKUP(A917, 'Master Roster'!A:H, 8, FALSE) - F917, ""))</f>
        <v/>
      </c>
      <c r="K917" s="29" t="s">
        <v>175</v>
      </c>
      <c r="L917" s="29" t="b">
        <v>0</v>
      </c>
      <c r="M917" s="29"/>
      <c r="N917" s="29" t="s">
        <v>175</v>
      </c>
      <c r="O917" s="29" t="str">
        <f>IF(ISBLANK(A917), "", LET(entry_day, VLOOKUP(A917, 'Master Roster'!$A:$G, 7, FALSE), start_date, DATE(E917, MONTH(D917&amp;" 1"), entry_day), end_date, EDATE(start_date, 1), period, TEXT(start_date, "mmm d, yyyy") &amp; " - " &amp; TEXT(end_date, "mmm d, yyyy"), HYPERLINK("https://wa.me/" &amp; VLOOKUP(A917, 'Master Roster'!$A:$F, 6, FALSE) &amp; "?text=" &amp; ENCODEURL("Hello " &amp; IFERROR(IF(VLOOKUP(A917, 'Master Roster'!$A:$J, 10, FALSE)="Male", "Mr. ", "Ms. "), "") &amp; B917 &amp; ", payment of K" &amp; F917 &amp; " received for " &amp; period &amp; ". Receipt No: " &amp; N917), "Send Receipt")))</f>
        <v/>
      </c>
    </row>
    <row r="918">
      <c r="A918" s="29"/>
      <c r="B918" s="29" t="s">
        <v>175</v>
      </c>
      <c r="C918" s="76"/>
      <c r="D918" s="29"/>
      <c r="E918" s="29"/>
      <c r="F918" s="29"/>
      <c r="G918" s="29"/>
      <c r="H918" s="29" t="str">
        <f t="shared" si="1"/>
        <v/>
      </c>
      <c r="I918" s="29" t="str">
        <f t="shared" si="2"/>
        <v/>
      </c>
      <c r="J918" s="29" t="str">
        <f>IF(A918="", "", IFERROR(VLOOKUP(A918, 'Master Roster'!A:H, 8, FALSE) - F918, ""))</f>
        <v/>
      </c>
      <c r="K918" s="29" t="s">
        <v>175</v>
      </c>
      <c r="L918" s="29" t="b">
        <v>0</v>
      </c>
      <c r="M918" s="29"/>
      <c r="N918" s="29" t="s">
        <v>175</v>
      </c>
      <c r="O918" s="29" t="str">
        <f>IF(ISBLANK(A918), "", LET(entry_day, VLOOKUP(A918, 'Master Roster'!$A:$G, 7, FALSE), start_date, DATE(E918, MONTH(D918&amp;" 1"), entry_day), end_date, EDATE(start_date, 1), period, TEXT(start_date, "mmm d, yyyy") &amp; " - " &amp; TEXT(end_date, "mmm d, yyyy"), HYPERLINK("https://wa.me/" &amp; VLOOKUP(A918, 'Master Roster'!$A:$F, 6, FALSE) &amp; "?text=" &amp; ENCODEURL("Hello " &amp; IFERROR(IF(VLOOKUP(A918, 'Master Roster'!$A:$J, 10, FALSE)="Male", "Mr. ", "Ms. "), "") &amp; B918 &amp; ", payment of K" &amp; F918 &amp; " received for " &amp; period &amp; ". Receipt No: " &amp; N918), "Send Receipt")))</f>
        <v/>
      </c>
    </row>
    <row r="919">
      <c r="A919" s="29"/>
      <c r="B919" s="29" t="s">
        <v>175</v>
      </c>
      <c r="C919" s="76"/>
      <c r="D919" s="29"/>
      <c r="E919" s="29"/>
      <c r="F919" s="29"/>
      <c r="G919" s="29"/>
      <c r="H919" s="29" t="str">
        <f t="shared" si="1"/>
        <v/>
      </c>
      <c r="I919" s="29" t="str">
        <f t="shared" si="2"/>
        <v/>
      </c>
      <c r="J919" s="29" t="str">
        <f>IF(A919="", "", IFERROR(VLOOKUP(A919, 'Master Roster'!A:H, 8, FALSE) - F919, ""))</f>
        <v/>
      </c>
      <c r="K919" s="29" t="s">
        <v>175</v>
      </c>
      <c r="L919" s="29" t="b">
        <v>0</v>
      </c>
      <c r="M919" s="29"/>
      <c r="N919" s="29" t="s">
        <v>175</v>
      </c>
      <c r="O919" s="29" t="str">
        <f>IF(ISBLANK(A919), "", LET(entry_day, VLOOKUP(A919, 'Master Roster'!$A:$G, 7, FALSE), start_date, DATE(E919, MONTH(D919&amp;" 1"), entry_day), end_date, EDATE(start_date, 1), period, TEXT(start_date, "mmm d, yyyy") &amp; " - " &amp; TEXT(end_date, "mmm d, yyyy"), HYPERLINK("https://wa.me/" &amp; VLOOKUP(A919, 'Master Roster'!$A:$F, 6, FALSE) &amp; "?text=" &amp; ENCODEURL("Hello " &amp; IFERROR(IF(VLOOKUP(A919, 'Master Roster'!$A:$J, 10, FALSE)="Male", "Mr. ", "Ms. "), "") &amp; B919 &amp; ", payment of K" &amp; F919 &amp; " received for " &amp; period &amp; ". Receipt No: " &amp; N919), "Send Receipt")))</f>
        <v/>
      </c>
    </row>
    <row r="920">
      <c r="A920" s="29"/>
      <c r="B920" s="29" t="s">
        <v>175</v>
      </c>
      <c r="C920" s="76"/>
      <c r="D920" s="29"/>
      <c r="E920" s="29"/>
      <c r="F920" s="29"/>
      <c r="G920" s="29"/>
      <c r="H920" s="29" t="str">
        <f t="shared" si="1"/>
        <v/>
      </c>
      <c r="I920" s="29" t="str">
        <f t="shared" si="2"/>
        <v/>
      </c>
      <c r="J920" s="29" t="str">
        <f>IF(A920="", "", IFERROR(VLOOKUP(A920, 'Master Roster'!A:H, 8, FALSE) - F920, ""))</f>
        <v/>
      </c>
      <c r="K920" s="29" t="s">
        <v>175</v>
      </c>
      <c r="L920" s="29" t="b">
        <v>0</v>
      </c>
      <c r="M920" s="29"/>
      <c r="N920" s="29" t="s">
        <v>175</v>
      </c>
      <c r="O920" s="29" t="str">
        <f>IF(ISBLANK(A920), "", LET(entry_day, VLOOKUP(A920, 'Master Roster'!$A:$G, 7, FALSE), start_date, DATE(E920, MONTH(D920&amp;" 1"), entry_day), end_date, EDATE(start_date, 1), period, TEXT(start_date, "mmm d, yyyy") &amp; " - " &amp; TEXT(end_date, "mmm d, yyyy"), HYPERLINK("https://wa.me/" &amp; VLOOKUP(A920, 'Master Roster'!$A:$F, 6, FALSE) &amp; "?text=" &amp; ENCODEURL("Hello " &amp; IFERROR(IF(VLOOKUP(A920, 'Master Roster'!$A:$J, 10, FALSE)="Male", "Mr. ", "Ms. "), "") &amp; B920 &amp; ", payment of K" &amp; F920 &amp; " received for " &amp; period &amp; ". Receipt No: " &amp; N920), "Send Receipt")))</f>
        <v/>
      </c>
    </row>
    <row r="921">
      <c r="A921" s="29"/>
      <c r="B921" s="29" t="s">
        <v>175</v>
      </c>
      <c r="C921" s="76"/>
      <c r="D921" s="29"/>
      <c r="E921" s="29"/>
      <c r="F921" s="29"/>
      <c r="G921" s="29"/>
      <c r="H921" s="29" t="str">
        <f t="shared" si="1"/>
        <v/>
      </c>
      <c r="I921" s="29" t="str">
        <f t="shared" si="2"/>
        <v/>
      </c>
      <c r="J921" s="29" t="str">
        <f>IF(A921="", "", IFERROR(VLOOKUP(A921, 'Master Roster'!A:H, 8, FALSE) - F921, ""))</f>
        <v/>
      </c>
      <c r="K921" s="29" t="s">
        <v>175</v>
      </c>
      <c r="L921" s="29" t="b">
        <v>0</v>
      </c>
      <c r="M921" s="29"/>
      <c r="N921" s="29" t="s">
        <v>175</v>
      </c>
      <c r="O921" s="29" t="str">
        <f>IF(ISBLANK(A921), "", LET(entry_day, VLOOKUP(A921, 'Master Roster'!$A:$G, 7, FALSE), start_date, DATE(E921, MONTH(D921&amp;" 1"), entry_day), end_date, EDATE(start_date, 1), period, TEXT(start_date, "mmm d, yyyy") &amp; " - " &amp; TEXT(end_date, "mmm d, yyyy"), HYPERLINK("https://wa.me/" &amp; VLOOKUP(A921, 'Master Roster'!$A:$F, 6, FALSE) &amp; "?text=" &amp; ENCODEURL("Hello " &amp; IFERROR(IF(VLOOKUP(A921, 'Master Roster'!$A:$J, 10, FALSE)="Male", "Mr. ", "Ms. "), "") &amp; B921 &amp; ", payment of K" &amp; F921 &amp; " received for " &amp; period &amp; ". Receipt No: " &amp; N921), "Send Receipt")))</f>
        <v/>
      </c>
    </row>
    <row r="922">
      <c r="A922" s="29"/>
      <c r="B922" s="29" t="s">
        <v>175</v>
      </c>
      <c r="C922" s="76"/>
      <c r="D922" s="29"/>
      <c r="E922" s="29"/>
      <c r="F922" s="29"/>
      <c r="G922" s="29"/>
      <c r="H922" s="29" t="str">
        <f t="shared" si="1"/>
        <v/>
      </c>
      <c r="I922" s="29" t="str">
        <f t="shared" si="2"/>
        <v/>
      </c>
      <c r="J922" s="29" t="str">
        <f>IF(A922="", "", IFERROR(VLOOKUP(A922, 'Master Roster'!A:H, 8, FALSE) - F922, ""))</f>
        <v/>
      </c>
      <c r="K922" s="29" t="s">
        <v>175</v>
      </c>
      <c r="L922" s="29" t="b">
        <v>0</v>
      </c>
      <c r="M922" s="29"/>
      <c r="N922" s="29" t="s">
        <v>175</v>
      </c>
      <c r="O922" s="29" t="str">
        <f>IF(ISBLANK(A922), "", LET(entry_day, VLOOKUP(A922, 'Master Roster'!$A:$G, 7, FALSE), start_date, DATE(E922, MONTH(D922&amp;" 1"), entry_day), end_date, EDATE(start_date, 1), period, TEXT(start_date, "mmm d, yyyy") &amp; " - " &amp; TEXT(end_date, "mmm d, yyyy"), HYPERLINK("https://wa.me/" &amp; VLOOKUP(A922, 'Master Roster'!$A:$F, 6, FALSE) &amp; "?text=" &amp; ENCODEURL("Hello " &amp; IFERROR(IF(VLOOKUP(A922, 'Master Roster'!$A:$J, 10, FALSE)="Male", "Mr. ", "Ms. "), "") &amp; B922 &amp; ", payment of K" &amp; F922 &amp; " received for " &amp; period &amp; ". Receipt No: " &amp; N922), "Send Receipt")))</f>
        <v/>
      </c>
    </row>
    <row r="923">
      <c r="A923" s="29"/>
      <c r="B923" s="29" t="s">
        <v>175</v>
      </c>
      <c r="C923" s="76"/>
      <c r="D923" s="29"/>
      <c r="E923" s="29"/>
      <c r="F923" s="29"/>
      <c r="G923" s="29"/>
      <c r="H923" s="29" t="str">
        <f t="shared" si="1"/>
        <v/>
      </c>
      <c r="I923" s="29" t="str">
        <f t="shared" si="2"/>
        <v/>
      </c>
      <c r="J923" s="29" t="str">
        <f>IF(A923="", "", IFERROR(VLOOKUP(A923, 'Master Roster'!A:H, 8, FALSE) - F923, ""))</f>
        <v/>
      </c>
      <c r="K923" s="29" t="s">
        <v>175</v>
      </c>
      <c r="L923" s="29" t="b">
        <v>0</v>
      </c>
      <c r="M923" s="29"/>
      <c r="N923" s="29" t="s">
        <v>175</v>
      </c>
      <c r="O923" s="29" t="str">
        <f>IF(ISBLANK(A923), "", LET(entry_day, VLOOKUP(A923, 'Master Roster'!$A:$G, 7, FALSE), start_date, DATE(E923, MONTH(D923&amp;" 1"), entry_day), end_date, EDATE(start_date, 1), period, TEXT(start_date, "mmm d, yyyy") &amp; " - " &amp; TEXT(end_date, "mmm d, yyyy"), HYPERLINK("https://wa.me/" &amp; VLOOKUP(A923, 'Master Roster'!$A:$F, 6, FALSE) &amp; "?text=" &amp; ENCODEURL("Hello " &amp; IFERROR(IF(VLOOKUP(A923, 'Master Roster'!$A:$J, 10, FALSE)="Male", "Mr. ", "Ms. "), "") &amp; B923 &amp; ", payment of K" &amp; F923 &amp; " received for " &amp; period &amp; ". Receipt No: " &amp; N923), "Send Receipt")))</f>
        <v/>
      </c>
    </row>
    <row r="924">
      <c r="A924" s="29"/>
      <c r="B924" s="29" t="s">
        <v>175</v>
      </c>
      <c r="C924" s="76"/>
      <c r="D924" s="29"/>
      <c r="E924" s="29"/>
      <c r="F924" s="29"/>
      <c r="G924" s="29"/>
      <c r="H924" s="29" t="str">
        <f t="shared" si="1"/>
        <v/>
      </c>
      <c r="I924" s="29" t="str">
        <f t="shared" si="2"/>
        <v/>
      </c>
      <c r="J924" s="29" t="str">
        <f>IF(A924="", "", IFERROR(VLOOKUP(A924, 'Master Roster'!A:H, 8, FALSE) - F924, ""))</f>
        <v/>
      </c>
      <c r="K924" s="29" t="s">
        <v>175</v>
      </c>
      <c r="L924" s="29" t="b">
        <v>0</v>
      </c>
      <c r="M924" s="29"/>
      <c r="N924" s="29" t="s">
        <v>175</v>
      </c>
      <c r="O924" s="29" t="str">
        <f>IF(ISBLANK(A924), "", LET(entry_day, VLOOKUP(A924, 'Master Roster'!$A:$G, 7, FALSE), start_date, DATE(E924, MONTH(D924&amp;" 1"), entry_day), end_date, EDATE(start_date, 1), period, TEXT(start_date, "mmm d, yyyy") &amp; " - " &amp; TEXT(end_date, "mmm d, yyyy"), HYPERLINK("https://wa.me/" &amp; VLOOKUP(A924, 'Master Roster'!$A:$F, 6, FALSE) &amp; "?text=" &amp; ENCODEURL("Hello " &amp; IFERROR(IF(VLOOKUP(A924, 'Master Roster'!$A:$J, 10, FALSE)="Male", "Mr. ", "Ms. "), "") &amp; B924 &amp; ", payment of K" &amp; F924 &amp; " received for " &amp; period &amp; ". Receipt No: " &amp; N924), "Send Receipt")))</f>
        <v/>
      </c>
    </row>
    <row r="925">
      <c r="A925" s="29"/>
      <c r="B925" s="29" t="s">
        <v>175</v>
      </c>
      <c r="C925" s="76"/>
      <c r="D925" s="29"/>
      <c r="E925" s="29"/>
      <c r="F925" s="29"/>
      <c r="G925" s="29"/>
      <c r="H925" s="29" t="str">
        <f t="shared" si="1"/>
        <v/>
      </c>
      <c r="I925" s="29" t="str">
        <f t="shared" si="2"/>
        <v/>
      </c>
      <c r="J925" s="29" t="str">
        <f>IF(A925="", "", IFERROR(VLOOKUP(A925, 'Master Roster'!A:H, 8, FALSE) - F925, ""))</f>
        <v/>
      </c>
      <c r="K925" s="29" t="s">
        <v>175</v>
      </c>
      <c r="L925" s="29" t="b">
        <v>0</v>
      </c>
      <c r="M925" s="29"/>
      <c r="N925" s="29" t="s">
        <v>175</v>
      </c>
      <c r="O925" s="29" t="str">
        <f>IF(ISBLANK(A925), "", LET(entry_day, VLOOKUP(A925, 'Master Roster'!$A:$G, 7, FALSE), start_date, DATE(E925, MONTH(D925&amp;" 1"), entry_day), end_date, EDATE(start_date, 1), period, TEXT(start_date, "mmm d, yyyy") &amp; " - " &amp; TEXT(end_date, "mmm d, yyyy"), HYPERLINK("https://wa.me/" &amp; VLOOKUP(A925, 'Master Roster'!$A:$F, 6, FALSE) &amp; "?text=" &amp; ENCODEURL("Hello " &amp; IFERROR(IF(VLOOKUP(A925, 'Master Roster'!$A:$J, 10, FALSE)="Male", "Mr. ", "Ms. "), "") &amp; B925 &amp; ", payment of K" &amp; F925 &amp; " received for " &amp; period &amp; ". Receipt No: " &amp; N925), "Send Receipt")))</f>
        <v/>
      </c>
    </row>
    <row r="926">
      <c r="A926" s="29"/>
      <c r="B926" s="29" t="s">
        <v>175</v>
      </c>
      <c r="C926" s="76"/>
      <c r="D926" s="29"/>
      <c r="E926" s="29"/>
      <c r="F926" s="29"/>
      <c r="G926" s="29"/>
      <c r="H926" s="29" t="str">
        <f t="shared" si="1"/>
        <v/>
      </c>
      <c r="I926" s="29" t="str">
        <f t="shared" si="2"/>
        <v/>
      </c>
      <c r="J926" s="29" t="str">
        <f>IF(A926="", "", IFERROR(VLOOKUP(A926, 'Master Roster'!A:H, 8, FALSE) - F926, ""))</f>
        <v/>
      </c>
      <c r="K926" s="29" t="s">
        <v>175</v>
      </c>
      <c r="L926" s="29" t="b">
        <v>0</v>
      </c>
      <c r="M926" s="29"/>
      <c r="N926" s="29" t="s">
        <v>175</v>
      </c>
      <c r="O926" s="29" t="str">
        <f>IF(ISBLANK(A926), "", LET(entry_day, VLOOKUP(A926, 'Master Roster'!$A:$G, 7, FALSE), start_date, DATE(E926, MONTH(D926&amp;" 1"), entry_day), end_date, EDATE(start_date, 1), period, TEXT(start_date, "mmm d, yyyy") &amp; " - " &amp; TEXT(end_date, "mmm d, yyyy"), HYPERLINK("https://wa.me/" &amp; VLOOKUP(A926, 'Master Roster'!$A:$F, 6, FALSE) &amp; "?text=" &amp; ENCODEURL("Hello " &amp; IFERROR(IF(VLOOKUP(A926, 'Master Roster'!$A:$J, 10, FALSE)="Male", "Mr. ", "Ms. "), "") &amp; B926 &amp; ", payment of K" &amp; F926 &amp; " received for " &amp; period &amp; ". Receipt No: " &amp; N926), "Send Receipt")))</f>
        <v/>
      </c>
    </row>
    <row r="927">
      <c r="A927" s="29"/>
      <c r="B927" s="29" t="s">
        <v>175</v>
      </c>
      <c r="C927" s="76"/>
      <c r="D927" s="29"/>
      <c r="E927" s="29"/>
      <c r="F927" s="29"/>
      <c r="G927" s="29"/>
      <c r="H927" s="29" t="str">
        <f t="shared" si="1"/>
        <v/>
      </c>
      <c r="I927" s="29" t="str">
        <f t="shared" si="2"/>
        <v/>
      </c>
      <c r="J927" s="29" t="str">
        <f>IF(A927="", "", IFERROR(VLOOKUP(A927, 'Master Roster'!A:H, 8, FALSE) - F927, ""))</f>
        <v/>
      </c>
      <c r="K927" s="29" t="s">
        <v>175</v>
      </c>
      <c r="L927" s="29" t="b">
        <v>0</v>
      </c>
      <c r="M927" s="29"/>
      <c r="N927" s="29" t="s">
        <v>175</v>
      </c>
      <c r="O927" s="29" t="str">
        <f>IF(ISBLANK(A927), "", LET(entry_day, VLOOKUP(A927, 'Master Roster'!$A:$G, 7, FALSE), start_date, DATE(E927, MONTH(D927&amp;" 1"), entry_day), end_date, EDATE(start_date, 1), period, TEXT(start_date, "mmm d, yyyy") &amp; " - " &amp; TEXT(end_date, "mmm d, yyyy"), HYPERLINK("https://wa.me/" &amp; VLOOKUP(A927, 'Master Roster'!$A:$F, 6, FALSE) &amp; "?text=" &amp; ENCODEURL("Hello " &amp; IFERROR(IF(VLOOKUP(A927, 'Master Roster'!$A:$J, 10, FALSE)="Male", "Mr. ", "Ms. "), "") &amp; B927 &amp; ", payment of K" &amp; F927 &amp; " received for " &amp; period &amp; ". Receipt No: " &amp; N927), "Send Receipt")))</f>
        <v/>
      </c>
    </row>
    <row r="928">
      <c r="A928" s="29"/>
      <c r="B928" s="29" t="s">
        <v>175</v>
      </c>
      <c r="C928" s="76"/>
      <c r="D928" s="29"/>
      <c r="E928" s="29"/>
      <c r="F928" s="29"/>
      <c r="G928" s="29"/>
      <c r="H928" s="29" t="str">
        <f t="shared" si="1"/>
        <v/>
      </c>
      <c r="I928" s="29" t="str">
        <f t="shared" si="2"/>
        <v/>
      </c>
      <c r="J928" s="29" t="str">
        <f>IF(A928="", "", IFERROR(VLOOKUP(A928, 'Master Roster'!A:H, 8, FALSE) - F928, ""))</f>
        <v/>
      </c>
      <c r="K928" s="29" t="s">
        <v>175</v>
      </c>
      <c r="L928" s="29" t="b">
        <v>0</v>
      </c>
      <c r="M928" s="29"/>
      <c r="N928" s="29" t="s">
        <v>175</v>
      </c>
      <c r="O928" s="29" t="str">
        <f>IF(ISBLANK(A928), "", LET(entry_day, VLOOKUP(A928, 'Master Roster'!$A:$G, 7, FALSE), start_date, DATE(E928, MONTH(D928&amp;" 1"), entry_day), end_date, EDATE(start_date, 1), period, TEXT(start_date, "mmm d, yyyy") &amp; " - " &amp; TEXT(end_date, "mmm d, yyyy"), HYPERLINK("https://wa.me/" &amp; VLOOKUP(A928, 'Master Roster'!$A:$F, 6, FALSE) &amp; "?text=" &amp; ENCODEURL("Hello " &amp; IFERROR(IF(VLOOKUP(A928, 'Master Roster'!$A:$J, 10, FALSE)="Male", "Mr. ", "Ms. "), "") &amp; B928 &amp; ", payment of K" &amp; F928 &amp; " received for " &amp; period &amp; ". Receipt No: " &amp; N928), "Send Receipt")))</f>
        <v/>
      </c>
    </row>
    <row r="929">
      <c r="A929" s="29"/>
      <c r="B929" s="29" t="s">
        <v>175</v>
      </c>
      <c r="C929" s="76"/>
      <c r="D929" s="29"/>
      <c r="E929" s="29"/>
      <c r="F929" s="29"/>
      <c r="G929" s="29"/>
      <c r="H929" s="29" t="str">
        <f t="shared" si="1"/>
        <v/>
      </c>
      <c r="I929" s="29" t="str">
        <f t="shared" si="2"/>
        <v/>
      </c>
      <c r="J929" s="29" t="str">
        <f>IF(A929="", "", IFERROR(VLOOKUP(A929, 'Master Roster'!A:H, 8, FALSE) - F929, ""))</f>
        <v/>
      </c>
      <c r="K929" s="29" t="s">
        <v>175</v>
      </c>
      <c r="L929" s="29" t="b">
        <v>0</v>
      </c>
      <c r="M929" s="29"/>
      <c r="N929" s="29" t="s">
        <v>175</v>
      </c>
      <c r="O929" s="29" t="str">
        <f>IF(ISBLANK(A929), "", LET(entry_day, VLOOKUP(A929, 'Master Roster'!$A:$G, 7, FALSE), start_date, DATE(E929, MONTH(D929&amp;" 1"), entry_day), end_date, EDATE(start_date, 1), period, TEXT(start_date, "mmm d, yyyy") &amp; " - " &amp; TEXT(end_date, "mmm d, yyyy"), HYPERLINK("https://wa.me/" &amp; VLOOKUP(A929, 'Master Roster'!$A:$F, 6, FALSE) &amp; "?text=" &amp; ENCODEURL("Hello " &amp; IFERROR(IF(VLOOKUP(A929, 'Master Roster'!$A:$J, 10, FALSE)="Male", "Mr. ", "Ms. "), "") &amp; B929 &amp; ", payment of K" &amp; F929 &amp; " received for " &amp; period &amp; ". Receipt No: " &amp; N929), "Send Receipt")))</f>
        <v/>
      </c>
    </row>
    <row r="930">
      <c r="A930" s="29"/>
      <c r="B930" s="29" t="s">
        <v>175</v>
      </c>
      <c r="C930" s="76"/>
      <c r="D930" s="29"/>
      <c r="E930" s="29"/>
      <c r="F930" s="29"/>
      <c r="G930" s="29"/>
      <c r="H930" s="29" t="str">
        <f t="shared" si="1"/>
        <v/>
      </c>
      <c r="I930" s="29" t="str">
        <f t="shared" si="2"/>
        <v/>
      </c>
      <c r="J930" s="29" t="str">
        <f>IF(A930="", "", IFERROR(VLOOKUP(A930, 'Master Roster'!A:H, 8, FALSE) - F930, ""))</f>
        <v/>
      </c>
      <c r="K930" s="29" t="s">
        <v>175</v>
      </c>
      <c r="L930" s="29" t="b">
        <v>0</v>
      </c>
      <c r="M930" s="29"/>
      <c r="N930" s="29" t="s">
        <v>175</v>
      </c>
      <c r="O930" s="29" t="str">
        <f>IF(ISBLANK(A930), "", LET(entry_day, VLOOKUP(A930, 'Master Roster'!$A:$G, 7, FALSE), start_date, DATE(E930, MONTH(D930&amp;" 1"), entry_day), end_date, EDATE(start_date, 1), period, TEXT(start_date, "mmm d, yyyy") &amp; " - " &amp; TEXT(end_date, "mmm d, yyyy"), HYPERLINK("https://wa.me/" &amp; VLOOKUP(A930, 'Master Roster'!$A:$F, 6, FALSE) &amp; "?text=" &amp; ENCODEURL("Hello " &amp; IFERROR(IF(VLOOKUP(A930, 'Master Roster'!$A:$J, 10, FALSE)="Male", "Mr. ", "Ms. "), "") &amp; B930 &amp; ", payment of K" &amp; F930 &amp; " received for " &amp; period &amp; ". Receipt No: " &amp; N930), "Send Receipt")))</f>
        <v/>
      </c>
    </row>
    <row r="931">
      <c r="A931" s="29"/>
      <c r="B931" s="29" t="s">
        <v>175</v>
      </c>
      <c r="C931" s="76"/>
      <c r="D931" s="29"/>
      <c r="E931" s="29"/>
      <c r="F931" s="29"/>
      <c r="G931" s="29"/>
      <c r="H931" s="29" t="str">
        <f t="shared" si="1"/>
        <v/>
      </c>
      <c r="I931" s="29" t="str">
        <f t="shared" si="2"/>
        <v/>
      </c>
      <c r="J931" s="29" t="str">
        <f>IF(A931="", "", IFERROR(VLOOKUP(A931, 'Master Roster'!A:H, 8, FALSE) - F931, ""))</f>
        <v/>
      </c>
      <c r="K931" s="29" t="s">
        <v>175</v>
      </c>
      <c r="L931" s="29" t="b">
        <v>0</v>
      </c>
      <c r="M931" s="29"/>
      <c r="N931" s="29" t="s">
        <v>175</v>
      </c>
      <c r="O931" s="29" t="str">
        <f>IF(ISBLANK(A931), "", LET(entry_day, VLOOKUP(A931, 'Master Roster'!$A:$G, 7, FALSE), start_date, DATE(E931, MONTH(D931&amp;" 1"), entry_day), end_date, EDATE(start_date, 1), period, TEXT(start_date, "mmm d, yyyy") &amp; " - " &amp; TEXT(end_date, "mmm d, yyyy"), HYPERLINK("https://wa.me/" &amp; VLOOKUP(A931, 'Master Roster'!$A:$F, 6, FALSE) &amp; "?text=" &amp; ENCODEURL("Hello " &amp; IFERROR(IF(VLOOKUP(A931, 'Master Roster'!$A:$J, 10, FALSE)="Male", "Mr. ", "Ms. "), "") &amp; B931 &amp; ", payment of K" &amp; F931 &amp; " received for " &amp; period &amp; ". Receipt No: " &amp; N931), "Send Receipt")))</f>
        <v/>
      </c>
    </row>
    <row r="932">
      <c r="A932" s="29"/>
      <c r="B932" s="29" t="s">
        <v>175</v>
      </c>
      <c r="C932" s="76"/>
      <c r="D932" s="29"/>
      <c r="E932" s="29"/>
      <c r="F932" s="29"/>
      <c r="G932" s="29"/>
      <c r="H932" s="29" t="str">
        <f t="shared" si="1"/>
        <v/>
      </c>
      <c r="I932" s="29" t="str">
        <f t="shared" si="2"/>
        <v/>
      </c>
      <c r="J932" s="29" t="str">
        <f>IF(A932="", "", IFERROR(VLOOKUP(A932, 'Master Roster'!A:H, 8, FALSE) - F932, ""))</f>
        <v/>
      </c>
      <c r="K932" s="29" t="s">
        <v>175</v>
      </c>
      <c r="L932" s="29" t="b">
        <v>0</v>
      </c>
      <c r="M932" s="29"/>
      <c r="N932" s="29" t="s">
        <v>175</v>
      </c>
      <c r="O932" s="29" t="str">
        <f>IF(ISBLANK(A932), "", LET(entry_day, VLOOKUP(A932, 'Master Roster'!$A:$G, 7, FALSE), start_date, DATE(E932, MONTH(D932&amp;" 1"), entry_day), end_date, EDATE(start_date, 1), period, TEXT(start_date, "mmm d, yyyy") &amp; " - " &amp; TEXT(end_date, "mmm d, yyyy"), HYPERLINK("https://wa.me/" &amp; VLOOKUP(A932, 'Master Roster'!$A:$F, 6, FALSE) &amp; "?text=" &amp; ENCODEURL("Hello " &amp; IFERROR(IF(VLOOKUP(A932, 'Master Roster'!$A:$J, 10, FALSE)="Male", "Mr. ", "Ms. "), "") &amp; B932 &amp; ", payment of K" &amp; F932 &amp; " received for " &amp; period &amp; ". Receipt No: " &amp; N932), "Send Receipt")))</f>
        <v/>
      </c>
    </row>
    <row r="933">
      <c r="A933" s="29"/>
      <c r="B933" s="29" t="s">
        <v>175</v>
      </c>
      <c r="C933" s="76"/>
      <c r="D933" s="29"/>
      <c r="E933" s="29"/>
      <c r="F933" s="29"/>
      <c r="G933" s="29"/>
      <c r="H933" s="29" t="str">
        <f t="shared" si="1"/>
        <v/>
      </c>
      <c r="I933" s="29" t="str">
        <f t="shared" si="2"/>
        <v/>
      </c>
      <c r="J933" s="29" t="str">
        <f>IF(A933="", "", IFERROR(VLOOKUP(A933, 'Master Roster'!A:H, 8, FALSE) - F933, ""))</f>
        <v/>
      </c>
      <c r="K933" s="29" t="s">
        <v>175</v>
      </c>
      <c r="L933" s="29" t="b">
        <v>0</v>
      </c>
      <c r="M933" s="29"/>
      <c r="N933" s="29" t="s">
        <v>175</v>
      </c>
      <c r="O933" s="29" t="str">
        <f>IF(ISBLANK(A933), "", LET(entry_day, VLOOKUP(A933, 'Master Roster'!$A:$G, 7, FALSE), start_date, DATE(E933, MONTH(D933&amp;" 1"), entry_day), end_date, EDATE(start_date, 1), period, TEXT(start_date, "mmm d, yyyy") &amp; " - " &amp; TEXT(end_date, "mmm d, yyyy"), HYPERLINK("https://wa.me/" &amp; VLOOKUP(A933, 'Master Roster'!$A:$F, 6, FALSE) &amp; "?text=" &amp; ENCODEURL("Hello " &amp; IFERROR(IF(VLOOKUP(A933, 'Master Roster'!$A:$J, 10, FALSE)="Male", "Mr. ", "Ms. "), "") &amp; B933 &amp; ", payment of K" &amp; F933 &amp; " received for " &amp; period &amp; ". Receipt No: " &amp; N933), "Send Receipt")))</f>
        <v/>
      </c>
    </row>
    <row r="934">
      <c r="A934" s="29"/>
      <c r="B934" s="29" t="s">
        <v>175</v>
      </c>
      <c r="C934" s="76"/>
      <c r="D934" s="29"/>
      <c r="E934" s="29"/>
      <c r="F934" s="29"/>
      <c r="G934" s="29"/>
      <c r="H934" s="29" t="str">
        <f t="shared" si="1"/>
        <v/>
      </c>
      <c r="I934" s="29" t="str">
        <f t="shared" si="2"/>
        <v/>
      </c>
      <c r="J934" s="29" t="str">
        <f>IF(A934="", "", IFERROR(VLOOKUP(A934, 'Master Roster'!A:H, 8, FALSE) - F934, ""))</f>
        <v/>
      </c>
      <c r="K934" s="29" t="s">
        <v>175</v>
      </c>
      <c r="L934" s="29" t="b">
        <v>0</v>
      </c>
      <c r="M934" s="29"/>
      <c r="N934" s="29" t="s">
        <v>175</v>
      </c>
      <c r="O934" s="29" t="str">
        <f>IF(ISBLANK(A934), "", LET(entry_day, VLOOKUP(A934, 'Master Roster'!$A:$G, 7, FALSE), start_date, DATE(E934, MONTH(D934&amp;" 1"), entry_day), end_date, EDATE(start_date, 1), period, TEXT(start_date, "mmm d, yyyy") &amp; " - " &amp; TEXT(end_date, "mmm d, yyyy"), HYPERLINK("https://wa.me/" &amp; VLOOKUP(A934, 'Master Roster'!$A:$F, 6, FALSE) &amp; "?text=" &amp; ENCODEURL("Hello " &amp; IFERROR(IF(VLOOKUP(A934, 'Master Roster'!$A:$J, 10, FALSE)="Male", "Mr. ", "Ms. "), "") &amp; B934 &amp; ", payment of K" &amp; F934 &amp; " received for " &amp; period &amp; ". Receipt No: " &amp; N934), "Send Receipt")))</f>
        <v/>
      </c>
    </row>
    <row r="935">
      <c r="A935" s="29"/>
      <c r="B935" s="29" t="s">
        <v>175</v>
      </c>
      <c r="C935" s="76"/>
      <c r="D935" s="29"/>
      <c r="E935" s="29"/>
      <c r="F935" s="29"/>
      <c r="G935" s="29"/>
      <c r="H935" s="29" t="str">
        <f t="shared" si="1"/>
        <v/>
      </c>
      <c r="I935" s="29" t="str">
        <f t="shared" si="2"/>
        <v/>
      </c>
      <c r="J935" s="29" t="str">
        <f>IF(A935="", "", IFERROR(VLOOKUP(A935, 'Master Roster'!A:H, 8, FALSE) - F935, ""))</f>
        <v/>
      </c>
      <c r="K935" s="29" t="s">
        <v>175</v>
      </c>
      <c r="L935" s="29" t="b">
        <v>0</v>
      </c>
      <c r="M935" s="29"/>
      <c r="N935" s="29" t="s">
        <v>175</v>
      </c>
      <c r="O935" s="29" t="str">
        <f>IF(ISBLANK(A935), "", LET(entry_day, VLOOKUP(A935, 'Master Roster'!$A:$G, 7, FALSE), start_date, DATE(E935, MONTH(D935&amp;" 1"), entry_day), end_date, EDATE(start_date, 1), period, TEXT(start_date, "mmm d, yyyy") &amp; " - " &amp; TEXT(end_date, "mmm d, yyyy"), HYPERLINK("https://wa.me/" &amp; VLOOKUP(A935, 'Master Roster'!$A:$F, 6, FALSE) &amp; "?text=" &amp; ENCODEURL("Hello " &amp; IFERROR(IF(VLOOKUP(A935, 'Master Roster'!$A:$J, 10, FALSE)="Male", "Mr. ", "Ms. "), "") &amp; B935 &amp; ", payment of K" &amp; F935 &amp; " received for " &amp; period &amp; ". Receipt No: " &amp; N935), "Send Receipt")))</f>
        <v/>
      </c>
    </row>
    <row r="936">
      <c r="A936" s="29"/>
      <c r="B936" s="29" t="s">
        <v>175</v>
      </c>
      <c r="C936" s="76"/>
      <c r="D936" s="29"/>
      <c r="E936" s="29"/>
      <c r="F936" s="29"/>
      <c r="G936" s="29"/>
      <c r="H936" s="29" t="str">
        <f t="shared" si="1"/>
        <v/>
      </c>
      <c r="I936" s="29" t="str">
        <f t="shared" si="2"/>
        <v/>
      </c>
      <c r="J936" s="29" t="str">
        <f>IF(A936="", "", IFERROR(VLOOKUP(A936, 'Master Roster'!A:H, 8, FALSE) - F936, ""))</f>
        <v/>
      </c>
      <c r="K936" s="29" t="s">
        <v>175</v>
      </c>
      <c r="L936" s="29" t="b">
        <v>0</v>
      </c>
      <c r="M936" s="29"/>
      <c r="N936" s="29" t="s">
        <v>175</v>
      </c>
      <c r="O936" s="29" t="str">
        <f>IF(ISBLANK(A936), "", LET(entry_day, VLOOKUP(A936, 'Master Roster'!$A:$G, 7, FALSE), start_date, DATE(E936, MONTH(D936&amp;" 1"), entry_day), end_date, EDATE(start_date, 1), period, TEXT(start_date, "mmm d, yyyy") &amp; " - " &amp; TEXT(end_date, "mmm d, yyyy"), HYPERLINK("https://wa.me/" &amp; VLOOKUP(A936, 'Master Roster'!$A:$F, 6, FALSE) &amp; "?text=" &amp; ENCODEURL("Hello " &amp; IFERROR(IF(VLOOKUP(A936, 'Master Roster'!$A:$J, 10, FALSE)="Male", "Mr. ", "Ms. "), "") &amp; B936 &amp; ", payment of K" &amp; F936 &amp; " received for " &amp; period &amp; ". Receipt No: " &amp; N936), "Send Receipt")))</f>
        <v/>
      </c>
    </row>
    <row r="937">
      <c r="A937" s="29"/>
      <c r="B937" s="29" t="s">
        <v>175</v>
      </c>
      <c r="C937" s="76"/>
      <c r="D937" s="29"/>
      <c r="E937" s="29"/>
      <c r="F937" s="29"/>
      <c r="G937" s="29"/>
      <c r="H937" s="29" t="str">
        <f t="shared" si="1"/>
        <v/>
      </c>
      <c r="I937" s="29" t="str">
        <f t="shared" si="2"/>
        <v/>
      </c>
      <c r="J937" s="29" t="str">
        <f>IF(A937="", "", IFERROR(VLOOKUP(A937, 'Master Roster'!A:H, 8, FALSE) - F937, ""))</f>
        <v/>
      </c>
      <c r="K937" s="29" t="s">
        <v>175</v>
      </c>
      <c r="L937" s="29" t="b">
        <v>0</v>
      </c>
      <c r="M937" s="29"/>
      <c r="N937" s="29" t="s">
        <v>175</v>
      </c>
      <c r="O937" s="29" t="str">
        <f>IF(ISBLANK(A937), "", LET(entry_day, VLOOKUP(A937, 'Master Roster'!$A:$G, 7, FALSE), start_date, DATE(E937, MONTH(D937&amp;" 1"), entry_day), end_date, EDATE(start_date, 1), period, TEXT(start_date, "mmm d, yyyy") &amp; " - " &amp; TEXT(end_date, "mmm d, yyyy"), HYPERLINK("https://wa.me/" &amp; VLOOKUP(A937, 'Master Roster'!$A:$F, 6, FALSE) &amp; "?text=" &amp; ENCODEURL("Hello " &amp; IFERROR(IF(VLOOKUP(A937, 'Master Roster'!$A:$J, 10, FALSE)="Male", "Mr. ", "Ms. "), "") &amp; B937 &amp; ", payment of K" &amp; F937 &amp; " received for " &amp; period &amp; ". Receipt No: " &amp; N937), "Send Receipt")))</f>
        <v/>
      </c>
    </row>
    <row r="938">
      <c r="A938" s="29"/>
      <c r="B938" s="29" t="s">
        <v>175</v>
      </c>
      <c r="C938" s="76"/>
      <c r="D938" s="29"/>
      <c r="E938" s="29"/>
      <c r="F938" s="29"/>
      <c r="G938" s="29"/>
      <c r="H938" s="29" t="str">
        <f t="shared" si="1"/>
        <v/>
      </c>
      <c r="I938" s="29" t="str">
        <f t="shared" si="2"/>
        <v/>
      </c>
      <c r="J938" s="29" t="str">
        <f>IF(A938="", "", IFERROR(VLOOKUP(A938, 'Master Roster'!A:H, 8, FALSE) - F938, ""))</f>
        <v/>
      </c>
      <c r="K938" s="29" t="s">
        <v>175</v>
      </c>
      <c r="L938" s="29" t="b">
        <v>0</v>
      </c>
      <c r="M938" s="29"/>
      <c r="N938" s="29" t="s">
        <v>175</v>
      </c>
      <c r="O938" s="29" t="str">
        <f>IF(ISBLANK(A938), "", LET(entry_day, VLOOKUP(A938, 'Master Roster'!$A:$G, 7, FALSE), start_date, DATE(E938, MONTH(D938&amp;" 1"), entry_day), end_date, EDATE(start_date, 1), period, TEXT(start_date, "mmm d, yyyy") &amp; " - " &amp; TEXT(end_date, "mmm d, yyyy"), HYPERLINK("https://wa.me/" &amp; VLOOKUP(A938, 'Master Roster'!$A:$F, 6, FALSE) &amp; "?text=" &amp; ENCODEURL("Hello " &amp; IFERROR(IF(VLOOKUP(A938, 'Master Roster'!$A:$J, 10, FALSE)="Male", "Mr. ", "Ms. "), "") &amp; B938 &amp; ", payment of K" &amp; F938 &amp; " received for " &amp; period &amp; ". Receipt No: " &amp; N938), "Send Receipt")))</f>
        <v/>
      </c>
    </row>
    <row r="939">
      <c r="A939" s="29"/>
      <c r="B939" s="29" t="s">
        <v>175</v>
      </c>
      <c r="C939" s="76"/>
      <c r="D939" s="29"/>
      <c r="E939" s="29"/>
      <c r="F939" s="29"/>
      <c r="G939" s="29"/>
      <c r="H939" s="29" t="str">
        <f t="shared" si="1"/>
        <v/>
      </c>
      <c r="I939" s="29" t="str">
        <f t="shared" si="2"/>
        <v/>
      </c>
      <c r="J939" s="29" t="str">
        <f>IF(A939="", "", IFERROR(VLOOKUP(A939, 'Master Roster'!A:H, 8, FALSE) - F939, ""))</f>
        <v/>
      </c>
      <c r="K939" s="29" t="s">
        <v>175</v>
      </c>
      <c r="L939" s="29" t="b">
        <v>0</v>
      </c>
      <c r="M939" s="29"/>
      <c r="N939" s="29" t="s">
        <v>175</v>
      </c>
      <c r="O939" s="29" t="str">
        <f>IF(ISBLANK(A939), "", LET(entry_day, VLOOKUP(A939, 'Master Roster'!$A:$G, 7, FALSE), start_date, DATE(E939, MONTH(D939&amp;" 1"), entry_day), end_date, EDATE(start_date, 1), period, TEXT(start_date, "mmm d, yyyy") &amp; " - " &amp; TEXT(end_date, "mmm d, yyyy"), HYPERLINK("https://wa.me/" &amp; VLOOKUP(A939, 'Master Roster'!$A:$F, 6, FALSE) &amp; "?text=" &amp; ENCODEURL("Hello " &amp; IFERROR(IF(VLOOKUP(A939, 'Master Roster'!$A:$J, 10, FALSE)="Male", "Mr. ", "Ms. "), "") &amp; B939 &amp; ", payment of K" &amp; F939 &amp; " received for " &amp; period &amp; ". Receipt No: " &amp; N939), "Send Receipt")))</f>
        <v/>
      </c>
    </row>
    <row r="940">
      <c r="A940" s="29"/>
      <c r="B940" s="29" t="s">
        <v>175</v>
      </c>
      <c r="C940" s="76"/>
      <c r="D940" s="29"/>
      <c r="E940" s="29"/>
      <c r="F940" s="29"/>
      <c r="G940" s="29"/>
      <c r="H940" s="29" t="str">
        <f t="shared" si="1"/>
        <v/>
      </c>
      <c r="I940" s="29" t="str">
        <f t="shared" si="2"/>
        <v/>
      </c>
      <c r="J940" s="29" t="str">
        <f>IF(A940="", "", IFERROR(VLOOKUP(A940, 'Master Roster'!A:H, 8, FALSE) - F940, ""))</f>
        <v/>
      </c>
      <c r="K940" s="29" t="s">
        <v>175</v>
      </c>
      <c r="L940" s="29" t="b">
        <v>0</v>
      </c>
      <c r="M940" s="29"/>
      <c r="N940" s="29" t="s">
        <v>175</v>
      </c>
      <c r="O940" s="29" t="str">
        <f>IF(ISBLANK(A940), "", LET(entry_day, VLOOKUP(A940, 'Master Roster'!$A:$G, 7, FALSE), start_date, DATE(E940, MONTH(D940&amp;" 1"), entry_day), end_date, EDATE(start_date, 1), period, TEXT(start_date, "mmm d, yyyy") &amp; " - " &amp; TEXT(end_date, "mmm d, yyyy"), HYPERLINK("https://wa.me/" &amp; VLOOKUP(A940, 'Master Roster'!$A:$F, 6, FALSE) &amp; "?text=" &amp; ENCODEURL("Hello " &amp; IFERROR(IF(VLOOKUP(A940, 'Master Roster'!$A:$J, 10, FALSE)="Male", "Mr. ", "Ms. "), "") &amp; B940 &amp; ", payment of K" &amp; F940 &amp; " received for " &amp; period &amp; ". Receipt No: " &amp; N940), "Send Receipt")))</f>
        <v/>
      </c>
    </row>
    <row r="941">
      <c r="A941" s="29"/>
      <c r="B941" s="29" t="s">
        <v>175</v>
      </c>
      <c r="C941" s="76"/>
      <c r="D941" s="29"/>
      <c r="E941" s="29"/>
      <c r="F941" s="29"/>
      <c r="G941" s="29"/>
      <c r="H941" s="29" t="str">
        <f t="shared" si="1"/>
        <v/>
      </c>
      <c r="I941" s="29" t="str">
        <f t="shared" si="2"/>
        <v/>
      </c>
      <c r="J941" s="29" t="str">
        <f>IF(A941="", "", IFERROR(VLOOKUP(A941, 'Master Roster'!A:H, 8, FALSE) - F941, ""))</f>
        <v/>
      </c>
      <c r="K941" s="29" t="s">
        <v>175</v>
      </c>
      <c r="L941" s="29" t="b">
        <v>0</v>
      </c>
      <c r="M941" s="29"/>
      <c r="N941" s="29" t="s">
        <v>175</v>
      </c>
      <c r="O941" s="29" t="str">
        <f>IF(ISBLANK(A941), "", LET(entry_day, VLOOKUP(A941, 'Master Roster'!$A:$G, 7, FALSE), start_date, DATE(E941, MONTH(D941&amp;" 1"), entry_day), end_date, EDATE(start_date, 1), period, TEXT(start_date, "mmm d, yyyy") &amp; " - " &amp; TEXT(end_date, "mmm d, yyyy"), HYPERLINK("https://wa.me/" &amp; VLOOKUP(A941, 'Master Roster'!$A:$F, 6, FALSE) &amp; "?text=" &amp; ENCODEURL("Hello " &amp; IFERROR(IF(VLOOKUP(A941, 'Master Roster'!$A:$J, 10, FALSE)="Male", "Mr. ", "Ms. "), "") &amp; B941 &amp; ", payment of K" &amp; F941 &amp; " received for " &amp; period &amp; ". Receipt No: " &amp; N941), "Send Receipt")))</f>
        <v/>
      </c>
    </row>
    <row r="942">
      <c r="A942" s="29"/>
      <c r="B942" s="29" t="s">
        <v>175</v>
      </c>
      <c r="C942" s="76"/>
      <c r="D942" s="29"/>
      <c r="E942" s="29"/>
      <c r="F942" s="29"/>
      <c r="G942" s="29"/>
      <c r="H942" s="29" t="str">
        <f t="shared" si="1"/>
        <v/>
      </c>
      <c r="I942" s="29" t="str">
        <f t="shared" si="2"/>
        <v/>
      </c>
      <c r="J942" s="29" t="str">
        <f>IF(A942="", "", IFERROR(VLOOKUP(A942, 'Master Roster'!A:H, 8, FALSE) - F942, ""))</f>
        <v/>
      </c>
      <c r="K942" s="29" t="s">
        <v>175</v>
      </c>
      <c r="L942" s="29" t="b">
        <v>0</v>
      </c>
      <c r="M942" s="29"/>
      <c r="N942" s="29" t="s">
        <v>175</v>
      </c>
      <c r="O942" s="29" t="str">
        <f>IF(ISBLANK(A942), "", LET(entry_day, VLOOKUP(A942, 'Master Roster'!$A:$G, 7, FALSE), start_date, DATE(E942, MONTH(D942&amp;" 1"), entry_day), end_date, EDATE(start_date, 1), period, TEXT(start_date, "mmm d, yyyy") &amp; " - " &amp; TEXT(end_date, "mmm d, yyyy"), HYPERLINK("https://wa.me/" &amp; VLOOKUP(A942, 'Master Roster'!$A:$F, 6, FALSE) &amp; "?text=" &amp; ENCODEURL("Hello " &amp; IFERROR(IF(VLOOKUP(A942, 'Master Roster'!$A:$J, 10, FALSE)="Male", "Mr. ", "Ms. "), "") &amp; B942 &amp; ", payment of K" &amp; F942 &amp; " received for " &amp; period &amp; ". Receipt No: " &amp; N942), "Send Receipt")))</f>
        <v/>
      </c>
    </row>
    <row r="943">
      <c r="A943" s="29"/>
      <c r="B943" s="29" t="s">
        <v>175</v>
      </c>
      <c r="C943" s="76"/>
      <c r="D943" s="29"/>
      <c r="E943" s="29"/>
      <c r="F943" s="29"/>
      <c r="G943" s="29"/>
      <c r="H943" s="29" t="str">
        <f t="shared" si="1"/>
        <v/>
      </c>
      <c r="I943" s="29" t="str">
        <f t="shared" si="2"/>
        <v/>
      </c>
      <c r="J943" s="29" t="str">
        <f>IF(A943="", "", IFERROR(VLOOKUP(A943, 'Master Roster'!A:H, 8, FALSE) - F943, ""))</f>
        <v/>
      </c>
      <c r="K943" s="29" t="s">
        <v>175</v>
      </c>
      <c r="L943" s="29" t="b">
        <v>0</v>
      </c>
      <c r="M943" s="29"/>
      <c r="N943" s="29" t="s">
        <v>175</v>
      </c>
      <c r="O943" s="29" t="str">
        <f>IF(ISBLANK(A943), "", LET(entry_day, VLOOKUP(A943, 'Master Roster'!$A:$G, 7, FALSE), start_date, DATE(E943, MONTH(D943&amp;" 1"), entry_day), end_date, EDATE(start_date, 1), period, TEXT(start_date, "mmm d, yyyy") &amp; " - " &amp; TEXT(end_date, "mmm d, yyyy"), HYPERLINK("https://wa.me/" &amp; VLOOKUP(A943, 'Master Roster'!$A:$F, 6, FALSE) &amp; "?text=" &amp; ENCODEURL("Hello " &amp; IFERROR(IF(VLOOKUP(A943, 'Master Roster'!$A:$J, 10, FALSE)="Male", "Mr. ", "Ms. "), "") &amp; B943 &amp; ", payment of K" &amp; F943 &amp; " received for " &amp; period &amp; ". Receipt No: " &amp; N943), "Send Receipt")))</f>
        <v/>
      </c>
    </row>
    <row r="944">
      <c r="A944" s="29"/>
      <c r="B944" s="29" t="s">
        <v>175</v>
      </c>
      <c r="C944" s="76"/>
      <c r="D944" s="29"/>
      <c r="E944" s="29"/>
      <c r="F944" s="29"/>
      <c r="G944" s="29"/>
      <c r="H944" s="29" t="str">
        <f t="shared" si="1"/>
        <v/>
      </c>
      <c r="I944" s="29" t="str">
        <f t="shared" si="2"/>
        <v/>
      </c>
      <c r="J944" s="29" t="str">
        <f>IF(A944="", "", IFERROR(VLOOKUP(A944, 'Master Roster'!A:H, 8, FALSE) - F944, ""))</f>
        <v/>
      </c>
      <c r="K944" s="29" t="s">
        <v>175</v>
      </c>
      <c r="L944" s="29" t="b">
        <v>0</v>
      </c>
      <c r="M944" s="29"/>
      <c r="N944" s="29" t="s">
        <v>175</v>
      </c>
      <c r="O944" s="29" t="str">
        <f>IF(ISBLANK(A944), "", LET(entry_day, VLOOKUP(A944, 'Master Roster'!$A:$G, 7, FALSE), start_date, DATE(E944, MONTH(D944&amp;" 1"), entry_day), end_date, EDATE(start_date, 1), period, TEXT(start_date, "mmm d, yyyy") &amp; " - " &amp; TEXT(end_date, "mmm d, yyyy"), HYPERLINK("https://wa.me/" &amp; VLOOKUP(A944, 'Master Roster'!$A:$F, 6, FALSE) &amp; "?text=" &amp; ENCODEURL("Hello " &amp; IFERROR(IF(VLOOKUP(A944, 'Master Roster'!$A:$J, 10, FALSE)="Male", "Mr. ", "Ms. "), "") &amp; B944 &amp; ", payment of K" &amp; F944 &amp; " received for " &amp; period &amp; ". Receipt No: " &amp; N944), "Send Receipt")))</f>
        <v/>
      </c>
    </row>
    <row r="945">
      <c r="A945" s="29"/>
      <c r="B945" s="29" t="s">
        <v>175</v>
      </c>
      <c r="C945" s="76"/>
      <c r="D945" s="29"/>
      <c r="E945" s="29"/>
      <c r="F945" s="29"/>
      <c r="G945" s="29"/>
      <c r="H945" s="29" t="str">
        <f t="shared" si="1"/>
        <v/>
      </c>
      <c r="I945" s="29" t="str">
        <f t="shared" si="2"/>
        <v/>
      </c>
      <c r="J945" s="29" t="str">
        <f>IF(A945="", "", IFERROR(VLOOKUP(A945, 'Master Roster'!A:H, 8, FALSE) - F945, ""))</f>
        <v/>
      </c>
      <c r="K945" s="29" t="s">
        <v>175</v>
      </c>
      <c r="L945" s="29" t="b">
        <v>0</v>
      </c>
      <c r="M945" s="29"/>
      <c r="N945" s="29" t="s">
        <v>175</v>
      </c>
      <c r="O945" s="29" t="str">
        <f>IF(ISBLANK(A945), "", LET(entry_day, VLOOKUP(A945, 'Master Roster'!$A:$G, 7, FALSE), start_date, DATE(E945, MONTH(D945&amp;" 1"), entry_day), end_date, EDATE(start_date, 1), period, TEXT(start_date, "mmm d, yyyy") &amp; " - " &amp; TEXT(end_date, "mmm d, yyyy"), HYPERLINK("https://wa.me/" &amp; VLOOKUP(A945, 'Master Roster'!$A:$F, 6, FALSE) &amp; "?text=" &amp; ENCODEURL("Hello " &amp; IFERROR(IF(VLOOKUP(A945, 'Master Roster'!$A:$J, 10, FALSE)="Male", "Mr. ", "Ms. "), "") &amp; B945 &amp; ", payment of K" &amp; F945 &amp; " received for " &amp; period &amp; ". Receipt No: " &amp; N945), "Send Receipt")))</f>
        <v/>
      </c>
    </row>
    <row r="946">
      <c r="A946" s="29"/>
      <c r="B946" s="29" t="s">
        <v>175</v>
      </c>
      <c r="C946" s="76"/>
      <c r="D946" s="29"/>
      <c r="E946" s="29"/>
      <c r="F946" s="29"/>
      <c r="G946" s="29"/>
      <c r="H946" s="29" t="str">
        <f t="shared" si="1"/>
        <v/>
      </c>
      <c r="I946" s="29" t="str">
        <f t="shared" si="2"/>
        <v/>
      </c>
      <c r="J946" s="29" t="str">
        <f>IF(A946="", "", IFERROR(VLOOKUP(A946, 'Master Roster'!A:H, 8, FALSE) - F946, ""))</f>
        <v/>
      </c>
      <c r="K946" s="29" t="s">
        <v>175</v>
      </c>
      <c r="L946" s="29" t="b">
        <v>0</v>
      </c>
      <c r="M946" s="29"/>
      <c r="N946" s="29" t="s">
        <v>175</v>
      </c>
      <c r="O946" s="29" t="str">
        <f>IF(ISBLANK(A946), "", LET(entry_day, VLOOKUP(A946, 'Master Roster'!$A:$G, 7, FALSE), start_date, DATE(E946, MONTH(D946&amp;" 1"), entry_day), end_date, EDATE(start_date, 1), period, TEXT(start_date, "mmm d, yyyy") &amp; " - " &amp; TEXT(end_date, "mmm d, yyyy"), HYPERLINK("https://wa.me/" &amp; VLOOKUP(A946, 'Master Roster'!$A:$F, 6, FALSE) &amp; "?text=" &amp; ENCODEURL("Hello " &amp; IFERROR(IF(VLOOKUP(A946, 'Master Roster'!$A:$J, 10, FALSE)="Male", "Mr. ", "Ms. "), "") &amp; B946 &amp; ", payment of K" &amp; F946 &amp; " received for " &amp; period &amp; ". Receipt No: " &amp; N946), "Send Receipt")))</f>
        <v/>
      </c>
    </row>
    <row r="947">
      <c r="A947" s="29"/>
      <c r="B947" s="29" t="s">
        <v>175</v>
      </c>
      <c r="C947" s="76"/>
      <c r="D947" s="29"/>
      <c r="E947" s="29"/>
      <c r="F947" s="29"/>
      <c r="G947" s="29"/>
      <c r="H947" s="29" t="str">
        <f t="shared" si="1"/>
        <v/>
      </c>
      <c r="I947" s="29" t="str">
        <f t="shared" si="2"/>
        <v/>
      </c>
      <c r="J947" s="29" t="str">
        <f>IF(A947="", "", IFERROR(VLOOKUP(A947, 'Master Roster'!A:H, 8, FALSE) - F947, ""))</f>
        <v/>
      </c>
      <c r="K947" s="29" t="s">
        <v>175</v>
      </c>
      <c r="L947" s="29" t="b">
        <v>0</v>
      </c>
      <c r="M947" s="29"/>
      <c r="N947" s="29" t="s">
        <v>175</v>
      </c>
      <c r="O947" s="29" t="str">
        <f>IF(ISBLANK(A947), "", LET(entry_day, VLOOKUP(A947, 'Master Roster'!$A:$G, 7, FALSE), start_date, DATE(E947, MONTH(D947&amp;" 1"), entry_day), end_date, EDATE(start_date, 1), period, TEXT(start_date, "mmm d, yyyy") &amp; " - " &amp; TEXT(end_date, "mmm d, yyyy"), HYPERLINK("https://wa.me/" &amp; VLOOKUP(A947, 'Master Roster'!$A:$F, 6, FALSE) &amp; "?text=" &amp; ENCODEURL("Hello " &amp; IFERROR(IF(VLOOKUP(A947, 'Master Roster'!$A:$J, 10, FALSE)="Male", "Mr. ", "Ms. "), "") &amp; B947 &amp; ", payment of K" &amp; F947 &amp; " received for " &amp; period &amp; ". Receipt No: " &amp; N947), "Send Receipt")))</f>
        <v/>
      </c>
    </row>
    <row r="948">
      <c r="A948" s="29"/>
      <c r="B948" s="29" t="s">
        <v>175</v>
      </c>
      <c r="C948" s="76"/>
      <c r="D948" s="29"/>
      <c r="E948" s="29"/>
      <c r="F948" s="29"/>
      <c r="G948" s="29"/>
      <c r="H948" s="29" t="str">
        <f t="shared" si="1"/>
        <v/>
      </c>
      <c r="I948" s="29" t="str">
        <f t="shared" si="2"/>
        <v/>
      </c>
      <c r="J948" s="29" t="str">
        <f>IF(A948="", "", IFERROR(VLOOKUP(A948, 'Master Roster'!A:H, 8, FALSE) - F948, ""))</f>
        <v/>
      </c>
      <c r="K948" s="29" t="s">
        <v>175</v>
      </c>
      <c r="L948" s="29" t="b">
        <v>0</v>
      </c>
      <c r="M948" s="29"/>
      <c r="N948" s="29" t="s">
        <v>175</v>
      </c>
      <c r="O948" s="29" t="str">
        <f>IF(ISBLANK(A948), "", LET(entry_day, VLOOKUP(A948, 'Master Roster'!$A:$G, 7, FALSE), start_date, DATE(E948, MONTH(D948&amp;" 1"), entry_day), end_date, EDATE(start_date, 1), period, TEXT(start_date, "mmm d, yyyy") &amp; " - " &amp; TEXT(end_date, "mmm d, yyyy"), HYPERLINK("https://wa.me/" &amp; VLOOKUP(A948, 'Master Roster'!$A:$F, 6, FALSE) &amp; "?text=" &amp; ENCODEURL("Hello " &amp; IFERROR(IF(VLOOKUP(A948, 'Master Roster'!$A:$J, 10, FALSE)="Male", "Mr. ", "Ms. "), "") &amp; B948 &amp; ", payment of K" &amp; F948 &amp; " received for " &amp; period &amp; ". Receipt No: " &amp; N948), "Send Receipt")))</f>
        <v/>
      </c>
    </row>
    <row r="949">
      <c r="A949" s="29"/>
      <c r="B949" s="29" t="s">
        <v>175</v>
      </c>
      <c r="C949" s="76"/>
      <c r="D949" s="29"/>
      <c r="E949" s="29"/>
      <c r="F949" s="29"/>
      <c r="G949" s="29"/>
      <c r="H949" s="29" t="str">
        <f t="shared" si="1"/>
        <v/>
      </c>
      <c r="I949" s="29" t="str">
        <f t="shared" si="2"/>
        <v/>
      </c>
      <c r="J949" s="29" t="str">
        <f>IF(A949="", "", IFERROR(VLOOKUP(A949, 'Master Roster'!A:H, 8, FALSE) - F949, ""))</f>
        <v/>
      </c>
      <c r="K949" s="29" t="s">
        <v>175</v>
      </c>
      <c r="L949" s="29" t="b">
        <v>0</v>
      </c>
      <c r="M949" s="29"/>
      <c r="N949" s="29" t="s">
        <v>175</v>
      </c>
      <c r="O949" s="29" t="str">
        <f>IF(ISBLANK(A949), "", LET(entry_day, VLOOKUP(A949, 'Master Roster'!$A:$G, 7, FALSE), start_date, DATE(E949, MONTH(D949&amp;" 1"), entry_day), end_date, EDATE(start_date, 1), period, TEXT(start_date, "mmm d, yyyy") &amp; " - " &amp; TEXT(end_date, "mmm d, yyyy"), HYPERLINK("https://wa.me/" &amp; VLOOKUP(A949, 'Master Roster'!$A:$F, 6, FALSE) &amp; "?text=" &amp; ENCODEURL("Hello " &amp; IFERROR(IF(VLOOKUP(A949, 'Master Roster'!$A:$J, 10, FALSE)="Male", "Mr. ", "Ms. "), "") &amp; B949 &amp; ", payment of K" &amp; F949 &amp; " received for " &amp; period &amp; ". Receipt No: " &amp; N949), "Send Receipt")))</f>
        <v/>
      </c>
    </row>
    <row r="950">
      <c r="A950" s="29"/>
      <c r="B950" s="29" t="s">
        <v>175</v>
      </c>
      <c r="C950" s="76"/>
      <c r="D950" s="29"/>
      <c r="E950" s="29"/>
      <c r="F950" s="29"/>
      <c r="G950" s="29"/>
      <c r="H950" s="29" t="str">
        <f t="shared" si="1"/>
        <v/>
      </c>
      <c r="I950" s="29" t="str">
        <f t="shared" si="2"/>
        <v/>
      </c>
      <c r="J950" s="29" t="str">
        <f>IF(A950="", "", IFERROR(VLOOKUP(A950, 'Master Roster'!A:H, 8, FALSE) - F950, ""))</f>
        <v/>
      </c>
      <c r="K950" s="29" t="s">
        <v>175</v>
      </c>
      <c r="L950" s="29" t="b">
        <v>0</v>
      </c>
      <c r="M950" s="29"/>
      <c r="N950" s="29" t="s">
        <v>175</v>
      </c>
      <c r="O950" s="29" t="str">
        <f>IF(ISBLANK(A950), "", LET(entry_day, VLOOKUP(A950, 'Master Roster'!$A:$G, 7, FALSE), start_date, DATE(E950, MONTH(D950&amp;" 1"), entry_day), end_date, EDATE(start_date, 1), period, TEXT(start_date, "mmm d, yyyy") &amp; " - " &amp; TEXT(end_date, "mmm d, yyyy"), HYPERLINK("https://wa.me/" &amp; VLOOKUP(A950, 'Master Roster'!$A:$F, 6, FALSE) &amp; "?text=" &amp; ENCODEURL("Hello " &amp; IFERROR(IF(VLOOKUP(A950, 'Master Roster'!$A:$J, 10, FALSE)="Male", "Mr. ", "Ms. "), "") &amp; B950 &amp; ", payment of K" &amp; F950 &amp; " received for " &amp; period &amp; ". Receipt No: " &amp; N950), "Send Receipt")))</f>
        <v/>
      </c>
    </row>
    <row r="951">
      <c r="A951" s="29"/>
      <c r="B951" s="29" t="s">
        <v>175</v>
      </c>
      <c r="C951" s="76"/>
      <c r="D951" s="29"/>
      <c r="E951" s="29"/>
      <c r="F951" s="29"/>
      <c r="G951" s="29"/>
      <c r="H951" s="29" t="str">
        <f t="shared" si="1"/>
        <v/>
      </c>
      <c r="I951" s="29" t="str">
        <f t="shared" si="2"/>
        <v/>
      </c>
      <c r="J951" s="29" t="str">
        <f>IF(A951="", "", IFERROR(VLOOKUP(A951, 'Master Roster'!A:H, 8, FALSE) - F951, ""))</f>
        <v/>
      </c>
      <c r="K951" s="29" t="s">
        <v>175</v>
      </c>
      <c r="L951" s="29" t="b">
        <v>0</v>
      </c>
      <c r="M951" s="29"/>
      <c r="N951" s="29" t="s">
        <v>175</v>
      </c>
      <c r="O951" s="29" t="str">
        <f>IF(ISBLANK(A951), "", LET(entry_day, VLOOKUP(A951, 'Master Roster'!$A:$G, 7, FALSE), start_date, DATE(E951, MONTH(D951&amp;" 1"), entry_day), end_date, EDATE(start_date, 1), period, TEXT(start_date, "mmm d, yyyy") &amp; " - " &amp; TEXT(end_date, "mmm d, yyyy"), HYPERLINK("https://wa.me/" &amp; VLOOKUP(A951, 'Master Roster'!$A:$F, 6, FALSE) &amp; "?text=" &amp; ENCODEURL("Hello " &amp; IFERROR(IF(VLOOKUP(A951, 'Master Roster'!$A:$J, 10, FALSE)="Male", "Mr. ", "Ms. "), "") &amp; B951 &amp; ", payment of K" &amp; F951 &amp; " received for " &amp; period &amp; ". Receipt No: " &amp; N951), "Send Receipt")))</f>
        <v/>
      </c>
    </row>
    <row r="952">
      <c r="A952" s="29"/>
      <c r="B952" s="29" t="s">
        <v>175</v>
      </c>
      <c r="C952" s="76"/>
      <c r="D952" s="29"/>
      <c r="E952" s="29"/>
      <c r="F952" s="29"/>
      <c r="G952" s="29"/>
      <c r="H952" s="29" t="str">
        <f t="shared" si="1"/>
        <v/>
      </c>
      <c r="I952" s="29" t="str">
        <f t="shared" si="2"/>
        <v/>
      </c>
      <c r="J952" s="29" t="str">
        <f>IF(A952="", "", IFERROR(VLOOKUP(A952, 'Master Roster'!A:H, 8, FALSE) - F952, ""))</f>
        <v/>
      </c>
      <c r="K952" s="29" t="s">
        <v>175</v>
      </c>
      <c r="L952" s="29" t="b">
        <v>0</v>
      </c>
      <c r="M952" s="29"/>
      <c r="N952" s="29" t="s">
        <v>175</v>
      </c>
      <c r="O952" s="29" t="str">
        <f>IF(ISBLANK(A952), "", LET(entry_day, VLOOKUP(A952, 'Master Roster'!$A:$G, 7, FALSE), start_date, DATE(E952, MONTH(D952&amp;" 1"), entry_day), end_date, EDATE(start_date, 1), period, TEXT(start_date, "mmm d, yyyy") &amp; " - " &amp; TEXT(end_date, "mmm d, yyyy"), HYPERLINK("https://wa.me/" &amp; VLOOKUP(A952, 'Master Roster'!$A:$F, 6, FALSE) &amp; "?text=" &amp; ENCODEURL("Hello " &amp; IFERROR(IF(VLOOKUP(A952, 'Master Roster'!$A:$J, 10, FALSE)="Male", "Mr. ", "Ms. "), "") &amp; B952 &amp; ", payment of K" &amp; F952 &amp; " received for " &amp; period &amp; ". Receipt No: " &amp; N952), "Send Receipt")))</f>
        <v/>
      </c>
    </row>
    <row r="953">
      <c r="A953" s="29"/>
      <c r="B953" s="29" t="s">
        <v>175</v>
      </c>
      <c r="C953" s="76"/>
      <c r="D953" s="29"/>
      <c r="E953" s="29"/>
      <c r="F953" s="29"/>
      <c r="G953" s="29"/>
      <c r="H953" s="29" t="str">
        <f t="shared" si="1"/>
        <v/>
      </c>
      <c r="I953" s="29" t="str">
        <f t="shared" si="2"/>
        <v/>
      </c>
      <c r="J953" s="29" t="str">
        <f>IF(A953="", "", IFERROR(VLOOKUP(A953, 'Master Roster'!A:H, 8, FALSE) - F953, ""))</f>
        <v/>
      </c>
      <c r="K953" s="29" t="s">
        <v>175</v>
      </c>
      <c r="L953" s="29" t="b">
        <v>0</v>
      </c>
      <c r="M953" s="29"/>
      <c r="N953" s="29" t="s">
        <v>175</v>
      </c>
      <c r="O953" s="29" t="str">
        <f>IF(ISBLANK(A953), "", LET(entry_day, VLOOKUP(A953, 'Master Roster'!$A:$G, 7, FALSE), start_date, DATE(E953, MONTH(D953&amp;" 1"), entry_day), end_date, EDATE(start_date, 1), period, TEXT(start_date, "mmm d, yyyy") &amp; " - " &amp; TEXT(end_date, "mmm d, yyyy"), HYPERLINK("https://wa.me/" &amp; VLOOKUP(A953, 'Master Roster'!$A:$F, 6, FALSE) &amp; "?text=" &amp; ENCODEURL("Hello " &amp; IFERROR(IF(VLOOKUP(A953, 'Master Roster'!$A:$J, 10, FALSE)="Male", "Mr. ", "Ms. "), "") &amp; B953 &amp; ", payment of K" &amp; F953 &amp; " received for " &amp; period &amp; ". Receipt No: " &amp; N953), "Send Receipt")))</f>
        <v/>
      </c>
    </row>
    <row r="954">
      <c r="A954" s="29"/>
      <c r="B954" s="29" t="s">
        <v>175</v>
      </c>
      <c r="C954" s="76"/>
      <c r="D954" s="29"/>
      <c r="E954" s="29"/>
      <c r="F954" s="29"/>
      <c r="G954" s="29"/>
      <c r="H954" s="29" t="str">
        <f t="shared" si="1"/>
        <v/>
      </c>
      <c r="I954" s="29" t="str">
        <f t="shared" si="2"/>
        <v/>
      </c>
      <c r="J954" s="29" t="str">
        <f>IF(A954="", "", IFERROR(VLOOKUP(A954, 'Master Roster'!A:H, 8, FALSE) - F954, ""))</f>
        <v/>
      </c>
      <c r="K954" s="29" t="s">
        <v>175</v>
      </c>
      <c r="L954" s="29" t="b">
        <v>0</v>
      </c>
      <c r="M954" s="29"/>
      <c r="N954" s="29" t="s">
        <v>175</v>
      </c>
      <c r="O954" s="29" t="str">
        <f>IF(ISBLANK(A954), "", LET(entry_day, VLOOKUP(A954, 'Master Roster'!$A:$G, 7, FALSE), start_date, DATE(E954, MONTH(D954&amp;" 1"), entry_day), end_date, EDATE(start_date, 1), period, TEXT(start_date, "mmm d, yyyy") &amp; " - " &amp; TEXT(end_date, "mmm d, yyyy"), HYPERLINK("https://wa.me/" &amp; VLOOKUP(A954, 'Master Roster'!$A:$F, 6, FALSE) &amp; "?text=" &amp; ENCODEURL("Hello " &amp; IFERROR(IF(VLOOKUP(A954, 'Master Roster'!$A:$J, 10, FALSE)="Male", "Mr. ", "Ms. "), "") &amp; B954 &amp; ", payment of K" &amp; F954 &amp; " received for " &amp; period &amp; ". Receipt No: " &amp; N954), "Send Receipt")))</f>
        <v/>
      </c>
    </row>
    <row r="955">
      <c r="A955" s="29"/>
      <c r="B955" s="29" t="s">
        <v>175</v>
      </c>
      <c r="C955" s="76"/>
      <c r="D955" s="29"/>
      <c r="E955" s="29"/>
      <c r="F955" s="29"/>
      <c r="G955" s="29"/>
      <c r="H955" s="29" t="str">
        <f t="shared" si="1"/>
        <v/>
      </c>
      <c r="I955" s="29" t="str">
        <f t="shared" si="2"/>
        <v/>
      </c>
      <c r="J955" s="29" t="str">
        <f>IF(A955="", "", IFERROR(VLOOKUP(A955, 'Master Roster'!A:H, 8, FALSE) - F955, ""))</f>
        <v/>
      </c>
      <c r="K955" s="29" t="s">
        <v>175</v>
      </c>
      <c r="L955" s="29" t="b">
        <v>0</v>
      </c>
      <c r="M955" s="29"/>
      <c r="N955" s="29" t="s">
        <v>175</v>
      </c>
      <c r="O955" s="29" t="str">
        <f>IF(ISBLANK(A955), "", LET(entry_day, VLOOKUP(A955, 'Master Roster'!$A:$G, 7, FALSE), start_date, DATE(E955, MONTH(D955&amp;" 1"), entry_day), end_date, EDATE(start_date, 1), period, TEXT(start_date, "mmm d, yyyy") &amp; " - " &amp; TEXT(end_date, "mmm d, yyyy"), HYPERLINK("https://wa.me/" &amp; VLOOKUP(A955, 'Master Roster'!$A:$F, 6, FALSE) &amp; "?text=" &amp; ENCODEURL("Hello " &amp; IFERROR(IF(VLOOKUP(A955, 'Master Roster'!$A:$J, 10, FALSE)="Male", "Mr. ", "Ms. "), "") &amp; B955 &amp; ", payment of K" &amp; F955 &amp; " received for " &amp; period &amp; ". Receipt No: " &amp; N955), "Send Receipt")))</f>
        <v/>
      </c>
    </row>
    <row r="956">
      <c r="A956" s="29"/>
      <c r="B956" s="29" t="s">
        <v>175</v>
      </c>
      <c r="C956" s="76"/>
      <c r="D956" s="29"/>
      <c r="E956" s="29"/>
      <c r="F956" s="29"/>
      <c r="G956" s="29"/>
      <c r="H956" s="29" t="str">
        <f t="shared" si="1"/>
        <v/>
      </c>
      <c r="I956" s="29" t="str">
        <f t="shared" si="2"/>
        <v/>
      </c>
      <c r="J956" s="29" t="str">
        <f>IF(A956="", "", IFERROR(VLOOKUP(A956, 'Master Roster'!A:H, 8, FALSE) - F956, ""))</f>
        <v/>
      </c>
      <c r="K956" s="29" t="s">
        <v>175</v>
      </c>
      <c r="L956" s="29" t="b">
        <v>0</v>
      </c>
      <c r="M956" s="29"/>
      <c r="N956" s="29" t="s">
        <v>175</v>
      </c>
      <c r="O956" s="29" t="str">
        <f>IF(ISBLANK(A956), "", LET(entry_day, VLOOKUP(A956, 'Master Roster'!$A:$G, 7, FALSE), start_date, DATE(E956, MONTH(D956&amp;" 1"), entry_day), end_date, EDATE(start_date, 1), period, TEXT(start_date, "mmm d, yyyy") &amp; " - " &amp; TEXT(end_date, "mmm d, yyyy"), HYPERLINK("https://wa.me/" &amp; VLOOKUP(A956, 'Master Roster'!$A:$F, 6, FALSE) &amp; "?text=" &amp; ENCODEURL("Hello " &amp; IFERROR(IF(VLOOKUP(A956, 'Master Roster'!$A:$J, 10, FALSE)="Male", "Mr. ", "Ms. "), "") &amp; B956 &amp; ", payment of K" &amp; F956 &amp; " received for " &amp; period &amp; ". Receipt No: " &amp; N956), "Send Receipt")))</f>
        <v/>
      </c>
    </row>
    <row r="957">
      <c r="A957" s="29"/>
      <c r="B957" s="29" t="s">
        <v>175</v>
      </c>
      <c r="C957" s="76"/>
      <c r="D957" s="29"/>
      <c r="E957" s="29"/>
      <c r="F957" s="29"/>
      <c r="G957" s="29"/>
      <c r="H957" s="29" t="str">
        <f t="shared" si="1"/>
        <v/>
      </c>
      <c r="I957" s="29" t="str">
        <f t="shared" si="2"/>
        <v/>
      </c>
      <c r="J957" s="29" t="str">
        <f>IF(A957="", "", IFERROR(VLOOKUP(A957, 'Master Roster'!A:H, 8, FALSE) - F957, ""))</f>
        <v/>
      </c>
      <c r="K957" s="29" t="s">
        <v>175</v>
      </c>
      <c r="L957" s="29" t="b">
        <v>0</v>
      </c>
      <c r="M957" s="29"/>
      <c r="N957" s="29" t="s">
        <v>175</v>
      </c>
      <c r="O957" s="29" t="str">
        <f>IF(ISBLANK(A957), "", LET(entry_day, VLOOKUP(A957, 'Master Roster'!$A:$G, 7, FALSE), start_date, DATE(E957, MONTH(D957&amp;" 1"), entry_day), end_date, EDATE(start_date, 1), period, TEXT(start_date, "mmm d, yyyy") &amp; " - " &amp; TEXT(end_date, "mmm d, yyyy"), HYPERLINK("https://wa.me/" &amp; VLOOKUP(A957, 'Master Roster'!$A:$F, 6, FALSE) &amp; "?text=" &amp; ENCODEURL("Hello " &amp; IFERROR(IF(VLOOKUP(A957, 'Master Roster'!$A:$J, 10, FALSE)="Male", "Mr. ", "Ms. "), "") &amp; B957 &amp; ", payment of K" &amp; F957 &amp; " received for " &amp; period &amp; ". Receipt No: " &amp; N957), "Send Receipt")))</f>
        <v/>
      </c>
    </row>
    <row r="958">
      <c r="A958" s="29"/>
      <c r="B958" s="29" t="s">
        <v>175</v>
      </c>
      <c r="C958" s="76"/>
      <c r="D958" s="29"/>
      <c r="E958" s="29"/>
      <c r="F958" s="29"/>
      <c r="G958" s="29"/>
      <c r="H958" s="29" t="str">
        <f t="shared" si="1"/>
        <v/>
      </c>
      <c r="I958" s="29" t="str">
        <f t="shared" si="2"/>
        <v/>
      </c>
      <c r="J958" s="29" t="str">
        <f>IF(A958="", "", IFERROR(VLOOKUP(A958, 'Master Roster'!A:H, 8, FALSE) - F958, ""))</f>
        <v/>
      </c>
      <c r="K958" s="29" t="s">
        <v>175</v>
      </c>
      <c r="L958" s="29" t="b">
        <v>0</v>
      </c>
      <c r="M958" s="29"/>
      <c r="N958" s="29" t="s">
        <v>175</v>
      </c>
      <c r="O958" s="29" t="str">
        <f>IF(ISBLANK(A958), "", LET(entry_day, VLOOKUP(A958, 'Master Roster'!$A:$G, 7, FALSE), start_date, DATE(E958, MONTH(D958&amp;" 1"), entry_day), end_date, EDATE(start_date, 1), period, TEXT(start_date, "mmm d, yyyy") &amp; " - " &amp; TEXT(end_date, "mmm d, yyyy"), HYPERLINK("https://wa.me/" &amp; VLOOKUP(A958, 'Master Roster'!$A:$F, 6, FALSE) &amp; "?text=" &amp; ENCODEURL("Hello " &amp; IFERROR(IF(VLOOKUP(A958, 'Master Roster'!$A:$J, 10, FALSE)="Male", "Mr. ", "Ms. "), "") &amp; B958 &amp; ", payment of K" &amp; F958 &amp; " received for " &amp; period &amp; ". Receipt No: " &amp; N958), "Send Receipt")))</f>
        <v/>
      </c>
    </row>
    <row r="959">
      <c r="A959" s="29"/>
      <c r="B959" s="29" t="s">
        <v>175</v>
      </c>
      <c r="C959" s="76"/>
      <c r="D959" s="29"/>
      <c r="E959" s="29"/>
      <c r="F959" s="29"/>
      <c r="G959" s="29"/>
      <c r="H959" s="29" t="str">
        <f t="shared" si="1"/>
        <v/>
      </c>
      <c r="I959" s="29" t="str">
        <f t="shared" si="2"/>
        <v/>
      </c>
      <c r="J959" s="29" t="str">
        <f>IF(A959="", "", IFERROR(VLOOKUP(A959, 'Master Roster'!A:H, 8, FALSE) - F959, ""))</f>
        <v/>
      </c>
      <c r="K959" s="29" t="s">
        <v>175</v>
      </c>
      <c r="L959" s="29" t="b">
        <v>0</v>
      </c>
      <c r="M959" s="29"/>
      <c r="N959" s="29" t="s">
        <v>175</v>
      </c>
      <c r="O959" s="29" t="str">
        <f>IF(ISBLANK(A959), "", LET(entry_day, VLOOKUP(A959, 'Master Roster'!$A:$G, 7, FALSE), start_date, DATE(E959, MONTH(D959&amp;" 1"), entry_day), end_date, EDATE(start_date, 1), period, TEXT(start_date, "mmm d, yyyy") &amp; " - " &amp; TEXT(end_date, "mmm d, yyyy"), HYPERLINK("https://wa.me/" &amp; VLOOKUP(A959, 'Master Roster'!$A:$F, 6, FALSE) &amp; "?text=" &amp; ENCODEURL("Hello " &amp; IFERROR(IF(VLOOKUP(A959, 'Master Roster'!$A:$J, 10, FALSE)="Male", "Mr. ", "Ms. "), "") &amp; B959 &amp; ", payment of K" &amp; F959 &amp; " received for " &amp; period &amp; ". Receipt No: " &amp; N959), "Send Receipt")))</f>
        <v/>
      </c>
    </row>
    <row r="960">
      <c r="A960" s="29"/>
      <c r="B960" s="29" t="s">
        <v>175</v>
      </c>
      <c r="C960" s="76"/>
      <c r="D960" s="29"/>
      <c r="E960" s="29"/>
      <c r="F960" s="29"/>
      <c r="G960" s="29"/>
      <c r="H960" s="29" t="str">
        <f t="shared" si="1"/>
        <v/>
      </c>
      <c r="I960" s="29" t="str">
        <f t="shared" si="2"/>
        <v/>
      </c>
      <c r="J960" s="29" t="str">
        <f>IF(A960="", "", IFERROR(VLOOKUP(A960, 'Master Roster'!A:H, 8, FALSE) - F960, ""))</f>
        <v/>
      </c>
      <c r="K960" s="29" t="s">
        <v>175</v>
      </c>
      <c r="L960" s="29" t="b">
        <v>0</v>
      </c>
      <c r="M960" s="29"/>
      <c r="N960" s="29" t="s">
        <v>175</v>
      </c>
      <c r="O960" s="29" t="str">
        <f>IF(ISBLANK(A960), "", LET(entry_day, VLOOKUP(A960, 'Master Roster'!$A:$G, 7, FALSE), start_date, DATE(E960, MONTH(D960&amp;" 1"), entry_day), end_date, EDATE(start_date, 1), period, TEXT(start_date, "mmm d, yyyy") &amp; " - " &amp; TEXT(end_date, "mmm d, yyyy"), HYPERLINK("https://wa.me/" &amp; VLOOKUP(A960, 'Master Roster'!$A:$F, 6, FALSE) &amp; "?text=" &amp; ENCODEURL("Hello " &amp; IFERROR(IF(VLOOKUP(A960, 'Master Roster'!$A:$J, 10, FALSE)="Male", "Mr. ", "Ms. "), "") &amp; B960 &amp; ", payment of K" &amp; F960 &amp; " received for " &amp; period &amp; ". Receipt No: " &amp; N960), "Send Receipt")))</f>
        <v/>
      </c>
    </row>
    <row r="961">
      <c r="A961" s="29"/>
      <c r="B961" s="29" t="s">
        <v>175</v>
      </c>
      <c r="C961" s="76"/>
      <c r="D961" s="29"/>
      <c r="E961" s="29"/>
      <c r="F961" s="29"/>
      <c r="G961" s="29"/>
      <c r="H961" s="29" t="str">
        <f t="shared" si="1"/>
        <v/>
      </c>
      <c r="I961" s="29" t="str">
        <f t="shared" si="2"/>
        <v/>
      </c>
      <c r="J961" s="29" t="str">
        <f>IF(A961="", "", IFERROR(VLOOKUP(A961, 'Master Roster'!A:H, 8, FALSE) - F961, ""))</f>
        <v/>
      </c>
      <c r="K961" s="29" t="s">
        <v>175</v>
      </c>
      <c r="L961" s="29" t="b">
        <v>0</v>
      </c>
      <c r="M961" s="29"/>
      <c r="N961" s="29" t="s">
        <v>175</v>
      </c>
      <c r="O961" s="29" t="str">
        <f>IF(ISBLANK(A961), "", LET(entry_day, VLOOKUP(A961, 'Master Roster'!$A:$G, 7, FALSE), start_date, DATE(E961, MONTH(D961&amp;" 1"), entry_day), end_date, EDATE(start_date, 1), period, TEXT(start_date, "mmm d, yyyy") &amp; " - " &amp; TEXT(end_date, "mmm d, yyyy"), HYPERLINK("https://wa.me/" &amp; VLOOKUP(A961, 'Master Roster'!$A:$F, 6, FALSE) &amp; "?text=" &amp; ENCODEURL("Hello " &amp; IFERROR(IF(VLOOKUP(A961, 'Master Roster'!$A:$J, 10, FALSE)="Male", "Mr. ", "Ms. "), "") &amp; B961 &amp; ", payment of K" &amp; F961 &amp; " received for " &amp; period &amp; ". Receipt No: " &amp; N961), "Send Receipt")))</f>
        <v/>
      </c>
    </row>
    <row r="962">
      <c r="A962" s="29"/>
      <c r="B962" s="29" t="s">
        <v>175</v>
      </c>
      <c r="C962" s="76"/>
      <c r="D962" s="29"/>
      <c r="E962" s="29"/>
      <c r="F962" s="29"/>
      <c r="G962" s="29"/>
      <c r="H962" s="29" t="str">
        <f t="shared" si="1"/>
        <v/>
      </c>
      <c r="I962" s="29" t="str">
        <f t="shared" si="2"/>
        <v/>
      </c>
      <c r="J962" s="29" t="str">
        <f>IF(A962="", "", IFERROR(VLOOKUP(A962, 'Master Roster'!A:H, 8, FALSE) - F962, ""))</f>
        <v/>
      </c>
      <c r="K962" s="29" t="s">
        <v>175</v>
      </c>
      <c r="L962" s="29" t="b">
        <v>0</v>
      </c>
      <c r="M962" s="29"/>
      <c r="N962" s="29" t="s">
        <v>175</v>
      </c>
      <c r="O962" s="29" t="str">
        <f>IF(ISBLANK(A962), "", LET(entry_day, VLOOKUP(A962, 'Master Roster'!$A:$G, 7, FALSE), start_date, DATE(E962, MONTH(D962&amp;" 1"), entry_day), end_date, EDATE(start_date, 1), period, TEXT(start_date, "mmm d, yyyy") &amp; " - " &amp; TEXT(end_date, "mmm d, yyyy"), HYPERLINK("https://wa.me/" &amp; VLOOKUP(A962, 'Master Roster'!$A:$F, 6, FALSE) &amp; "?text=" &amp; ENCODEURL("Hello " &amp; IFERROR(IF(VLOOKUP(A962, 'Master Roster'!$A:$J, 10, FALSE)="Male", "Mr. ", "Ms. "), "") &amp; B962 &amp; ", payment of K" &amp; F962 &amp; " received for " &amp; period &amp; ". Receipt No: " &amp; N962), "Send Receipt")))</f>
        <v/>
      </c>
    </row>
    <row r="963">
      <c r="A963" s="29"/>
      <c r="B963" s="29" t="s">
        <v>175</v>
      </c>
      <c r="C963" s="76"/>
      <c r="D963" s="29"/>
      <c r="E963" s="29"/>
      <c r="F963" s="29"/>
      <c r="G963" s="29"/>
      <c r="H963" s="29" t="str">
        <f t="shared" si="1"/>
        <v/>
      </c>
      <c r="I963" s="29" t="str">
        <f t="shared" si="2"/>
        <v/>
      </c>
      <c r="J963" s="29" t="str">
        <f>IF(A963="", "", IFERROR(VLOOKUP(A963, 'Master Roster'!A:H, 8, FALSE) - F963, ""))</f>
        <v/>
      </c>
      <c r="K963" s="29" t="s">
        <v>175</v>
      </c>
      <c r="L963" s="29" t="b">
        <v>0</v>
      </c>
      <c r="M963" s="29"/>
      <c r="N963" s="29" t="s">
        <v>175</v>
      </c>
      <c r="O963" s="29" t="str">
        <f>IF(ISBLANK(A963), "", LET(entry_day, VLOOKUP(A963, 'Master Roster'!$A:$G, 7, FALSE), start_date, DATE(E963, MONTH(D963&amp;" 1"), entry_day), end_date, EDATE(start_date, 1), period, TEXT(start_date, "mmm d, yyyy") &amp; " - " &amp; TEXT(end_date, "mmm d, yyyy"), HYPERLINK("https://wa.me/" &amp; VLOOKUP(A963, 'Master Roster'!$A:$F, 6, FALSE) &amp; "?text=" &amp; ENCODEURL("Hello " &amp; IFERROR(IF(VLOOKUP(A963, 'Master Roster'!$A:$J, 10, FALSE)="Male", "Mr. ", "Ms. "), "") &amp; B963 &amp; ", payment of K" &amp; F963 &amp; " received for " &amp; period &amp; ". Receipt No: " &amp; N963), "Send Receipt")))</f>
        <v/>
      </c>
    </row>
    <row r="964">
      <c r="A964" s="29"/>
      <c r="B964" s="29" t="s">
        <v>175</v>
      </c>
      <c r="C964" s="76"/>
      <c r="D964" s="29"/>
      <c r="E964" s="29"/>
      <c r="F964" s="29"/>
      <c r="G964" s="29"/>
      <c r="H964" s="29" t="str">
        <f t="shared" si="1"/>
        <v/>
      </c>
      <c r="I964" s="29" t="str">
        <f t="shared" si="2"/>
        <v/>
      </c>
      <c r="J964" s="29" t="str">
        <f>IF(A964="", "", IFERROR(VLOOKUP(A964, 'Master Roster'!A:H, 8, FALSE) - F964, ""))</f>
        <v/>
      </c>
      <c r="K964" s="29" t="s">
        <v>175</v>
      </c>
      <c r="L964" s="29" t="b">
        <v>0</v>
      </c>
      <c r="M964" s="29"/>
      <c r="N964" s="29" t="s">
        <v>175</v>
      </c>
      <c r="O964" s="29" t="str">
        <f>IF(ISBLANK(A964), "", LET(entry_day, VLOOKUP(A964, 'Master Roster'!$A:$G, 7, FALSE), start_date, DATE(E964, MONTH(D964&amp;" 1"), entry_day), end_date, EDATE(start_date, 1), period, TEXT(start_date, "mmm d, yyyy") &amp; " - " &amp; TEXT(end_date, "mmm d, yyyy"), HYPERLINK("https://wa.me/" &amp; VLOOKUP(A964, 'Master Roster'!$A:$F, 6, FALSE) &amp; "?text=" &amp; ENCODEURL("Hello " &amp; IFERROR(IF(VLOOKUP(A964, 'Master Roster'!$A:$J, 10, FALSE)="Male", "Mr. ", "Ms. "), "") &amp; B964 &amp; ", payment of K" &amp; F964 &amp; " received for " &amp; period &amp; ". Receipt No: " &amp; N964), "Send Receipt")))</f>
        <v/>
      </c>
    </row>
    <row r="965">
      <c r="A965" s="29"/>
      <c r="B965" s="29" t="s">
        <v>175</v>
      </c>
      <c r="C965" s="76"/>
      <c r="D965" s="29"/>
      <c r="E965" s="29"/>
      <c r="F965" s="29"/>
      <c r="G965" s="29"/>
      <c r="H965" s="29" t="str">
        <f t="shared" si="1"/>
        <v/>
      </c>
      <c r="I965" s="29" t="str">
        <f t="shared" si="2"/>
        <v/>
      </c>
      <c r="J965" s="29" t="str">
        <f>IF(A965="", "", IFERROR(VLOOKUP(A965, 'Master Roster'!A:H, 8, FALSE) - F965, ""))</f>
        <v/>
      </c>
      <c r="K965" s="29" t="s">
        <v>175</v>
      </c>
      <c r="L965" s="29" t="b">
        <v>0</v>
      </c>
      <c r="M965" s="29"/>
      <c r="N965" s="29" t="s">
        <v>175</v>
      </c>
      <c r="O965" s="29" t="str">
        <f>IF(ISBLANK(A965), "", LET(entry_day, VLOOKUP(A965, 'Master Roster'!$A:$G, 7, FALSE), start_date, DATE(E965, MONTH(D965&amp;" 1"), entry_day), end_date, EDATE(start_date, 1), period, TEXT(start_date, "mmm d, yyyy") &amp; " - " &amp; TEXT(end_date, "mmm d, yyyy"), HYPERLINK("https://wa.me/" &amp; VLOOKUP(A965, 'Master Roster'!$A:$F, 6, FALSE) &amp; "?text=" &amp; ENCODEURL("Hello " &amp; IFERROR(IF(VLOOKUP(A965, 'Master Roster'!$A:$J, 10, FALSE)="Male", "Mr. ", "Ms. "), "") &amp; B965 &amp; ", payment of K" &amp; F965 &amp; " received for " &amp; period &amp; ". Receipt No: " &amp; N965), "Send Receipt")))</f>
        <v/>
      </c>
    </row>
    <row r="966">
      <c r="A966" s="29"/>
      <c r="B966" s="29" t="s">
        <v>175</v>
      </c>
      <c r="C966" s="76"/>
      <c r="D966" s="29"/>
      <c r="E966" s="29"/>
      <c r="F966" s="29"/>
      <c r="G966" s="29"/>
      <c r="H966" s="29" t="str">
        <f t="shared" si="1"/>
        <v/>
      </c>
      <c r="I966" s="29" t="str">
        <f t="shared" si="2"/>
        <v/>
      </c>
      <c r="J966" s="29" t="str">
        <f>IF(A966="", "", IFERROR(VLOOKUP(A966, 'Master Roster'!A:H, 8, FALSE) - F966, ""))</f>
        <v/>
      </c>
      <c r="K966" s="29" t="s">
        <v>175</v>
      </c>
      <c r="L966" s="29" t="b">
        <v>0</v>
      </c>
      <c r="M966" s="29"/>
      <c r="N966" s="29" t="s">
        <v>175</v>
      </c>
      <c r="O966" s="29" t="str">
        <f>IF(ISBLANK(A966), "", LET(entry_day, VLOOKUP(A966, 'Master Roster'!$A:$G, 7, FALSE), start_date, DATE(E966, MONTH(D966&amp;" 1"), entry_day), end_date, EDATE(start_date, 1), period, TEXT(start_date, "mmm d, yyyy") &amp; " - " &amp; TEXT(end_date, "mmm d, yyyy"), HYPERLINK("https://wa.me/" &amp; VLOOKUP(A966, 'Master Roster'!$A:$F, 6, FALSE) &amp; "?text=" &amp; ENCODEURL("Hello " &amp; IFERROR(IF(VLOOKUP(A966, 'Master Roster'!$A:$J, 10, FALSE)="Male", "Mr. ", "Ms. "), "") &amp; B966 &amp; ", payment of K" &amp; F966 &amp; " received for " &amp; period &amp; ". Receipt No: " &amp; N966), "Send Receipt")))</f>
        <v/>
      </c>
    </row>
    <row r="967">
      <c r="A967" s="29"/>
      <c r="B967" s="29" t="s">
        <v>175</v>
      </c>
      <c r="C967" s="76"/>
      <c r="D967" s="29"/>
      <c r="E967" s="29"/>
      <c r="F967" s="29"/>
      <c r="G967" s="29"/>
      <c r="H967" s="29" t="str">
        <f t="shared" si="1"/>
        <v/>
      </c>
      <c r="I967" s="29" t="str">
        <f t="shared" si="2"/>
        <v/>
      </c>
      <c r="J967" s="29" t="str">
        <f>IF(A967="", "", IFERROR(VLOOKUP(A967, 'Master Roster'!A:H, 8, FALSE) - F967, ""))</f>
        <v/>
      </c>
      <c r="K967" s="29" t="s">
        <v>175</v>
      </c>
      <c r="L967" s="29" t="b">
        <v>0</v>
      </c>
      <c r="M967" s="29"/>
      <c r="N967" s="29" t="s">
        <v>175</v>
      </c>
      <c r="O967" s="29" t="str">
        <f>IF(ISBLANK(A967), "", LET(entry_day, VLOOKUP(A967, 'Master Roster'!$A:$G, 7, FALSE), start_date, DATE(E967, MONTH(D967&amp;" 1"), entry_day), end_date, EDATE(start_date, 1), period, TEXT(start_date, "mmm d, yyyy") &amp; " - " &amp; TEXT(end_date, "mmm d, yyyy"), HYPERLINK("https://wa.me/" &amp; VLOOKUP(A967, 'Master Roster'!$A:$F, 6, FALSE) &amp; "?text=" &amp; ENCODEURL("Hello " &amp; IFERROR(IF(VLOOKUP(A967, 'Master Roster'!$A:$J, 10, FALSE)="Male", "Mr. ", "Ms. "), "") &amp; B967 &amp; ", payment of K" &amp; F967 &amp; " received for " &amp; period &amp; ". Receipt No: " &amp; N967), "Send Receipt")))</f>
        <v/>
      </c>
    </row>
    <row r="968">
      <c r="A968" s="29"/>
      <c r="B968" s="29" t="s">
        <v>175</v>
      </c>
      <c r="C968" s="76"/>
      <c r="D968" s="29"/>
      <c r="E968" s="29"/>
      <c r="F968" s="29"/>
      <c r="G968" s="29"/>
      <c r="H968" s="29" t="str">
        <f t="shared" si="1"/>
        <v/>
      </c>
      <c r="I968" s="29" t="str">
        <f t="shared" si="2"/>
        <v/>
      </c>
      <c r="J968" s="29" t="str">
        <f>IF(A968="", "", IFERROR(VLOOKUP(A968, 'Master Roster'!A:H, 8, FALSE) - F968, ""))</f>
        <v/>
      </c>
      <c r="K968" s="29" t="s">
        <v>175</v>
      </c>
      <c r="L968" s="29" t="b">
        <v>0</v>
      </c>
      <c r="M968" s="29"/>
      <c r="N968" s="29" t="s">
        <v>175</v>
      </c>
      <c r="O968" s="29" t="str">
        <f>IF(ISBLANK(A968), "", LET(entry_day, VLOOKUP(A968, 'Master Roster'!$A:$G, 7, FALSE), start_date, DATE(E968, MONTH(D968&amp;" 1"), entry_day), end_date, EDATE(start_date, 1), period, TEXT(start_date, "mmm d, yyyy") &amp; " - " &amp; TEXT(end_date, "mmm d, yyyy"), HYPERLINK("https://wa.me/" &amp; VLOOKUP(A968, 'Master Roster'!$A:$F, 6, FALSE) &amp; "?text=" &amp; ENCODEURL("Hello " &amp; IFERROR(IF(VLOOKUP(A968, 'Master Roster'!$A:$J, 10, FALSE)="Male", "Mr. ", "Ms. "), "") &amp; B968 &amp; ", payment of K" &amp; F968 &amp; " received for " &amp; period &amp; ". Receipt No: " &amp; N968), "Send Receipt")))</f>
        <v/>
      </c>
    </row>
    <row r="969">
      <c r="A969" s="29"/>
      <c r="B969" s="29" t="s">
        <v>175</v>
      </c>
      <c r="C969" s="76"/>
      <c r="D969" s="29"/>
      <c r="E969" s="29"/>
      <c r="F969" s="29"/>
      <c r="G969" s="29"/>
      <c r="H969" s="29" t="str">
        <f t="shared" si="1"/>
        <v/>
      </c>
      <c r="I969" s="29" t="str">
        <f t="shared" si="2"/>
        <v/>
      </c>
      <c r="J969" s="29" t="str">
        <f>IF(A969="", "", IFERROR(VLOOKUP(A969, 'Master Roster'!A:H, 8, FALSE) - F969, ""))</f>
        <v/>
      </c>
      <c r="K969" s="29" t="s">
        <v>175</v>
      </c>
      <c r="L969" s="29" t="b">
        <v>0</v>
      </c>
      <c r="M969" s="29"/>
      <c r="N969" s="29" t="s">
        <v>175</v>
      </c>
      <c r="O969" s="29" t="str">
        <f>IF(ISBLANK(A969), "", LET(entry_day, VLOOKUP(A969, 'Master Roster'!$A:$G, 7, FALSE), start_date, DATE(E969, MONTH(D969&amp;" 1"), entry_day), end_date, EDATE(start_date, 1), period, TEXT(start_date, "mmm d, yyyy") &amp; " - " &amp; TEXT(end_date, "mmm d, yyyy"), HYPERLINK("https://wa.me/" &amp; VLOOKUP(A969, 'Master Roster'!$A:$F, 6, FALSE) &amp; "?text=" &amp; ENCODEURL("Hello " &amp; IFERROR(IF(VLOOKUP(A969, 'Master Roster'!$A:$J, 10, FALSE)="Male", "Mr. ", "Ms. "), "") &amp; B969 &amp; ", payment of K" &amp; F969 &amp; " received for " &amp; period &amp; ". Receipt No: " &amp; N969), "Send Receipt")))</f>
        <v/>
      </c>
    </row>
    <row r="970">
      <c r="A970" s="29"/>
      <c r="B970" s="29" t="s">
        <v>175</v>
      </c>
      <c r="C970" s="76"/>
      <c r="D970" s="29"/>
      <c r="E970" s="29"/>
      <c r="F970" s="29"/>
      <c r="G970" s="29"/>
      <c r="H970" s="29" t="str">
        <f t="shared" si="1"/>
        <v/>
      </c>
      <c r="I970" s="29" t="str">
        <f t="shared" si="2"/>
        <v/>
      </c>
      <c r="J970" s="29" t="str">
        <f>IF(A970="", "", IFERROR(VLOOKUP(A970, 'Master Roster'!A:H, 8, FALSE) - F970, ""))</f>
        <v/>
      </c>
      <c r="K970" s="29" t="s">
        <v>175</v>
      </c>
      <c r="L970" s="29" t="b">
        <v>0</v>
      </c>
      <c r="M970" s="29"/>
      <c r="N970" s="29" t="s">
        <v>175</v>
      </c>
      <c r="O970" s="29" t="str">
        <f>IF(ISBLANK(A970), "", LET(entry_day, VLOOKUP(A970, 'Master Roster'!$A:$G, 7, FALSE), start_date, DATE(E970, MONTH(D970&amp;" 1"), entry_day), end_date, EDATE(start_date, 1), period, TEXT(start_date, "mmm d, yyyy") &amp; " - " &amp; TEXT(end_date, "mmm d, yyyy"), HYPERLINK("https://wa.me/" &amp; VLOOKUP(A970, 'Master Roster'!$A:$F, 6, FALSE) &amp; "?text=" &amp; ENCODEURL("Hello " &amp; IFERROR(IF(VLOOKUP(A970, 'Master Roster'!$A:$J, 10, FALSE)="Male", "Mr. ", "Ms. "), "") &amp; B970 &amp; ", payment of K" &amp; F970 &amp; " received for " &amp; period &amp; ". Receipt No: " &amp; N970), "Send Receipt")))</f>
        <v/>
      </c>
    </row>
    <row r="971">
      <c r="A971" s="29"/>
      <c r="B971" s="29" t="s">
        <v>175</v>
      </c>
      <c r="C971" s="76"/>
      <c r="D971" s="29"/>
      <c r="E971" s="29"/>
      <c r="F971" s="29"/>
      <c r="G971" s="29"/>
      <c r="H971" s="29" t="str">
        <f t="shared" si="1"/>
        <v/>
      </c>
      <c r="I971" s="29" t="str">
        <f t="shared" si="2"/>
        <v/>
      </c>
      <c r="J971" s="29" t="str">
        <f>IF(A971="", "", IFERROR(VLOOKUP(A971, 'Master Roster'!A:H, 8, FALSE) - F971, ""))</f>
        <v/>
      </c>
      <c r="K971" s="29" t="s">
        <v>175</v>
      </c>
      <c r="L971" s="29" t="b">
        <v>0</v>
      </c>
      <c r="M971" s="29"/>
      <c r="N971" s="29" t="s">
        <v>175</v>
      </c>
      <c r="O971" s="29" t="str">
        <f>IF(ISBLANK(A971), "", LET(entry_day, VLOOKUP(A971, 'Master Roster'!$A:$G, 7, FALSE), start_date, DATE(E971, MONTH(D971&amp;" 1"), entry_day), end_date, EDATE(start_date, 1), period, TEXT(start_date, "mmm d, yyyy") &amp; " - " &amp; TEXT(end_date, "mmm d, yyyy"), HYPERLINK("https://wa.me/" &amp; VLOOKUP(A971, 'Master Roster'!$A:$F, 6, FALSE) &amp; "?text=" &amp; ENCODEURL("Hello " &amp; IFERROR(IF(VLOOKUP(A971, 'Master Roster'!$A:$J, 10, FALSE)="Male", "Mr. ", "Ms. "), "") &amp; B971 &amp; ", payment of K" &amp; F971 &amp; " received for " &amp; period &amp; ". Receipt No: " &amp; N971), "Send Receipt")))</f>
        <v/>
      </c>
    </row>
    <row r="972">
      <c r="A972" s="29"/>
      <c r="B972" s="29" t="s">
        <v>175</v>
      </c>
      <c r="C972" s="76"/>
      <c r="D972" s="29"/>
      <c r="E972" s="29"/>
      <c r="F972" s="29"/>
      <c r="G972" s="29"/>
      <c r="H972" s="29" t="str">
        <f t="shared" si="1"/>
        <v/>
      </c>
      <c r="I972" s="29" t="str">
        <f t="shared" si="2"/>
        <v/>
      </c>
      <c r="J972" s="29" t="str">
        <f>IF(A972="", "", IFERROR(VLOOKUP(A972, 'Master Roster'!A:H, 8, FALSE) - F972, ""))</f>
        <v/>
      </c>
      <c r="K972" s="29" t="s">
        <v>175</v>
      </c>
      <c r="L972" s="29" t="b">
        <v>0</v>
      </c>
      <c r="M972" s="29"/>
      <c r="N972" s="29" t="s">
        <v>175</v>
      </c>
      <c r="O972" s="29" t="str">
        <f>IF(ISBLANK(A972), "", LET(entry_day, VLOOKUP(A972, 'Master Roster'!$A:$G, 7, FALSE), start_date, DATE(E972, MONTH(D972&amp;" 1"), entry_day), end_date, EDATE(start_date, 1), period, TEXT(start_date, "mmm d, yyyy") &amp; " - " &amp; TEXT(end_date, "mmm d, yyyy"), HYPERLINK("https://wa.me/" &amp; VLOOKUP(A972, 'Master Roster'!$A:$F, 6, FALSE) &amp; "?text=" &amp; ENCODEURL("Hello " &amp; IFERROR(IF(VLOOKUP(A972, 'Master Roster'!$A:$J, 10, FALSE)="Male", "Mr. ", "Ms. "), "") &amp; B972 &amp; ", payment of K" &amp; F972 &amp; " received for " &amp; period &amp; ". Receipt No: " &amp; N972), "Send Receipt")))</f>
        <v/>
      </c>
    </row>
    <row r="973">
      <c r="A973" s="29"/>
      <c r="B973" s="29" t="s">
        <v>175</v>
      </c>
      <c r="C973" s="76"/>
      <c r="D973" s="29"/>
      <c r="E973" s="29"/>
      <c r="F973" s="29"/>
      <c r="G973" s="29"/>
      <c r="H973" s="29" t="str">
        <f t="shared" si="1"/>
        <v/>
      </c>
      <c r="I973" s="29" t="str">
        <f t="shared" si="2"/>
        <v/>
      </c>
      <c r="J973" s="29" t="str">
        <f>IF(A973="", "", IFERROR(VLOOKUP(A973, 'Master Roster'!A:H, 8, FALSE) - F973, ""))</f>
        <v/>
      </c>
      <c r="K973" s="29" t="s">
        <v>175</v>
      </c>
      <c r="L973" s="29" t="b">
        <v>0</v>
      </c>
      <c r="M973" s="29"/>
      <c r="N973" s="29" t="s">
        <v>175</v>
      </c>
      <c r="O973" s="29" t="str">
        <f>IF(ISBLANK(A973), "", LET(entry_day, VLOOKUP(A973, 'Master Roster'!$A:$G, 7, FALSE), start_date, DATE(E973, MONTH(D973&amp;" 1"), entry_day), end_date, EDATE(start_date, 1), period, TEXT(start_date, "mmm d, yyyy") &amp; " - " &amp; TEXT(end_date, "mmm d, yyyy"), HYPERLINK("https://wa.me/" &amp; VLOOKUP(A973, 'Master Roster'!$A:$F, 6, FALSE) &amp; "?text=" &amp; ENCODEURL("Hello " &amp; IFERROR(IF(VLOOKUP(A973, 'Master Roster'!$A:$J, 10, FALSE)="Male", "Mr. ", "Ms. "), "") &amp; B973 &amp; ", payment of K" &amp; F973 &amp; " received for " &amp; period &amp; ". Receipt No: " &amp; N973), "Send Receipt")))</f>
        <v/>
      </c>
    </row>
    <row r="974">
      <c r="A974" s="29"/>
      <c r="B974" s="29" t="s">
        <v>175</v>
      </c>
      <c r="C974" s="76"/>
      <c r="D974" s="29"/>
      <c r="E974" s="29"/>
      <c r="F974" s="29"/>
      <c r="G974" s="29"/>
      <c r="H974" s="29" t="str">
        <f t="shared" si="1"/>
        <v/>
      </c>
      <c r="I974" s="29" t="str">
        <f t="shared" si="2"/>
        <v/>
      </c>
      <c r="J974" s="29" t="str">
        <f>IF(A974="", "", IFERROR(VLOOKUP(A974, 'Master Roster'!A:H, 8, FALSE) - F974, ""))</f>
        <v/>
      </c>
      <c r="K974" s="29" t="s">
        <v>175</v>
      </c>
      <c r="L974" s="29" t="b">
        <v>0</v>
      </c>
      <c r="M974" s="29"/>
      <c r="N974" s="29" t="s">
        <v>175</v>
      </c>
      <c r="O974" s="29" t="str">
        <f>IF(ISBLANK(A974), "", LET(entry_day, VLOOKUP(A974, 'Master Roster'!$A:$G, 7, FALSE), start_date, DATE(E974, MONTH(D974&amp;" 1"), entry_day), end_date, EDATE(start_date, 1), period, TEXT(start_date, "mmm d, yyyy") &amp; " - " &amp; TEXT(end_date, "mmm d, yyyy"), HYPERLINK("https://wa.me/" &amp; VLOOKUP(A974, 'Master Roster'!$A:$F, 6, FALSE) &amp; "?text=" &amp; ENCODEURL("Hello " &amp; IFERROR(IF(VLOOKUP(A974, 'Master Roster'!$A:$J, 10, FALSE)="Male", "Mr. ", "Ms. "), "") &amp; B974 &amp; ", payment of K" &amp; F974 &amp; " received for " &amp; period &amp; ". Receipt No: " &amp; N974), "Send Receipt")))</f>
        <v/>
      </c>
    </row>
    <row r="975">
      <c r="A975" s="29"/>
      <c r="B975" s="29" t="s">
        <v>175</v>
      </c>
      <c r="C975" s="76"/>
      <c r="D975" s="29"/>
      <c r="E975" s="29"/>
      <c r="F975" s="29"/>
      <c r="G975" s="29"/>
      <c r="H975" s="29" t="str">
        <f t="shared" si="1"/>
        <v/>
      </c>
      <c r="I975" s="29" t="str">
        <f t="shared" si="2"/>
        <v/>
      </c>
      <c r="J975" s="29" t="str">
        <f>IF(A975="", "", IFERROR(VLOOKUP(A975, 'Master Roster'!A:H, 8, FALSE) - F975, ""))</f>
        <v/>
      </c>
      <c r="K975" s="29" t="s">
        <v>175</v>
      </c>
      <c r="L975" s="29" t="b">
        <v>0</v>
      </c>
      <c r="M975" s="29"/>
      <c r="N975" s="29" t="s">
        <v>175</v>
      </c>
      <c r="O975" s="29" t="str">
        <f>IF(ISBLANK(A975), "", LET(entry_day, VLOOKUP(A975, 'Master Roster'!$A:$G, 7, FALSE), start_date, DATE(E975, MONTH(D975&amp;" 1"), entry_day), end_date, EDATE(start_date, 1), period, TEXT(start_date, "mmm d, yyyy") &amp; " - " &amp; TEXT(end_date, "mmm d, yyyy"), HYPERLINK("https://wa.me/" &amp; VLOOKUP(A975, 'Master Roster'!$A:$F, 6, FALSE) &amp; "?text=" &amp; ENCODEURL("Hello " &amp; IFERROR(IF(VLOOKUP(A975, 'Master Roster'!$A:$J, 10, FALSE)="Male", "Mr. ", "Ms. "), "") &amp; B975 &amp; ", payment of K" &amp; F975 &amp; " received for " &amp; period &amp; ". Receipt No: " &amp; N975), "Send Receipt")))</f>
        <v/>
      </c>
    </row>
    <row r="976">
      <c r="A976" s="29"/>
      <c r="B976" s="29" t="s">
        <v>175</v>
      </c>
      <c r="C976" s="76"/>
      <c r="D976" s="29"/>
      <c r="E976" s="29"/>
      <c r="F976" s="29"/>
      <c r="G976" s="29"/>
      <c r="H976" s="29" t="str">
        <f t="shared" si="1"/>
        <v/>
      </c>
      <c r="I976" s="29" t="str">
        <f t="shared" si="2"/>
        <v/>
      </c>
      <c r="J976" s="29" t="str">
        <f>IF(A976="", "", IFERROR(VLOOKUP(A976, 'Master Roster'!A:H, 8, FALSE) - F976, ""))</f>
        <v/>
      </c>
      <c r="K976" s="29" t="s">
        <v>175</v>
      </c>
      <c r="L976" s="29" t="b">
        <v>0</v>
      </c>
      <c r="M976" s="29"/>
      <c r="N976" s="29" t="s">
        <v>175</v>
      </c>
      <c r="O976" s="29" t="str">
        <f>IF(ISBLANK(A976), "", LET(entry_day, VLOOKUP(A976, 'Master Roster'!$A:$G, 7, FALSE), start_date, DATE(E976, MONTH(D976&amp;" 1"), entry_day), end_date, EDATE(start_date, 1), period, TEXT(start_date, "mmm d, yyyy") &amp; " - " &amp; TEXT(end_date, "mmm d, yyyy"), HYPERLINK("https://wa.me/" &amp; VLOOKUP(A976, 'Master Roster'!$A:$F, 6, FALSE) &amp; "?text=" &amp; ENCODEURL("Hello " &amp; IFERROR(IF(VLOOKUP(A976, 'Master Roster'!$A:$J, 10, FALSE)="Male", "Mr. ", "Ms. "), "") &amp; B976 &amp; ", payment of K" &amp; F976 &amp; " received for " &amp; period &amp; ". Receipt No: " &amp; N976), "Send Receipt")))</f>
        <v/>
      </c>
    </row>
    <row r="977">
      <c r="A977" s="29"/>
      <c r="B977" s="29" t="s">
        <v>175</v>
      </c>
      <c r="C977" s="76"/>
      <c r="D977" s="29"/>
      <c r="E977" s="29"/>
      <c r="F977" s="29"/>
      <c r="G977" s="29"/>
      <c r="H977" s="29" t="str">
        <f t="shared" si="1"/>
        <v/>
      </c>
      <c r="I977" s="29" t="str">
        <f t="shared" si="2"/>
        <v/>
      </c>
      <c r="J977" s="29" t="str">
        <f>IF(A977="", "", IFERROR(VLOOKUP(A977, 'Master Roster'!A:H, 8, FALSE) - F977, ""))</f>
        <v/>
      </c>
      <c r="K977" s="29" t="s">
        <v>175</v>
      </c>
      <c r="L977" s="29" t="b">
        <v>0</v>
      </c>
      <c r="M977" s="29"/>
      <c r="N977" s="29" t="s">
        <v>175</v>
      </c>
      <c r="O977" s="29" t="str">
        <f>IF(ISBLANK(A977), "", LET(entry_day, VLOOKUP(A977, 'Master Roster'!$A:$G, 7, FALSE), start_date, DATE(E977, MONTH(D977&amp;" 1"), entry_day), end_date, EDATE(start_date, 1), period, TEXT(start_date, "mmm d, yyyy") &amp; " - " &amp; TEXT(end_date, "mmm d, yyyy"), HYPERLINK("https://wa.me/" &amp; VLOOKUP(A977, 'Master Roster'!$A:$F, 6, FALSE) &amp; "?text=" &amp; ENCODEURL("Hello " &amp; IFERROR(IF(VLOOKUP(A977, 'Master Roster'!$A:$J, 10, FALSE)="Male", "Mr. ", "Ms. "), "") &amp; B977 &amp; ", payment of K" &amp; F977 &amp; " received for " &amp; period &amp; ". Receipt No: " &amp; N977), "Send Receipt")))</f>
        <v/>
      </c>
    </row>
    <row r="978">
      <c r="A978" s="29"/>
      <c r="B978" s="29" t="s">
        <v>175</v>
      </c>
      <c r="C978" s="76"/>
      <c r="D978" s="29"/>
      <c r="E978" s="29"/>
      <c r="F978" s="29"/>
      <c r="G978" s="29"/>
      <c r="H978" s="29" t="str">
        <f t="shared" si="1"/>
        <v/>
      </c>
      <c r="I978" s="29" t="str">
        <f t="shared" si="2"/>
        <v/>
      </c>
      <c r="J978" s="29" t="str">
        <f>IF(A978="", "", IFERROR(VLOOKUP(A978, 'Master Roster'!A:H, 8, FALSE) - F978, ""))</f>
        <v/>
      </c>
      <c r="K978" s="29" t="s">
        <v>175</v>
      </c>
      <c r="L978" s="29" t="b">
        <v>0</v>
      </c>
      <c r="M978" s="29"/>
      <c r="N978" s="29" t="s">
        <v>175</v>
      </c>
      <c r="O978" s="29" t="str">
        <f>IF(ISBLANK(A978), "", LET(entry_day, VLOOKUP(A978, 'Master Roster'!$A:$G, 7, FALSE), start_date, DATE(E978, MONTH(D978&amp;" 1"), entry_day), end_date, EDATE(start_date, 1), period, TEXT(start_date, "mmm d, yyyy") &amp; " - " &amp; TEXT(end_date, "mmm d, yyyy"), HYPERLINK("https://wa.me/" &amp; VLOOKUP(A978, 'Master Roster'!$A:$F, 6, FALSE) &amp; "?text=" &amp; ENCODEURL("Hello " &amp; IFERROR(IF(VLOOKUP(A978, 'Master Roster'!$A:$J, 10, FALSE)="Male", "Mr. ", "Ms. "), "") &amp; B978 &amp; ", payment of K" &amp; F978 &amp; " received for " &amp; period &amp; ". Receipt No: " &amp; N978), "Send Receipt")))</f>
        <v/>
      </c>
    </row>
    <row r="979">
      <c r="A979" s="29"/>
      <c r="B979" s="29" t="s">
        <v>175</v>
      </c>
      <c r="C979" s="76"/>
      <c r="D979" s="29"/>
      <c r="E979" s="29"/>
      <c r="F979" s="29"/>
      <c r="G979" s="29"/>
      <c r="H979" s="29" t="str">
        <f t="shared" si="1"/>
        <v/>
      </c>
      <c r="I979" s="29" t="str">
        <f t="shared" si="2"/>
        <v/>
      </c>
      <c r="J979" s="29" t="str">
        <f>IF(A979="", "", IFERROR(VLOOKUP(A979, 'Master Roster'!A:H, 8, FALSE) - F979, ""))</f>
        <v/>
      </c>
      <c r="K979" s="29" t="s">
        <v>175</v>
      </c>
      <c r="L979" s="29" t="b">
        <v>0</v>
      </c>
      <c r="M979" s="29"/>
      <c r="N979" s="29" t="s">
        <v>175</v>
      </c>
      <c r="O979" s="29" t="str">
        <f>IF(ISBLANK(A979), "", LET(entry_day, VLOOKUP(A979, 'Master Roster'!$A:$G, 7, FALSE), start_date, DATE(E979, MONTH(D979&amp;" 1"), entry_day), end_date, EDATE(start_date, 1), period, TEXT(start_date, "mmm d, yyyy") &amp; " - " &amp; TEXT(end_date, "mmm d, yyyy"), HYPERLINK("https://wa.me/" &amp; VLOOKUP(A979, 'Master Roster'!$A:$F, 6, FALSE) &amp; "?text=" &amp; ENCODEURL("Hello " &amp; IFERROR(IF(VLOOKUP(A979, 'Master Roster'!$A:$J, 10, FALSE)="Male", "Mr. ", "Ms. "), "") &amp; B979 &amp; ", payment of K" &amp; F979 &amp; " received for " &amp; period &amp; ". Receipt No: " &amp; N979), "Send Receipt")))</f>
        <v/>
      </c>
    </row>
    <row r="980">
      <c r="A980" s="29"/>
      <c r="B980" s="29" t="s">
        <v>175</v>
      </c>
      <c r="C980" s="76"/>
      <c r="D980" s="29"/>
      <c r="E980" s="29"/>
      <c r="F980" s="29"/>
      <c r="G980" s="29"/>
      <c r="H980" s="29" t="str">
        <f t="shared" si="1"/>
        <v/>
      </c>
      <c r="I980" s="29" t="str">
        <f t="shared" si="2"/>
        <v/>
      </c>
      <c r="J980" s="29" t="str">
        <f>IF(A980="", "", IFERROR(VLOOKUP(A980, 'Master Roster'!A:H, 8, FALSE) - F980, ""))</f>
        <v/>
      </c>
      <c r="K980" s="29" t="s">
        <v>175</v>
      </c>
      <c r="L980" s="29" t="b">
        <v>0</v>
      </c>
      <c r="M980" s="29"/>
      <c r="N980" s="29" t="s">
        <v>175</v>
      </c>
      <c r="O980" s="29" t="str">
        <f>IF(ISBLANK(A980), "", LET(entry_day, VLOOKUP(A980, 'Master Roster'!$A:$G, 7, FALSE), start_date, DATE(E980, MONTH(D980&amp;" 1"), entry_day), end_date, EDATE(start_date, 1), period, TEXT(start_date, "mmm d, yyyy") &amp; " - " &amp; TEXT(end_date, "mmm d, yyyy"), HYPERLINK("https://wa.me/" &amp; VLOOKUP(A980, 'Master Roster'!$A:$F, 6, FALSE) &amp; "?text=" &amp; ENCODEURL("Hello " &amp; IFERROR(IF(VLOOKUP(A980, 'Master Roster'!$A:$J, 10, FALSE)="Male", "Mr. ", "Ms. "), "") &amp; B980 &amp; ", payment of K" &amp; F980 &amp; " received for " &amp; period &amp; ". Receipt No: " &amp; N980), "Send Receipt")))</f>
        <v/>
      </c>
    </row>
    <row r="981">
      <c r="A981" s="29"/>
      <c r="B981" s="29" t="s">
        <v>175</v>
      </c>
      <c r="C981" s="76"/>
      <c r="D981" s="29"/>
      <c r="E981" s="29"/>
      <c r="F981" s="29"/>
      <c r="G981" s="29"/>
      <c r="H981" s="29" t="str">
        <f t="shared" si="1"/>
        <v/>
      </c>
      <c r="I981" s="29" t="str">
        <f t="shared" si="2"/>
        <v/>
      </c>
      <c r="J981" s="29" t="str">
        <f>IF(A981="", "", IFERROR(VLOOKUP(A981, 'Master Roster'!A:H, 8, FALSE) - F981, ""))</f>
        <v/>
      </c>
      <c r="K981" s="29" t="s">
        <v>175</v>
      </c>
      <c r="L981" s="29" t="b">
        <v>0</v>
      </c>
      <c r="M981" s="29"/>
      <c r="N981" s="29" t="s">
        <v>175</v>
      </c>
      <c r="O981" s="29" t="str">
        <f>IF(ISBLANK(A981), "", LET(entry_day, VLOOKUP(A981, 'Master Roster'!$A:$G, 7, FALSE), start_date, DATE(E981, MONTH(D981&amp;" 1"), entry_day), end_date, EDATE(start_date, 1), period, TEXT(start_date, "mmm d, yyyy") &amp; " - " &amp; TEXT(end_date, "mmm d, yyyy"), HYPERLINK("https://wa.me/" &amp; VLOOKUP(A981, 'Master Roster'!$A:$F, 6, FALSE) &amp; "?text=" &amp; ENCODEURL("Hello " &amp; IFERROR(IF(VLOOKUP(A981, 'Master Roster'!$A:$J, 10, FALSE)="Male", "Mr. ", "Ms. "), "") &amp; B981 &amp; ", payment of K" &amp; F981 &amp; " received for " &amp; period &amp; ". Receipt No: " &amp; N981), "Send Receipt")))</f>
        <v/>
      </c>
    </row>
    <row r="982">
      <c r="A982" s="29"/>
      <c r="B982" s="29" t="s">
        <v>175</v>
      </c>
      <c r="C982" s="76"/>
      <c r="D982" s="29"/>
      <c r="E982" s="29"/>
      <c r="F982" s="29"/>
      <c r="G982" s="29"/>
      <c r="H982" s="29" t="str">
        <f t="shared" si="1"/>
        <v/>
      </c>
      <c r="I982" s="29" t="str">
        <f t="shared" si="2"/>
        <v/>
      </c>
      <c r="J982" s="29" t="str">
        <f>IF(A982="", "", IFERROR(VLOOKUP(A982, 'Master Roster'!A:H, 8, FALSE) - F982, ""))</f>
        <v/>
      </c>
      <c r="K982" s="29" t="s">
        <v>175</v>
      </c>
      <c r="L982" s="29" t="b">
        <v>0</v>
      </c>
      <c r="M982" s="29"/>
      <c r="N982" s="29" t="s">
        <v>175</v>
      </c>
      <c r="O982" s="29" t="str">
        <f>IF(ISBLANK(A982), "", LET(entry_day, VLOOKUP(A982, 'Master Roster'!$A:$G, 7, FALSE), start_date, DATE(E982, MONTH(D982&amp;" 1"), entry_day), end_date, EDATE(start_date, 1), period, TEXT(start_date, "mmm d, yyyy") &amp; " - " &amp; TEXT(end_date, "mmm d, yyyy"), HYPERLINK("https://wa.me/" &amp; VLOOKUP(A982, 'Master Roster'!$A:$F, 6, FALSE) &amp; "?text=" &amp; ENCODEURL("Hello " &amp; IFERROR(IF(VLOOKUP(A982, 'Master Roster'!$A:$J, 10, FALSE)="Male", "Mr. ", "Ms. "), "") &amp; B982 &amp; ", payment of K" &amp; F982 &amp; " received for " &amp; period &amp; ". Receipt No: " &amp; N982), "Send Receipt")))</f>
        <v/>
      </c>
    </row>
    <row r="983">
      <c r="A983" s="29"/>
      <c r="B983" s="29" t="s">
        <v>175</v>
      </c>
      <c r="C983" s="76"/>
      <c r="D983" s="29"/>
      <c r="E983" s="29"/>
      <c r="F983" s="29"/>
      <c r="G983" s="29"/>
      <c r="H983" s="29" t="str">
        <f t="shared" si="1"/>
        <v/>
      </c>
      <c r="I983" s="29" t="str">
        <f t="shared" si="2"/>
        <v/>
      </c>
      <c r="J983" s="29" t="str">
        <f>IF(A983="", "", IFERROR(VLOOKUP(A983, 'Master Roster'!A:H, 8, FALSE) - F983, ""))</f>
        <v/>
      </c>
      <c r="K983" s="29" t="s">
        <v>175</v>
      </c>
      <c r="L983" s="29" t="b">
        <v>0</v>
      </c>
      <c r="M983" s="29"/>
      <c r="N983" s="29" t="s">
        <v>175</v>
      </c>
      <c r="O983" s="29" t="str">
        <f>IF(ISBLANK(A983), "", LET(entry_day, VLOOKUP(A983, 'Master Roster'!$A:$G, 7, FALSE), start_date, DATE(E983, MONTH(D983&amp;" 1"), entry_day), end_date, EDATE(start_date, 1), period, TEXT(start_date, "mmm d, yyyy") &amp; " - " &amp; TEXT(end_date, "mmm d, yyyy"), HYPERLINK("https://wa.me/" &amp; VLOOKUP(A983, 'Master Roster'!$A:$F, 6, FALSE) &amp; "?text=" &amp; ENCODEURL("Hello " &amp; IFERROR(IF(VLOOKUP(A983, 'Master Roster'!$A:$J, 10, FALSE)="Male", "Mr. ", "Ms. "), "") &amp; B983 &amp; ", payment of K" &amp; F983 &amp; " received for " &amp; period &amp; ". Receipt No: " &amp; N983), "Send Receipt")))</f>
        <v/>
      </c>
    </row>
    <row r="984">
      <c r="A984" s="29"/>
      <c r="B984" s="29" t="s">
        <v>175</v>
      </c>
      <c r="C984" s="76"/>
      <c r="D984" s="29"/>
      <c r="E984" s="29"/>
      <c r="F984" s="29"/>
      <c r="G984" s="29"/>
      <c r="H984" s="29" t="str">
        <f t="shared" si="1"/>
        <v/>
      </c>
      <c r="I984" s="29" t="str">
        <f t="shared" si="2"/>
        <v/>
      </c>
      <c r="J984" s="29" t="str">
        <f>IF(A984="", "", IFERROR(VLOOKUP(A984, 'Master Roster'!A:H, 8, FALSE) - F984, ""))</f>
        <v/>
      </c>
      <c r="K984" s="29" t="s">
        <v>175</v>
      </c>
      <c r="L984" s="29" t="b">
        <v>0</v>
      </c>
      <c r="M984" s="29"/>
      <c r="N984" s="29" t="s">
        <v>175</v>
      </c>
      <c r="O984" s="29" t="str">
        <f>IF(ISBLANK(A984), "", LET(entry_day, VLOOKUP(A984, 'Master Roster'!$A:$G, 7, FALSE), start_date, DATE(E984, MONTH(D984&amp;" 1"), entry_day), end_date, EDATE(start_date, 1), period, TEXT(start_date, "mmm d, yyyy") &amp; " - " &amp; TEXT(end_date, "mmm d, yyyy"), HYPERLINK("https://wa.me/" &amp; VLOOKUP(A984, 'Master Roster'!$A:$F, 6, FALSE) &amp; "?text=" &amp; ENCODEURL("Hello " &amp; IFERROR(IF(VLOOKUP(A984, 'Master Roster'!$A:$J, 10, FALSE)="Male", "Mr. ", "Ms. "), "") &amp; B984 &amp; ", payment of K" &amp; F984 &amp; " received for " &amp; period &amp; ". Receipt No: " &amp; N984), "Send Receipt")))</f>
        <v/>
      </c>
    </row>
    <row r="985">
      <c r="A985" s="29"/>
      <c r="B985" s="29" t="s">
        <v>175</v>
      </c>
      <c r="C985" s="76"/>
      <c r="D985" s="29"/>
      <c r="E985" s="29"/>
      <c r="F985" s="29"/>
      <c r="G985" s="29"/>
      <c r="H985" s="29" t="str">
        <f t="shared" si="1"/>
        <v/>
      </c>
      <c r="I985" s="29" t="str">
        <f t="shared" si="2"/>
        <v/>
      </c>
      <c r="J985" s="29" t="str">
        <f>IF(A985="", "", IFERROR(VLOOKUP(A985, 'Master Roster'!A:H, 8, FALSE) - F985, ""))</f>
        <v/>
      </c>
      <c r="K985" s="29" t="s">
        <v>175</v>
      </c>
      <c r="L985" s="29" t="b">
        <v>0</v>
      </c>
      <c r="M985" s="29"/>
      <c r="N985" s="29" t="s">
        <v>175</v>
      </c>
      <c r="O985" s="29" t="str">
        <f>IF(ISBLANK(A985), "", LET(entry_day, VLOOKUP(A985, 'Master Roster'!$A:$G, 7, FALSE), start_date, DATE(E985, MONTH(D985&amp;" 1"), entry_day), end_date, EDATE(start_date, 1), period, TEXT(start_date, "mmm d, yyyy") &amp; " - " &amp; TEXT(end_date, "mmm d, yyyy"), HYPERLINK("https://wa.me/" &amp; VLOOKUP(A985, 'Master Roster'!$A:$F, 6, FALSE) &amp; "?text=" &amp; ENCODEURL("Hello " &amp; IFERROR(IF(VLOOKUP(A985, 'Master Roster'!$A:$J, 10, FALSE)="Male", "Mr. ", "Ms. "), "") &amp; B985 &amp; ", payment of K" &amp; F985 &amp; " received for " &amp; period &amp; ". Receipt No: " &amp; N985), "Send Receipt")))</f>
        <v/>
      </c>
    </row>
    <row r="986">
      <c r="A986" s="29"/>
      <c r="B986" s="29" t="s">
        <v>175</v>
      </c>
      <c r="C986" s="76"/>
      <c r="D986" s="29"/>
      <c r="E986" s="29"/>
      <c r="F986" s="29"/>
      <c r="G986" s="29"/>
      <c r="H986" s="29" t="str">
        <f t="shared" si="1"/>
        <v/>
      </c>
      <c r="I986" s="29" t="str">
        <f t="shared" si="2"/>
        <v/>
      </c>
      <c r="J986" s="29" t="str">
        <f>IF(A986="", "", IFERROR(VLOOKUP(A986, 'Master Roster'!A:H, 8, FALSE) - F986, ""))</f>
        <v/>
      </c>
      <c r="K986" s="29" t="s">
        <v>175</v>
      </c>
      <c r="L986" s="29" t="b">
        <v>0</v>
      </c>
      <c r="M986" s="29"/>
      <c r="N986" s="29" t="s">
        <v>175</v>
      </c>
      <c r="O986" s="29" t="str">
        <f>IF(ISBLANK(A986), "", LET(entry_day, VLOOKUP(A986, 'Master Roster'!$A:$G, 7, FALSE), start_date, DATE(E986, MONTH(D986&amp;" 1"), entry_day), end_date, EDATE(start_date, 1), period, TEXT(start_date, "mmm d, yyyy") &amp; " - " &amp; TEXT(end_date, "mmm d, yyyy"), HYPERLINK("https://wa.me/" &amp; VLOOKUP(A986, 'Master Roster'!$A:$F, 6, FALSE) &amp; "?text=" &amp; ENCODEURL("Hello " &amp; IFERROR(IF(VLOOKUP(A986, 'Master Roster'!$A:$J, 10, FALSE)="Male", "Mr. ", "Ms. "), "") &amp; B986 &amp; ", payment of K" &amp; F986 &amp; " received for " &amp; period &amp; ". Receipt No: " &amp; N986), "Send Receipt")))</f>
        <v/>
      </c>
    </row>
    <row r="987">
      <c r="A987" s="29"/>
      <c r="B987" s="29" t="s">
        <v>175</v>
      </c>
      <c r="C987" s="76"/>
      <c r="D987" s="29"/>
      <c r="E987" s="29"/>
      <c r="F987" s="29"/>
      <c r="G987" s="29"/>
      <c r="H987" s="29" t="str">
        <f t="shared" si="1"/>
        <v/>
      </c>
      <c r="I987" s="29" t="str">
        <f t="shared" si="2"/>
        <v/>
      </c>
      <c r="J987" s="29" t="str">
        <f>IF(A987="", "", IFERROR(VLOOKUP(A987, 'Master Roster'!A:H, 8, FALSE) - F987, ""))</f>
        <v/>
      </c>
      <c r="K987" s="29" t="s">
        <v>175</v>
      </c>
      <c r="L987" s="29" t="b">
        <v>0</v>
      </c>
      <c r="M987" s="29"/>
      <c r="N987" s="29" t="s">
        <v>175</v>
      </c>
      <c r="O987" s="29" t="str">
        <f>IF(ISBLANK(A987), "", LET(entry_day, VLOOKUP(A987, 'Master Roster'!$A:$G, 7, FALSE), start_date, DATE(E987, MONTH(D987&amp;" 1"), entry_day), end_date, EDATE(start_date, 1), period, TEXT(start_date, "mmm d, yyyy") &amp; " - " &amp; TEXT(end_date, "mmm d, yyyy"), HYPERLINK("https://wa.me/" &amp; VLOOKUP(A987, 'Master Roster'!$A:$F, 6, FALSE) &amp; "?text=" &amp; ENCODEURL("Hello " &amp; IFERROR(IF(VLOOKUP(A987, 'Master Roster'!$A:$J, 10, FALSE)="Male", "Mr. ", "Ms. "), "") &amp; B987 &amp; ", payment of K" &amp; F987 &amp; " received for " &amp; period &amp; ". Receipt No: " &amp; N987), "Send Receipt")))</f>
        <v/>
      </c>
    </row>
    <row r="988">
      <c r="A988" s="29"/>
      <c r="B988" s="29" t="s">
        <v>175</v>
      </c>
      <c r="C988" s="76"/>
      <c r="D988" s="29"/>
      <c r="E988" s="29"/>
      <c r="F988" s="29"/>
      <c r="G988" s="29"/>
      <c r="H988" s="29" t="str">
        <f t="shared" si="1"/>
        <v/>
      </c>
      <c r="I988" s="29" t="str">
        <f t="shared" si="2"/>
        <v/>
      </c>
      <c r="J988" s="29" t="str">
        <f>IF(A988="", "", IFERROR(VLOOKUP(A988, 'Master Roster'!A:H, 8, FALSE) - F988, ""))</f>
        <v/>
      </c>
      <c r="K988" s="29" t="s">
        <v>175</v>
      </c>
      <c r="L988" s="29" t="b">
        <v>0</v>
      </c>
      <c r="M988" s="29"/>
      <c r="N988" s="29" t="s">
        <v>175</v>
      </c>
      <c r="O988" s="29" t="str">
        <f>IF(ISBLANK(A988), "", LET(entry_day, VLOOKUP(A988, 'Master Roster'!$A:$G, 7, FALSE), start_date, DATE(E988, MONTH(D988&amp;" 1"), entry_day), end_date, EDATE(start_date, 1), period, TEXT(start_date, "mmm d, yyyy") &amp; " - " &amp; TEXT(end_date, "mmm d, yyyy"), HYPERLINK("https://wa.me/" &amp; VLOOKUP(A988, 'Master Roster'!$A:$F, 6, FALSE) &amp; "?text=" &amp; ENCODEURL("Hello " &amp; IFERROR(IF(VLOOKUP(A988, 'Master Roster'!$A:$J, 10, FALSE)="Male", "Mr. ", "Ms. "), "") &amp; B988 &amp; ", payment of K" &amp; F988 &amp; " received for " &amp; period &amp; ". Receipt No: " &amp; N988), "Send Receipt")))</f>
        <v/>
      </c>
    </row>
    <row r="989">
      <c r="A989" s="29"/>
      <c r="B989" s="29" t="s">
        <v>175</v>
      </c>
      <c r="C989" s="76"/>
      <c r="D989" s="29"/>
      <c r="E989" s="29"/>
      <c r="F989" s="29"/>
      <c r="G989" s="29"/>
      <c r="H989" s="29" t="str">
        <f t="shared" si="1"/>
        <v/>
      </c>
      <c r="I989" s="29" t="str">
        <f t="shared" si="2"/>
        <v/>
      </c>
      <c r="J989" s="29" t="str">
        <f>IF(A989="", "", IFERROR(VLOOKUP(A989, 'Master Roster'!A:H, 8, FALSE) - F989, ""))</f>
        <v/>
      </c>
      <c r="K989" s="29" t="s">
        <v>175</v>
      </c>
      <c r="L989" s="29" t="b">
        <v>0</v>
      </c>
      <c r="M989" s="29"/>
      <c r="N989" s="29" t="s">
        <v>175</v>
      </c>
      <c r="O989" s="29" t="str">
        <f>IF(ISBLANK(A989), "", LET(entry_day, VLOOKUP(A989, 'Master Roster'!$A:$G, 7, FALSE), start_date, DATE(E989, MONTH(D989&amp;" 1"), entry_day), end_date, EDATE(start_date, 1), period, TEXT(start_date, "mmm d, yyyy") &amp; " - " &amp; TEXT(end_date, "mmm d, yyyy"), HYPERLINK("https://wa.me/" &amp; VLOOKUP(A989, 'Master Roster'!$A:$F, 6, FALSE) &amp; "?text=" &amp; ENCODEURL("Hello " &amp; IFERROR(IF(VLOOKUP(A989, 'Master Roster'!$A:$J, 10, FALSE)="Male", "Mr. ", "Ms. "), "") &amp; B989 &amp; ", payment of K" &amp; F989 &amp; " received for " &amp; period &amp; ". Receipt No: " &amp; N989), "Send Receipt")))</f>
        <v/>
      </c>
    </row>
    <row r="990">
      <c r="A990" s="29"/>
      <c r="B990" s="29" t="s">
        <v>175</v>
      </c>
      <c r="C990" s="76"/>
      <c r="D990" s="29"/>
      <c r="E990" s="29"/>
      <c r="F990" s="29"/>
      <c r="G990" s="29"/>
      <c r="H990" s="29" t="str">
        <f t="shared" si="1"/>
        <v/>
      </c>
      <c r="I990" s="29" t="str">
        <f t="shared" si="2"/>
        <v/>
      </c>
      <c r="J990" s="29" t="str">
        <f>IF(A990="", "", IFERROR(VLOOKUP(A990, 'Master Roster'!A:H, 8, FALSE) - F990, ""))</f>
        <v/>
      </c>
      <c r="K990" s="29" t="s">
        <v>175</v>
      </c>
      <c r="L990" s="29" t="b">
        <v>0</v>
      </c>
      <c r="M990" s="29"/>
      <c r="N990" s="29" t="s">
        <v>175</v>
      </c>
      <c r="O990" s="29" t="str">
        <f>IF(ISBLANK(A990), "", LET(entry_day, VLOOKUP(A990, 'Master Roster'!$A:$G, 7, FALSE), start_date, DATE(E990, MONTH(D990&amp;" 1"), entry_day), end_date, EDATE(start_date, 1), period, TEXT(start_date, "mmm d, yyyy") &amp; " - " &amp; TEXT(end_date, "mmm d, yyyy"), HYPERLINK("https://wa.me/" &amp; VLOOKUP(A990, 'Master Roster'!$A:$F, 6, FALSE) &amp; "?text=" &amp; ENCODEURL("Hello " &amp; IFERROR(IF(VLOOKUP(A990, 'Master Roster'!$A:$J, 10, FALSE)="Male", "Mr. ", "Ms. "), "") &amp; B990 &amp; ", payment of K" &amp; F990 &amp; " received for " &amp; period &amp; ". Receipt No: " &amp; N990), "Send Receipt")))</f>
        <v/>
      </c>
    </row>
    <row r="991">
      <c r="A991" s="29"/>
      <c r="B991" s="29" t="s">
        <v>175</v>
      </c>
      <c r="C991" s="76"/>
      <c r="D991" s="29"/>
      <c r="E991" s="29"/>
      <c r="F991" s="29"/>
      <c r="G991" s="29"/>
      <c r="H991" s="29" t="str">
        <f t="shared" si="1"/>
        <v/>
      </c>
      <c r="I991" s="29" t="str">
        <f t="shared" si="2"/>
        <v/>
      </c>
      <c r="J991" s="29" t="str">
        <f>IF(A991="", "", IFERROR(VLOOKUP(A991, 'Master Roster'!A:H, 8, FALSE) - F991, ""))</f>
        <v/>
      </c>
      <c r="K991" s="29" t="s">
        <v>175</v>
      </c>
      <c r="L991" s="29" t="b">
        <v>0</v>
      </c>
      <c r="M991" s="29"/>
      <c r="N991" s="29" t="s">
        <v>175</v>
      </c>
      <c r="O991" s="29" t="str">
        <f>IF(ISBLANK(A991), "", LET(entry_day, VLOOKUP(A991, 'Master Roster'!$A:$G, 7, FALSE), start_date, DATE(E991, MONTH(D991&amp;" 1"), entry_day), end_date, EDATE(start_date, 1), period, TEXT(start_date, "mmm d, yyyy") &amp; " - " &amp; TEXT(end_date, "mmm d, yyyy"), HYPERLINK("https://wa.me/" &amp; VLOOKUP(A991, 'Master Roster'!$A:$F, 6, FALSE) &amp; "?text=" &amp; ENCODEURL("Hello " &amp; IFERROR(IF(VLOOKUP(A991, 'Master Roster'!$A:$J, 10, FALSE)="Male", "Mr. ", "Ms. "), "") &amp; B991 &amp; ", payment of K" &amp; F991 &amp; " received for " &amp; period &amp; ". Receipt No: " &amp; N991), "Send Receipt")))</f>
        <v/>
      </c>
    </row>
    <row r="992">
      <c r="A992" s="29"/>
      <c r="B992" s="29" t="s">
        <v>175</v>
      </c>
      <c r="C992" s="76"/>
      <c r="D992" s="29"/>
      <c r="E992" s="29"/>
      <c r="F992" s="29"/>
      <c r="G992" s="29"/>
      <c r="H992" s="29" t="str">
        <f t="shared" si="1"/>
        <v/>
      </c>
      <c r="I992" s="29" t="str">
        <f t="shared" si="2"/>
        <v/>
      </c>
      <c r="J992" s="29" t="str">
        <f>IF(A992="", "", IFERROR(VLOOKUP(A992, 'Master Roster'!A:H, 8, FALSE) - F992, ""))</f>
        <v/>
      </c>
      <c r="K992" s="29" t="s">
        <v>175</v>
      </c>
      <c r="L992" s="29" t="b">
        <v>0</v>
      </c>
      <c r="M992" s="29"/>
      <c r="N992" s="29" t="s">
        <v>175</v>
      </c>
      <c r="O992" s="29" t="str">
        <f>IF(ISBLANK(A992), "", LET(entry_day, VLOOKUP(A992, 'Master Roster'!$A:$G, 7, FALSE), start_date, DATE(E992, MONTH(D992&amp;" 1"), entry_day), end_date, EDATE(start_date, 1), period, TEXT(start_date, "mmm d, yyyy") &amp; " - " &amp; TEXT(end_date, "mmm d, yyyy"), HYPERLINK("https://wa.me/" &amp; VLOOKUP(A992, 'Master Roster'!$A:$F, 6, FALSE) &amp; "?text=" &amp; ENCODEURL("Hello " &amp; IFERROR(IF(VLOOKUP(A992, 'Master Roster'!$A:$J, 10, FALSE)="Male", "Mr. ", "Ms. "), "") &amp; B992 &amp; ", payment of K" &amp; F992 &amp; " received for " &amp; period &amp; ". Receipt No: " &amp; N992), "Send Receipt")))</f>
        <v/>
      </c>
    </row>
    <row r="993">
      <c r="A993" s="29"/>
      <c r="B993" s="29" t="s">
        <v>175</v>
      </c>
      <c r="C993" s="76"/>
      <c r="D993" s="29"/>
      <c r="E993" s="29"/>
      <c r="F993" s="29"/>
      <c r="G993" s="29"/>
      <c r="H993" s="29" t="str">
        <f t="shared" si="1"/>
        <v/>
      </c>
      <c r="I993" s="29" t="str">
        <f t="shared" si="2"/>
        <v/>
      </c>
      <c r="J993" s="29" t="str">
        <f>IF(A993="", "", IFERROR(VLOOKUP(A993, 'Master Roster'!A:H, 8, FALSE) - F993, ""))</f>
        <v/>
      </c>
      <c r="K993" s="29" t="s">
        <v>175</v>
      </c>
      <c r="L993" s="29" t="b">
        <v>0</v>
      </c>
      <c r="M993" s="29"/>
      <c r="N993" s="29" t="s">
        <v>175</v>
      </c>
      <c r="O993" s="29" t="str">
        <f>IF(ISBLANK(A993), "", LET(entry_day, VLOOKUP(A993, 'Master Roster'!$A:$G, 7, FALSE), start_date, DATE(E993, MONTH(D993&amp;" 1"), entry_day), end_date, EDATE(start_date, 1), period, TEXT(start_date, "mmm d, yyyy") &amp; " - " &amp; TEXT(end_date, "mmm d, yyyy"), HYPERLINK("https://wa.me/" &amp; VLOOKUP(A993, 'Master Roster'!$A:$F, 6, FALSE) &amp; "?text=" &amp; ENCODEURL("Hello " &amp; IFERROR(IF(VLOOKUP(A993, 'Master Roster'!$A:$J, 10, FALSE)="Male", "Mr. ", "Ms. "), "") &amp; B993 &amp; ", payment of K" &amp; F993 &amp; " received for " &amp; period &amp; ". Receipt No: " &amp; N993), "Send Receipt")))</f>
        <v/>
      </c>
    </row>
    <row r="994">
      <c r="A994" s="29"/>
      <c r="B994" s="29" t="s">
        <v>175</v>
      </c>
      <c r="C994" s="76"/>
      <c r="D994" s="29"/>
      <c r="E994" s="29"/>
      <c r="F994" s="29"/>
      <c r="G994" s="29"/>
      <c r="H994" s="29" t="str">
        <f t="shared" si="1"/>
        <v/>
      </c>
      <c r="I994" s="29" t="str">
        <f t="shared" si="2"/>
        <v/>
      </c>
      <c r="J994" s="29" t="str">
        <f>IF(A994="", "", IFERROR(VLOOKUP(A994, 'Master Roster'!A:H, 8, FALSE) - F994, ""))</f>
        <v/>
      </c>
      <c r="K994" s="29" t="s">
        <v>175</v>
      </c>
      <c r="L994" s="29" t="b">
        <v>0</v>
      </c>
      <c r="M994" s="29"/>
      <c r="N994" s="29" t="s">
        <v>175</v>
      </c>
      <c r="O994" s="29" t="str">
        <f>IF(ISBLANK(A994), "", LET(entry_day, VLOOKUP(A994, 'Master Roster'!$A:$G, 7, FALSE), start_date, DATE(E994, MONTH(D994&amp;" 1"), entry_day), end_date, EDATE(start_date, 1), period, TEXT(start_date, "mmm d, yyyy") &amp; " - " &amp; TEXT(end_date, "mmm d, yyyy"), HYPERLINK("https://wa.me/" &amp; VLOOKUP(A994, 'Master Roster'!$A:$F, 6, FALSE) &amp; "?text=" &amp; ENCODEURL("Hello " &amp; IFERROR(IF(VLOOKUP(A994, 'Master Roster'!$A:$J, 10, FALSE)="Male", "Mr. ", "Ms. "), "") &amp; B994 &amp; ", payment of K" &amp; F994 &amp; " received for " &amp; period &amp; ". Receipt No: " &amp; N994), "Send Receipt")))</f>
        <v/>
      </c>
    </row>
    <row r="995">
      <c r="A995" s="29"/>
      <c r="B995" s="29" t="s">
        <v>175</v>
      </c>
      <c r="C995" s="76"/>
      <c r="D995" s="29"/>
      <c r="E995" s="29"/>
      <c r="F995" s="29"/>
      <c r="G995" s="29"/>
      <c r="H995" s="29" t="str">
        <f t="shared" si="1"/>
        <v/>
      </c>
      <c r="I995" s="29" t="str">
        <f t="shared" si="2"/>
        <v/>
      </c>
      <c r="J995" s="29" t="str">
        <f>IF(A995="", "", IFERROR(VLOOKUP(A995, 'Master Roster'!A:H, 8, FALSE) - F995, ""))</f>
        <v/>
      </c>
      <c r="K995" s="29" t="s">
        <v>175</v>
      </c>
      <c r="L995" s="29" t="b">
        <v>0</v>
      </c>
      <c r="M995" s="29"/>
      <c r="N995" s="29" t="s">
        <v>175</v>
      </c>
      <c r="O995" s="29" t="str">
        <f>IF(ISBLANK(A995), "", LET(entry_day, VLOOKUP(A995, 'Master Roster'!$A:$G, 7, FALSE), start_date, DATE(E995, MONTH(D995&amp;" 1"), entry_day), end_date, EDATE(start_date, 1), period, TEXT(start_date, "mmm d, yyyy") &amp; " - " &amp; TEXT(end_date, "mmm d, yyyy"), HYPERLINK("https://wa.me/" &amp; VLOOKUP(A995, 'Master Roster'!$A:$F, 6, FALSE) &amp; "?text=" &amp; ENCODEURL("Hello " &amp; IFERROR(IF(VLOOKUP(A995, 'Master Roster'!$A:$J, 10, FALSE)="Male", "Mr. ", "Ms. "), "") &amp; B995 &amp; ", payment of K" &amp; F995 &amp; " received for " &amp; period &amp; ". Receipt No: " &amp; N995), "Send Receipt")))</f>
        <v/>
      </c>
    </row>
    <row r="996">
      <c r="A996" s="29"/>
      <c r="B996" s="29" t="s">
        <v>175</v>
      </c>
      <c r="C996" s="76"/>
      <c r="D996" s="29"/>
      <c r="E996" s="29"/>
      <c r="F996" s="29"/>
      <c r="G996" s="29"/>
      <c r="H996" s="29" t="str">
        <f t="shared" si="1"/>
        <v/>
      </c>
      <c r="I996" s="29" t="str">
        <f t="shared" si="2"/>
        <v/>
      </c>
      <c r="J996" s="29" t="str">
        <f>IF(A996="", "", IFERROR(VLOOKUP(A996, 'Master Roster'!A:H, 8, FALSE) - F996, ""))</f>
        <v/>
      </c>
      <c r="K996" s="29" t="s">
        <v>175</v>
      </c>
      <c r="L996" s="29" t="b">
        <v>0</v>
      </c>
      <c r="M996" s="29"/>
      <c r="N996" s="29" t="s">
        <v>175</v>
      </c>
      <c r="O996" s="29" t="str">
        <f>IF(ISBLANK(A996), "", LET(entry_day, VLOOKUP(A996, 'Master Roster'!$A:$G, 7, FALSE), start_date, DATE(E996, MONTH(D996&amp;" 1"), entry_day), end_date, EDATE(start_date, 1), period, TEXT(start_date, "mmm d, yyyy") &amp; " - " &amp; TEXT(end_date, "mmm d, yyyy"), HYPERLINK("https://wa.me/" &amp; VLOOKUP(A996, 'Master Roster'!$A:$F, 6, FALSE) &amp; "?text=" &amp; ENCODEURL("Hello " &amp; IFERROR(IF(VLOOKUP(A996, 'Master Roster'!$A:$J, 10, FALSE)="Male", "Mr. ", "Ms. "), "") &amp; B996 &amp; ", payment of K" &amp; F996 &amp; " received for " &amp; period &amp; ". Receipt No: " &amp; N996), "Send Receipt")))</f>
        <v/>
      </c>
    </row>
    <row r="997">
      <c r="A997" s="29"/>
      <c r="B997" s="29" t="s">
        <v>175</v>
      </c>
      <c r="C997" s="76"/>
      <c r="D997" s="29"/>
      <c r="E997" s="29"/>
      <c r="F997" s="29"/>
      <c r="G997" s="29"/>
      <c r="H997" s="29" t="str">
        <f t="shared" si="1"/>
        <v/>
      </c>
      <c r="I997" s="29" t="str">
        <f t="shared" si="2"/>
        <v/>
      </c>
      <c r="J997" s="29" t="str">
        <f>IF(A997="", "", IFERROR(VLOOKUP(A997, 'Master Roster'!A:H, 8, FALSE) - F997, ""))</f>
        <v/>
      </c>
      <c r="K997" s="29" t="s">
        <v>175</v>
      </c>
      <c r="L997" s="29" t="b">
        <v>0</v>
      </c>
      <c r="M997" s="29"/>
      <c r="N997" s="29" t="s">
        <v>175</v>
      </c>
      <c r="O997" s="29" t="str">
        <f>IF(ISBLANK(A997), "", LET(entry_day, VLOOKUP(A997, 'Master Roster'!$A:$G, 7, FALSE), start_date, DATE(E997, MONTH(D997&amp;" 1"), entry_day), end_date, EDATE(start_date, 1), period, TEXT(start_date, "mmm d, yyyy") &amp; " - " &amp; TEXT(end_date, "mmm d, yyyy"), HYPERLINK("https://wa.me/" &amp; VLOOKUP(A997, 'Master Roster'!$A:$F, 6, FALSE) &amp; "?text=" &amp; ENCODEURL("Hello " &amp; IFERROR(IF(VLOOKUP(A997, 'Master Roster'!$A:$J, 10, FALSE)="Male", "Mr. ", "Ms. "), "") &amp; B997 &amp; ", payment of K" &amp; F997 &amp; " received for " &amp; period &amp; ". Receipt No: " &amp; N997), "Send Receipt")))</f>
        <v/>
      </c>
    </row>
    <row r="998">
      <c r="A998" s="29"/>
      <c r="B998" s="29" t="s">
        <v>175</v>
      </c>
      <c r="C998" s="76"/>
      <c r="D998" s="29"/>
      <c r="E998" s="29"/>
      <c r="F998" s="29"/>
      <c r="G998" s="29"/>
      <c r="H998" s="29" t="str">
        <f t="shared" si="1"/>
        <v/>
      </c>
      <c r="I998" s="29" t="str">
        <f t="shared" si="2"/>
        <v/>
      </c>
      <c r="J998" s="29" t="str">
        <f>IF(A998="", "", IFERROR(VLOOKUP(A998, 'Master Roster'!A:H, 8, FALSE) - F998, ""))</f>
        <v/>
      </c>
      <c r="K998" s="29" t="s">
        <v>175</v>
      </c>
      <c r="L998" s="29" t="b">
        <v>0</v>
      </c>
      <c r="M998" s="29"/>
      <c r="N998" s="29" t="s">
        <v>175</v>
      </c>
      <c r="O998" s="29" t="str">
        <f>IF(ISBLANK(A998), "", LET(entry_day, VLOOKUP(A998, 'Master Roster'!$A:$G, 7, FALSE), start_date, DATE(E998, MONTH(D998&amp;" 1"), entry_day), end_date, EDATE(start_date, 1), period, TEXT(start_date, "mmm d, yyyy") &amp; " - " &amp; TEXT(end_date, "mmm d, yyyy"), HYPERLINK("https://wa.me/" &amp; VLOOKUP(A998, 'Master Roster'!$A:$F, 6, FALSE) &amp; "?text=" &amp; ENCODEURL("Hello " &amp; IFERROR(IF(VLOOKUP(A998, 'Master Roster'!$A:$J, 10, FALSE)="Male", "Mr. ", "Ms. "), "") &amp; B998 &amp; ", payment of K" &amp; F998 &amp; " received for " &amp; period &amp; ". Receipt No: " &amp; N998), "Send Receipt")))</f>
        <v/>
      </c>
    </row>
    <row r="999">
      <c r="A999" s="29"/>
      <c r="B999" s="29" t="s">
        <v>175</v>
      </c>
      <c r="C999" s="76"/>
      <c r="D999" s="29"/>
      <c r="E999" s="29"/>
      <c r="F999" s="29"/>
      <c r="G999" s="29"/>
      <c r="H999" s="29" t="str">
        <f t="shared" si="1"/>
        <v/>
      </c>
      <c r="I999" s="29" t="str">
        <f t="shared" si="2"/>
        <v/>
      </c>
      <c r="J999" s="29" t="str">
        <f>IF(A999="", "", IFERROR(VLOOKUP(A999, 'Master Roster'!A:H, 8, FALSE) - F999, ""))</f>
        <v/>
      </c>
      <c r="K999" s="29" t="s">
        <v>175</v>
      </c>
      <c r="L999" s="29" t="b">
        <v>0</v>
      </c>
      <c r="M999" s="29"/>
      <c r="N999" s="29" t="s">
        <v>175</v>
      </c>
      <c r="O999" s="29" t="str">
        <f>IF(ISBLANK(A999), "", LET(entry_day, VLOOKUP(A999, 'Master Roster'!$A:$G, 7, FALSE), start_date, DATE(E999, MONTH(D999&amp;" 1"), entry_day), end_date, EDATE(start_date, 1), period, TEXT(start_date, "mmm d, yyyy") &amp; " - " &amp; TEXT(end_date, "mmm d, yyyy"), HYPERLINK("https://wa.me/" &amp; VLOOKUP(A999, 'Master Roster'!$A:$F, 6, FALSE) &amp; "?text=" &amp; ENCODEURL("Hello " &amp; IFERROR(IF(VLOOKUP(A999, 'Master Roster'!$A:$J, 10, FALSE)="Male", "Mr. ", "Ms. "), "") &amp; B999 &amp; ", payment of K" &amp; F999 &amp; " received for " &amp; period &amp; ". Receipt No: " &amp; N999), "Send Receipt")))</f>
        <v/>
      </c>
    </row>
    <row r="1000">
      <c r="A1000" s="29"/>
      <c r="B1000" s="29" t="s">
        <v>175</v>
      </c>
      <c r="C1000" s="76"/>
      <c r="D1000" s="29"/>
      <c r="E1000" s="29"/>
      <c r="F1000" s="29"/>
      <c r="G1000" s="29"/>
      <c r="H1000" s="29" t="str">
        <f t="shared" si="1"/>
        <v/>
      </c>
      <c r="I1000" s="29" t="str">
        <f t="shared" si="2"/>
        <v/>
      </c>
      <c r="J1000" s="29" t="str">
        <f>IF(A1000="", "", IFERROR(VLOOKUP(A1000, 'Master Roster'!A:H, 8, FALSE) - F1000, ""))</f>
        <v/>
      </c>
      <c r="K1000" s="29" t="s">
        <v>175</v>
      </c>
      <c r="L1000" s="29" t="b">
        <v>0</v>
      </c>
      <c r="M1000" s="29"/>
      <c r="N1000" s="29" t="s">
        <v>175</v>
      </c>
      <c r="O1000" s="29" t="str">
        <f>IF(ISBLANK(A1000), "", LET(entry_day, VLOOKUP(A1000, 'Master Roster'!$A:$G, 7, FALSE), start_date, DATE(E1000, MONTH(D1000&amp;" 1"), entry_day), end_date, EDATE(start_date, 1), period, TEXT(start_date, "mmm d, yyyy") &amp; " - " &amp; TEXT(end_date, "mmm d, yyyy"), HYPERLINK("https://wa.me/" &amp; VLOOKUP(A1000, 'Master Roster'!$A:$F, 6, FALSE) &amp; "?text=" &amp; ENCODEURL("Hello " &amp; IFERROR(IF(VLOOKUP(A1000, 'Master Roster'!$A:$J, 10, FALSE)="Male", "Mr. ", "Ms. "), "") &amp; B1000 &amp; ", payment of K" &amp; F1000 &amp; " received for " &amp; period &amp; ". Receipt No: " &amp; N1000), "Send Receipt")))</f>
        <v/>
      </c>
    </row>
    <row r="1001">
      <c r="A1001" s="29"/>
      <c r="B1001" s="29" t="s">
        <v>175</v>
      </c>
      <c r="C1001" s="76"/>
      <c r="H1001" s="29" t="str">
        <f t="shared" si="1"/>
        <v/>
      </c>
      <c r="I1001" s="29" t="str">
        <f t="shared" si="2"/>
        <v/>
      </c>
      <c r="J1001" s="29" t="str">
        <f>IF(A1001="", "", IFERROR(VLOOKUP(A1001, 'Master Roster'!A:H, 8, FALSE) - F1001, ""))</f>
        <v/>
      </c>
      <c r="K1001" s="29" t="s">
        <v>175</v>
      </c>
      <c r="L1001" s="29" t="b">
        <v>0</v>
      </c>
      <c r="N1001" s="29" t="s">
        <v>175</v>
      </c>
      <c r="O1001" s="29" t="str">
        <f>IF(ISBLANK(A1001), "", LET(entry_day, VLOOKUP(A1001, 'Master Roster'!$A:$G, 7, FALSE), start_date, DATE(E1001, MONTH(D1001&amp;" 1"), entry_day), end_date, EDATE(start_date, 1), period, TEXT(start_date, "mmm d, yyyy") &amp; " - " &amp; TEXT(end_date, "mmm d, yyyy"), HYPERLINK("https://wa.me/" &amp; VLOOKUP(A1001, 'Master Roster'!$A:$F, 6, FALSE) &amp; "?text=" &amp; ENCODEURL("Hello " &amp; IFERROR(IF(VLOOKUP(A1001, 'Master Roster'!$A:$J, 10, FALSE)="Male", "Mr. ", "Ms. "), "") &amp; B1001 &amp; ", payment of K" &amp; F1001 &amp; " received for " &amp; period &amp; ". Receipt No: " &amp; N1001), "Send Receipt")))</f>
        <v/>
      </c>
    </row>
    <row r="1002">
      <c r="A1002" s="29"/>
      <c r="B1002" s="29" t="s">
        <v>175</v>
      </c>
      <c r="C1002" s="76"/>
      <c r="H1002" s="29" t="str">
        <f t="shared" si="1"/>
        <v/>
      </c>
      <c r="I1002" s="29" t="str">
        <f t="shared" si="2"/>
        <v/>
      </c>
      <c r="J1002" s="29" t="str">
        <f>IF(A1002="", "", IFERROR(VLOOKUP(A1002, 'Master Roster'!A:H, 8, FALSE) - F1002, ""))</f>
        <v/>
      </c>
      <c r="K1002" s="29" t="s">
        <v>175</v>
      </c>
      <c r="L1002" s="29" t="b">
        <v>0</v>
      </c>
      <c r="N1002" s="29" t="s">
        <v>175</v>
      </c>
      <c r="O1002" s="29" t="str">
        <f>IF(ISBLANK(A1002), "", LET(entry_day, VLOOKUP(A1002, 'Master Roster'!$A:$G, 7, FALSE), start_date, DATE(E1002, MONTH(D1002&amp;" 1"), entry_day), end_date, EDATE(start_date, 1), period, TEXT(start_date, "mmm d, yyyy") &amp; " - " &amp; TEXT(end_date, "mmm d, yyyy"), HYPERLINK("https://wa.me/" &amp; VLOOKUP(A1002, 'Master Roster'!$A:$F, 6, FALSE) &amp; "?text=" &amp; ENCODEURL("Hello " &amp; IFERROR(IF(VLOOKUP(A1002, 'Master Roster'!$A:$J, 10, FALSE)="Male", "Mr. ", "Ms. "), "") &amp; B1002 &amp; ", payment of K" &amp; F1002 &amp; " received for " &amp; period &amp; ". Receipt No: " &amp; N1002), "Send Receipt")))</f>
        <v/>
      </c>
    </row>
  </sheetData>
  <mergeCells count="1">
    <mergeCell ref="A1:D1"/>
  </mergeCells>
  <conditionalFormatting sqref="A3:O1000">
    <cfRule type="expression" dxfId="9" priority="1" stopIfTrue="1">
      <formula>ISODD(ROW())</formula>
    </cfRule>
  </conditionalFormatting>
  <dataValidations>
    <dataValidation type="list" allowBlank="1" sqref="A4:A1002">
      <formula1>'Master Roster'!$A$4:$A$108</formula1>
    </dataValidation>
  </dataValidations>
  <hyperlinks>
    <hyperlink display="💬 Send Receipt" location="'Receipt Template'!A1" ref="H4"/>
    <hyperlink display="Print Receipt" location="'Receipt Template'!A1" ref="I4"/>
    <hyperlink display="💬 Send Receipt" location="'Receipt Template'!A1" ref="H5"/>
    <hyperlink display="Print Receipt" location="'Receipt Template'!A1" ref="I5"/>
    <hyperlink display="💬 Send Receipt" location="'Receipt Template'!A1" ref="H6"/>
    <hyperlink display="Print Receipt" location="'Receipt Template'!A1" ref="I6"/>
    <hyperlink display="💬 Send Receipt" location="'Receipt Template'!A1" ref="H7"/>
    <hyperlink display="Print Receipt" location="'Receipt Template'!A1" ref="I7"/>
    <hyperlink display="💬 Send Receipt" location="'Receipt Template'!A1" ref="H8"/>
    <hyperlink display="Print Receipt" location="'Receipt Template'!A1" ref="I8"/>
    <hyperlink display="💬 Send Receipt" location="'Receipt Template'!A1" ref="H9"/>
    <hyperlink display="Print Receipt" location="'Receipt Template'!A1" ref="I9"/>
    <hyperlink display="💬 Send Receipt" location="'Receipt Template'!A1" ref="H10"/>
    <hyperlink display="Print Receipt" location="'Receipt Template'!A1" ref="I10"/>
    <hyperlink display="💬 Send Receipt" location="'Receipt Template'!A1" ref="H11"/>
    <hyperlink display="Print Receipt" location="'Receipt Template'!A1" ref="I11"/>
    <hyperlink display="💬 Send Receipt" location="'Receipt Template'!A1" ref="H12"/>
    <hyperlink display="Print Receipt" location="'Receipt Template'!A1" ref="I12"/>
    <hyperlink display="💬 Send Receipt" location="'Receipt Template'!A1" ref="H13"/>
    <hyperlink display="Print Receipt" location="'Receipt Template'!A1" ref="I13"/>
    <hyperlink display="💬 Send Receipt" location="'Receipt Template'!A1" ref="H14"/>
    <hyperlink display="Print Receipt" location="'Receipt Template'!A1" ref="I14"/>
    <hyperlink display="💬 Send Receipt" location="'Receipt Template'!A1" ref="H15"/>
    <hyperlink display="Print Receipt" location="'Receipt Template'!A1" ref="I15"/>
    <hyperlink display="💬 Send Receipt" location="'Receipt Template'!A1" ref="H16"/>
    <hyperlink display="Print Receipt" location="'Receipt Template'!A1" ref="I16"/>
    <hyperlink display="💬 Send Receipt" location="'Receipt Template'!A1" ref="H17"/>
    <hyperlink display="Print Receipt" location="'Receipt Template'!A1" ref="I17"/>
    <hyperlink display="💬 Send Receipt" location="'Receipt Template'!A1" ref="H18"/>
    <hyperlink display="Print Receipt" location="'Receipt Template'!A1" ref="I18"/>
    <hyperlink display="💬 Send Receipt" location="'Receipt Template'!A1" ref="H19"/>
    <hyperlink display="Print Receipt" location="'Receipt Template'!A1" ref="I19"/>
    <hyperlink display="💬 Send Receipt" location="'Receipt Template'!A1" ref="H20"/>
    <hyperlink display="Print Receipt" location="'Receipt Template'!A1" ref="I20"/>
  </hyperlink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63"/>
  </cols>
  <sheetData>
    <row r="1">
      <c r="A1" s="174" t="s">
        <v>217</v>
      </c>
      <c r="G1" s="31" t="s">
        <v>10</v>
      </c>
      <c r="H1" s="31" t="s">
        <v>218</v>
      </c>
      <c r="J1" s="29" t="str">
        <f>IFERROR(__xludf.DUMMYFUNCTION("QUERY('Monthly Billing Tab'!M3:M1002, ""select M, count(M) where M is not null group by M label M 'Billing Status', count(M) 'Count'"", 1)"),"Billing Status")</f>
        <v>Billing Status</v>
      </c>
      <c r="K1" s="29" t="str">
        <f>IFERROR(__xludf.DUMMYFUNCTION("""COMPUTED_VALUE"""),"Count")</f>
        <v>Count</v>
      </c>
      <c r="L1" s="31" t="s">
        <v>104</v>
      </c>
    </row>
    <row r="2">
      <c r="A2" s="17"/>
      <c r="B2" s="187"/>
      <c r="C2" s="29"/>
      <c r="D2" s="29"/>
      <c r="E2" s="29"/>
      <c r="F2" s="29"/>
      <c r="G2" s="31" t="s">
        <v>46</v>
      </c>
      <c r="H2" s="29">
        <f>'Available Bed Spaces'!I8</f>
        <v>47</v>
      </c>
      <c r="J2" s="29" t="str">
        <f>IFERROR(__xludf.DUMMYFUNCTION("""COMPUTED_VALUE"""),"Vacant")</f>
        <v>Vacant</v>
      </c>
      <c r="K2" s="29">
        <f>IFERROR(__xludf.DUMMYFUNCTION("""COMPUTED_VALUE"""),7.0)</f>
        <v>7</v>
      </c>
      <c r="L2" s="188">
        <f>SUMIF('Monthly Billing Tab'!M:M, J2, 'Monthly Billing Tab'!F:F)</f>
        <v>6000</v>
      </c>
      <c r="N2" s="29" t="str">
        <f>IFERROR(__xludf.DUMMYFUNCTION("SORT(UNIQUE(FILTER('Master Roster'!E4:E1002, 'Master Roster'!E4:E1002 &lt;&gt; """", 'Master Roster'!E4:E1002 &lt;&gt; ""Vacant"")))"),"Ackim Siamafuko")</f>
        <v>Ackim Siamafuko</v>
      </c>
    </row>
    <row r="3">
      <c r="A3" s="17" t="s">
        <v>219</v>
      </c>
      <c r="B3" s="187">
        <f>SUM('Master Roster'!H4:H1002)</f>
        <v>56250</v>
      </c>
      <c r="C3" s="29"/>
      <c r="D3" s="29" t="str">
        <f>IFERROR(__xludf.DUMMYFUNCTION("{""Select""; SORT(FILTER('Monthly Billing Tab'!D4:D1002, 'Monthly Billing Tab'!D4:D1002&lt;&gt;""""))}"),"Select")</f>
        <v>Select</v>
      </c>
      <c r="E3" s="29"/>
      <c r="F3" s="29"/>
      <c r="G3" s="31" t="s">
        <v>13</v>
      </c>
      <c r="H3" s="29">
        <f>'Available Bed Spaces'!I6</f>
        <v>7</v>
      </c>
      <c r="J3" s="29" t="str">
        <f>IFERROR(__xludf.DUMMYFUNCTION("""COMPUTED_VALUE"""),"⏳ Grace Period")</f>
        <v>⏳ Grace Period</v>
      </c>
      <c r="K3" s="29">
        <f>IFERROR(__xludf.DUMMYFUNCTION("""COMPUTED_VALUE"""),6.0)</f>
        <v>6</v>
      </c>
      <c r="L3" s="188">
        <f>SUMIF('Monthly Billing Tab'!M:M, J3, 'Monthly Billing Tab'!F:F)</f>
        <v>5900</v>
      </c>
      <c r="N3" s="29" t="str">
        <f>IFERROR(__xludf.DUMMYFUNCTION("""COMPUTED_VALUE"""),"Adrian mulale")</f>
        <v>Adrian mulale</v>
      </c>
    </row>
    <row r="4">
      <c r="A4" s="17" t="s">
        <v>46</v>
      </c>
      <c r="B4" s="29">
        <f>COUNTIFS('Master Roster'!E4:E1002, "&lt;&gt;Vacant", 'Master Roster'!E4:E1002, "&lt;&gt;Reserved", 'Master Roster'!E4:E1002, "&lt;&gt;")</f>
        <v>47</v>
      </c>
      <c r="C4" s="29"/>
      <c r="D4" s="29" t="str">
        <f>IFERROR(__xludf.DUMMYFUNCTION("""COMPUTED_VALUE"""),"Ackim Siamafuko")</f>
        <v>Ackim Siamafuko</v>
      </c>
      <c r="E4" s="29"/>
      <c r="F4" s="29"/>
      <c r="G4" s="31" t="s">
        <v>14</v>
      </c>
      <c r="H4" s="29">
        <f>'Available Bed Spaces'!J6</f>
        <v>0</v>
      </c>
      <c r="J4" s="29" t="str">
        <f>IFERROR(__xludf.DUMMYFUNCTION("""COMPUTED_VALUE"""),"✅ Paid / Secured")</f>
        <v>✅ Paid / Secured</v>
      </c>
      <c r="K4" s="29">
        <f>IFERROR(__xludf.DUMMYFUNCTION("""COMPUTED_VALUE"""),12.0)</f>
        <v>12</v>
      </c>
      <c r="L4" s="188">
        <f>SUMIF('Monthly Billing Tab'!M:M, J4, 'Monthly Billing Tab'!F:F)</f>
        <v>13200</v>
      </c>
      <c r="N4" s="29" t="str">
        <f>IFERROR(__xludf.DUMMYFUNCTION("""COMPUTED_VALUE"""),"Catherine Mphande")</f>
        <v>Catherine Mphande</v>
      </c>
    </row>
    <row r="5">
      <c r="A5" s="17" t="s">
        <v>221</v>
      </c>
      <c r="B5" s="29">
        <f>COUNTA('Master Roster'!D4:D1002)</f>
        <v>54</v>
      </c>
      <c r="C5" s="29"/>
      <c r="D5" s="29" t="str">
        <f>IFERROR(__xludf.DUMMYFUNCTION("""COMPUTED_VALUE"""),"Adrian mulale")</f>
        <v>Adrian mulale</v>
      </c>
      <c r="E5" s="29"/>
      <c r="F5" s="29"/>
      <c r="G5" s="29"/>
      <c r="H5" s="29"/>
      <c r="J5" s="29" t="str">
        <f>IFERROR(__xludf.DUMMYFUNCTION("""COMPUTED_VALUE"""),"❌ OVERDUE / UNPAID")</f>
        <v>❌ OVERDUE / UNPAID</v>
      </c>
      <c r="K5" s="29">
        <f>IFERROR(__xludf.DUMMYFUNCTION("""COMPUTED_VALUE"""),10.0)</f>
        <v>10</v>
      </c>
      <c r="L5" s="188">
        <f>SUMIF('Monthly Billing Tab'!M:M, J5, 'Monthly Billing Tab'!F:F)</f>
        <v>10550</v>
      </c>
      <c r="N5" s="29" t="str">
        <f>IFERROR(__xludf.DUMMYFUNCTION("""COMPUTED_VALUE"""),"Chama Kampamba")</f>
        <v>Chama Kampamba</v>
      </c>
    </row>
    <row r="6">
      <c r="A6" s="17" t="s">
        <v>222</v>
      </c>
      <c r="B6" s="189">
        <f>B4/B5</f>
        <v>0.8703703704</v>
      </c>
      <c r="C6" s="29"/>
      <c r="D6" s="29" t="str">
        <f>IFERROR(__xludf.DUMMYFUNCTION("""COMPUTED_VALUE"""),"Catherine Mphande")</f>
        <v>Catherine Mphande</v>
      </c>
      <c r="E6" s="29"/>
      <c r="F6" s="29"/>
      <c r="G6" s="29"/>
      <c r="H6" s="29"/>
      <c r="J6" s="29" t="str">
        <f>IFERROR(__xludf.DUMMYFUNCTION("""COMPUTED_VALUE"""),"🟢 Open Window")</f>
        <v>🟢 Open Window</v>
      </c>
      <c r="K6" s="29">
        <f>IFERROR(__xludf.DUMMYFUNCTION("""COMPUTED_VALUE"""),19.0)</f>
        <v>19</v>
      </c>
      <c r="L6" s="188">
        <f>SUMIF('Monthly Billing Tab'!M:M, J6, 'Monthly Billing Tab'!F:F)</f>
        <v>20600</v>
      </c>
      <c r="N6" s="29" t="str">
        <f>IFERROR(__xludf.DUMMYFUNCTION("""COMPUTED_VALUE"""),"Chami Soneka")</f>
        <v>Chami Soneka</v>
      </c>
    </row>
    <row r="7">
      <c r="A7" s="17" t="s">
        <v>224</v>
      </c>
      <c r="B7" s="187">
        <f>SUM('Monthly Billing Tab'!L4:L49)</f>
        <v>43000</v>
      </c>
      <c r="C7" s="29"/>
      <c r="D7" s="29" t="str">
        <f>IFERROR(__xludf.DUMMYFUNCTION("""COMPUTED_VALUE"""),"Chama Kampamba")</f>
        <v>Chama Kampamba</v>
      </c>
      <c r="E7" s="29"/>
      <c r="F7" s="29"/>
      <c r="G7" s="29"/>
      <c r="H7" s="29"/>
      <c r="L7" s="188">
        <f>SUM(L2:L6)</f>
        <v>56250</v>
      </c>
      <c r="N7" s="29" t="str">
        <f>IFERROR(__xludf.DUMMYFUNCTION("""COMPUTED_VALUE"""),"Chanda Lutashima")</f>
        <v>Chanda Lutashima</v>
      </c>
    </row>
    <row r="8">
      <c r="A8" s="31" t="s">
        <v>193</v>
      </c>
      <c r="B8" s="190">
        <f>SUMIFS('Monthly Billing Tab'!L:L, 'Monthly Billing Tab'!M:M, "⏳ Grace Period")</f>
        <v>5500</v>
      </c>
      <c r="C8" s="29"/>
      <c r="D8" s="29" t="str">
        <f>IFERROR(__xludf.DUMMYFUNCTION("""COMPUTED_VALUE"""),"Chami Soneka")</f>
        <v>Chami Soneka</v>
      </c>
      <c r="E8" s="29"/>
      <c r="F8" s="29"/>
      <c r="G8" s="29"/>
      <c r="H8" s="29"/>
      <c r="N8" s="29" t="str">
        <f>IFERROR(__xludf.DUMMYFUNCTION("""COMPUTED_VALUE"""),"Chansa Chinyama")</f>
        <v>Chansa Chinyama</v>
      </c>
    </row>
    <row r="9">
      <c r="A9" s="31" t="s">
        <v>225</v>
      </c>
      <c r="B9" s="29">
        <f>IFERROR(__xludf.DUMMYFUNCTION("SUM(IFERROR(FILTER('Monthly Billing Tab'!K4:K1002 - (MONTH(TODAY()) * 'Monthly Billing Tab'!F4:F1002 + IFERROR('Monthly Billing Tab'!H4:H1002, 0)), 'Monthly Billing Tab'!M4:M1002=""🟢 Open Window""), 0))"),-20600.0)</f>
        <v>-20600</v>
      </c>
      <c r="C9" s="29"/>
      <c r="D9" s="29" t="str">
        <f>IFERROR(__xludf.DUMMYFUNCTION("""COMPUTED_VALUE"""),"Chanda Lutashima")</f>
        <v>Chanda Lutashima</v>
      </c>
      <c r="E9" s="29"/>
      <c r="F9" s="29"/>
      <c r="G9" s="29"/>
      <c r="H9" s="29"/>
      <c r="N9" s="29" t="str">
        <f>IFERROR(__xludf.DUMMYFUNCTION("""COMPUTED_VALUE"""),"Chibesa Chisembe")</f>
        <v>Chibesa Chisembe</v>
      </c>
    </row>
    <row r="10">
      <c r="A10" s="29"/>
      <c r="B10" s="29"/>
      <c r="C10" s="29"/>
      <c r="D10" s="29" t="str">
        <f>IFERROR(__xludf.DUMMYFUNCTION("""COMPUTED_VALUE"""),"Chansa Chinyama")</f>
        <v>Chansa Chinyama</v>
      </c>
      <c r="E10" s="29"/>
      <c r="F10" s="29"/>
      <c r="G10" s="29"/>
      <c r="H10" s="29"/>
      <c r="N10" s="29" t="str">
        <f>IFERROR(__xludf.DUMMYFUNCTION("""COMPUTED_VALUE"""),"chilulu chiliulu")</f>
        <v>chilulu chiliulu</v>
      </c>
    </row>
    <row r="11">
      <c r="A11" s="29"/>
      <c r="B11" s="29"/>
      <c r="C11" s="29"/>
      <c r="D11" s="29" t="str">
        <f>IFERROR(__xludf.DUMMYFUNCTION("""COMPUTED_VALUE"""),"Chibesa Chisembe")</f>
        <v>Chibesa Chisembe</v>
      </c>
      <c r="E11" s="29"/>
      <c r="F11" s="29"/>
      <c r="G11" s="29"/>
      <c r="H11" s="29"/>
      <c r="N11" s="29" t="str">
        <f>IFERROR(__xludf.DUMMYFUNCTION("""COMPUTED_VALUE"""),"Christopher Phiri")</f>
        <v>Christopher Phiri</v>
      </c>
    </row>
    <row r="12">
      <c r="A12" s="29"/>
      <c r="B12" s="29"/>
      <c r="C12" s="29"/>
      <c r="D12" s="29" t="str">
        <f>IFERROR(__xludf.DUMMYFUNCTION("""COMPUTED_VALUE"""),"chilulu chiliulu")</f>
        <v>chilulu chiliulu</v>
      </c>
      <c r="E12" s="29"/>
      <c r="F12" s="29"/>
      <c r="G12" s="29"/>
      <c r="H12" s="29"/>
      <c r="N12" s="29" t="str">
        <f>IFERROR(__xludf.DUMMYFUNCTION("""COMPUTED_VALUE"""),"Christopher Tambule")</f>
        <v>Christopher Tambule</v>
      </c>
    </row>
    <row r="13">
      <c r="A13" s="29"/>
      <c r="B13" s="29"/>
      <c r="C13" s="29"/>
      <c r="D13" s="29" t="str">
        <f>IFERROR(__xludf.DUMMYFUNCTION("""COMPUTED_VALUE"""),"Christopher Phiri")</f>
        <v>Christopher Phiri</v>
      </c>
      <c r="E13" s="29"/>
      <c r="F13" s="29"/>
      <c r="G13" s="29"/>
      <c r="H13" s="29"/>
      <c r="N13" s="29" t="str">
        <f>IFERROR(__xludf.DUMMYFUNCTION("""COMPUTED_VALUE"""),"Collins Mubanga")</f>
        <v>Collins Mubanga</v>
      </c>
    </row>
    <row r="14">
      <c r="A14" s="29"/>
      <c r="B14" s="29"/>
      <c r="C14" s="29"/>
      <c r="D14" s="29" t="str">
        <f>IFERROR(__xludf.DUMMYFUNCTION("""COMPUTED_VALUE"""),"Christopher Tambule")</f>
        <v>Christopher Tambule</v>
      </c>
      <c r="E14" s="29"/>
      <c r="F14" s="29"/>
      <c r="G14" s="29"/>
      <c r="H14" s="29"/>
      <c r="N14" s="29" t="str">
        <f>IFERROR(__xludf.DUMMYFUNCTION("""COMPUTED_VALUE"""),"David Mulila")</f>
        <v>David Mulila</v>
      </c>
    </row>
    <row r="15">
      <c r="A15" s="29"/>
      <c r="B15" s="29"/>
      <c r="C15" s="29"/>
      <c r="D15" s="29" t="str">
        <f>IFERROR(__xludf.DUMMYFUNCTION("""COMPUTED_VALUE"""),"Collins Mubanga")</f>
        <v>Collins Mubanga</v>
      </c>
      <c r="E15" s="29"/>
      <c r="F15" s="29"/>
      <c r="G15" s="29"/>
      <c r="H15" s="29"/>
      <c r="N15" s="29" t="str">
        <f>IFERROR(__xludf.DUMMYFUNCTION("""COMPUTED_VALUE"""),"Emely Mwale")</f>
        <v>Emely Mwale</v>
      </c>
    </row>
    <row r="16">
      <c r="A16" s="29"/>
      <c r="B16" s="29"/>
      <c r="C16" s="29"/>
      <c r="D16" s="29" t="str">
        <f>IFERROR(__xludf.DUMMYFUNCTION("""COMPUTED_VALUE"""),"David Mulila")</f>
        <v>David Mulila</v>
      </c>
      <c r="E16" s="29"/>
      <c r="F16" s="29"/>
      <c r="G16" s="29"/>
      <c r="H16" s="29"/>
      <c r="N16" s="29" t="str">
        <f>IFERROR(__xludf.DUMMYFUNCTION("""COMPUTED_VALUE"""),"Felistus Mweemba")</f>
        <v>Felistus Mweemba</v>
      </c>
    </row>
    <row r="17">
      <c r="A17" s="29"/>
      <c r="B17" s="29"/>
      <c r="C17" s="29"/>
      <c r="D17" s="29" t="str">
        <f>IFERROR(__xludf.DUMMYFUNCTION("""COMPUTED_VALUE"""),"Emely Mwale")</f>
        <v>Emely Mwale</v>
      </c>
      <c r="E17" s="29"/>
      <c r="F17" s="29"/>
      <c r="G17" s="29"/>
      <c r="H17" s="29"/>
      <c r="N17" s="29" t="str">
        <f>IFERROR(__xludf.DUMMYFUNCTION("""COMPUTED_VALUE"""),"Funny Muyamina")</f>
        <v>Funny Muyamina</v>
      </c>
    </row>
    <row r="18">
      <c r="A18" s="29"/>
      <c r="B18" s="29"/>
      <c r="C18" s="29"/>
      <c r="D18" s="29" t="str">
        <f>IFERROR(__xludf.DUMMYFUNCTION("""COMPUTED_VALUE"""),"Felistus Mweemba")</f>
        <v>Felistus Mweemba</v>
      </c>
      <c r="E18" s="29"/>
      <c r="F18" s="29"/>
      <c r="G18" s="29"/>
      <c r="H18" s="29"/>
      <c r="N18" s="29" t="str">
        <f>IFERROR(__xludf.DUMMYFUNCTION("""COMPUTED_VALUE"""),"Gabirel Kabwe")</f>
        <v>Gabirel Kabwe</v>
      </c>
    </row>
    <row r="19">
      <c r="A19" s="29"/>
      <c r="B19" s="29"/>
      <c r="C19" s="29"/>
      <c r="D19" s="29" t="str">
        <f>IFERROR(__xludf.DUMMYFUNCTION("""COMPUTED_VALUE"""),"Funny Muyamina")</f>
        <v>Funny Muyamina</v>
      </c>
      <c r="E19" s="29"/>
      <c r="F19" s="29"/>
      <c r="G19" s="29"/>
      <c r="H19" s="29"/>
      <c r="N19" s="29" t="str">
        <f>IFERROR(__xludf.DUMMYFUNCTION("""COMPUTED_VALUE"""),"Gift Nankamba")</f>
        <v>Gift Nankamba</v>
      </c>
    </row>
    <row r="20">
      <c r="A20" s="29"/>
      <c r="B20" s="29"/>
      <c r="C20" s="29"/>
      <c r="D20" s="29" t="str">
        <f>IFERROR(__xludf.DUMMYFUNCTION("""COMPUTED_VALUE"""),"Gabirel Kabwe")</f>
        <v>Gabirel Kabwe</v>
      </c>
      <c r="E20" s="29"/>
      <c r="F20" s="29"/>
      <c r="G20" s="29"/>
      <c r="H20" s="29"/>
      <c r="N20" s="29" t="str">
        <f>IFERROR(__xludf.DUMMYFUNCTION("""COMPUTED_VALUE"""),"Grace Mwamba")</f>
        <v>Grace Mwamba</v>
      </c>
    </row>
    <row r="21">
      <c r="A21" s="29"/>
      <c r="B21" s="29"/>
      <c r="C21" s="29"/>
      <c r="D21" s="29" t="str">
        <f>IFERROR(__xludf.DUMMYFUNCTION("""COMPUTED_VALUE"""),"Gift Nankamba")</f>
        <v>Gift Nankamba</v>
      </c>
      <c r="E21" s="29"/>
      <c r="F21" s="29"/>
      <c r="G21" s="29"/>
      <c r="H21" s="29"/>
      <c r="N21" s="29" t="str">
        <f>IFERROR(__xludf.DUMMYFUNCTION("""COMPUTED_VALUE"""),"Harriet nanyangwe")</f>
        <v>Harriet nanyangwe</v>
      </c>
    </row>
    <row r="22">
      <c r="A22" s="29"/>
      <c r="B22" s="29"/>
      <c r="C22" s="29"/>
      <c r="D22" s="29" t="str">
        <f>IFERROR(__xludf.DUMMYFUNCTION("""COMPUTED_VALUE"""),"Grace Mwamba")</f>
        <v>Grace Mwamba</v>
      </c>
      <c r="E22" s="29"/>
      <c r="F22" s="29"/>
      <c r="G22" s="29"/>
      <c r="H22" s="29"/>
      <c r="N22" s="29" t="str">
        <f>IFERROR(__xludf.DUMMYFUNCTION("""COMPUTED_VALUE"""),"Himalikiti Saviour")</f>
        <v>Himalikiti Saviour</v>
      </c>
    </row>
    <row r="23">
      <c r="A23" s="29"/>
      <c r="B23" s="29"/>
      <c r="C23" s="29"/>
      <c r="D23" s="29" t="str">
        <f>IFERROR(__xludf.DUMMYFUNCTION("""COMPUTED_VALUE"""),"Harriet nanyangwe")</f>
        <v>Harriet nanyangwe</v>
      </c>
      <c r="E23" s="29"/>
      <c r="F23" s="29"/>
      <c r="G23" s="29"/>
      <c r="H23" s="29"/>
      <c r="N23" s="29" t="str">
        <f>IFERROR(__xludf.DUMMYFUNCTION("""COMPUTED_VALUE"""),"Jackson Mwanza")</f>
        <v>Jackson Mwanza</v>
      </c>
    </row>
    <row r="24">
      <c r="A24" s="29"/>
      <c r="B24" s="29"/>
      <c r="C24" s="29"/>
      <c r="D24" s="29" t="str">
        <f>IFERROR(__xludf.DUMMYFUNCTION("""COMPUTED_VALUE"""),"Himalikiti Saviour")</f>
        <v>Himalikiti Saviour</v>
      </c>
      <c r="E24" s="29"/>
      <c r="F24" s="29"/>
      <c r="G24" s="29"/>
      <c r="H24" s="29"/>
      <c r="N24" s="29" t="str">
        <f>IFERROR(__xludf.DUMMYFUNCTION("""COMPUTED_VALUE"""),"Jacqueline Mwape")</f>
        <v>Jacqueline Mwape</v>
      </c>
    </row>
    <row r="25">
      <c r="A25" s="29"/>
      <c r="B25" s="29"/>
      <c r="C25" s="29"/>
      <c r="D25" s="29" t="str">
        <f>IFERROR(__xludf.DUMMYFUNCTION("""COMPUTED_VALUE"""),"Jackson Mwanza")</f>
        <v>Jackson Mwanza</v>
      </c>
      <c r="E25" s="29"/>
      <c r="F25" s="29"/>
      <c r="G25" s="29"/>
      <c r="H25" s="29"/>
      <c r="N25" s="29" t="str">
        <f>IFERROR(__xludf.DUMMYFUNCTION("""COMPUTED_VALUE"""),"Jairos Banda")</f>
        <v>Jairos Banda</v>
      </c>
    </row>
    <row r="26">
      <c r="A26" s="29"/>
      <c r="B26" s="29"/>
      <c r="C26" s="29"/>
      <c r="D26" s="29" t="str">
        <f>IFERROR(__xludf.DUMMYFUNCTION("""COMPUTED_VALUE"""),"Jacqueline Mwape")</f>
        <v>Jacqueline Mwape</v>
      </c>
      <c r="E26" s="29"/>
      <c r="F26" s="29"/>
      <c r="G26" s="29"/>
      <c r="H26" s="29"/>
      <c r="N26" s="29" t="str">
        <f>IFERROR(__xludf.DUMMYFUNCTION("""COMPUTED_VALUE"""),"Josephine Nyirenda ")</f>
        <v>Josephine Nyirenda </v>
      </c>
    </row>
    <row r="27">
      <c r="A27" s="29"/>
      <c r="B27" s="29"/>
      <c r="C27" s="29"/>
      <c r="D27" s="29" t="str">
        <f>IFERROR(__xludf.DUMMYFUNCTION("""COMPUTED_VALUE"""),"Jairos Banda")</f>
        <v>Jairos Banda</v>
      </c>
      <c r="E27" s="29"/>
      <c r="F27" s="29"/>
      <c r="G27" s="29"/>
      <c r="H27" s="29"/>
      <c r="N27" s="29" t="str">
        <f>IFERROR(__xludf.DUMMYFUNCTION("""COMPUTED_VALUE"""),"Kangwa Kunda")</f>
        <v>Kangwa Kunda</v>
      </c>
    </row>
    <row r="28">
      <c r="A28" s="29"/>
      <c r="B28" s="29"/>
      <c r="C28" s="29"/>
      <c r="D28" s="29" t="str">
        <f>IFERROR(__xludf.DUMMYFUNCTION("""COMPUTED_VALUE"""),"Josephine Nyirenda ")</f>
        <v>Josephine Nyirenda </v>
      </c>
      <c r="E28" s="29"/>
      <c r="F28" s="29"/>
      <c r="G28" s="29"/>
      <c r="H28" s="29"/>
      <c r="N28" s="29" t="str">
        <f>IFERROR(__xludf.DUMMYFUNCTION("""COMPUTED_VALUE"""),"Kawina Florence")</f>
        <v>Kawina Florence</v>
      </c>
    </row>
    <row r="29">
      <c r="A29" s="29"/>
      <c r="B29" s="29"/>
      <c r="C29" s="29"/>
      <c r="D29" s="29" t="str">
        <f>IFERROR(__xludf.DUMMYFUNCTION("""COMPUTED_VALUE"""),"Kangwa Kunda")</f>
        <v>Kangwa Kunda</v>
      </c>
      <c r="E29" s="29"/>
      <c r="F29" s="29"/>
      <c r="G29" s="29"/>
      <c r="H29" s="29"/>
      <c r="N29" s="29" t="str">
        <f>IFERROR(__xludf.DUMMYFUNCTION("""COMPUTED_VALUE"""),"Kuwunda Makondo")</f>
        <v>Kuwunda Makondo</v>
      </c>
    </row>
    <row r="30">
      <c r="A30" s="29"/>
      <c r="B30" s="29"/>
      <c r="C30" s="29"/>
      <c r="D30" s="29" t="str">
        <f>IFERROR(__xludf.DUMMYFUNCTION("""COMPUTED_VALUE"""),"Kawina Florence")</f>
        <v>Kawina Florence</v>
      </c>
      <c r="E30" s="29"/>
      <c r="F30" s="29"/>
      <c r="G30" s="29"/>
      <c r="H30" s="29"/>
      <c r="N30" s="29" t="str">
        <f>IFERROR(__xludf.DUMMYFUNCTION("""COMPUTED_VALUE"""),"Kwitu Khalu")</f>
        <v>Kwitu Khalu</v>
      </c>
    </row>
    <row r="31">
      <c r="A31" s="29"/>
      <c r="B31" s="29"/>
      <c r="C31" s="29"/>
      <c r="D31" s="29" t="str">
        <f>IFERROR(__xludf.DUMMYFUNCTION("""COMPUTED_VALUE"""),"Kuwunda Makondo")</f>
        <v>Kuwunda Makondo</v>
      </c>
      <c r="E31" s="29"/>
      <c r="F31" s="29"/>
      <c r="G31" s="29"/>
      <c r="H31" s="29"/>
      <c r="N31" s="29" t="str">
        <f>IFERROR(__xludf.DUMMYFUNCTION("""COMPUTED_VALUE"""),"Lubono Ruthendo")</f>
        <v>Lubono Ruthendo</v>
      </c>
    </row>
    <row r="32">
      <c r="A32" s="29"/>
      <c r="B32" s="29"/>
      <c r="C32" s="29"/>
      <c r="D32" s="29" t="str">
        <f>IFERROR(__xludf.DUMMYFUNCTION("""COMPUTED_VALUE"""),"Kwitu Khalu")</f>
        <v>Kwitu Khalu</v>
      </c>
      <c r="E32" s="29"/>
      <c r="F32" s="29"/>
      <c r="G32" s="29"/>
      <c r="H32" s="29"/>
      <c r="N32" s="29" t="str">
        <f>IFERROR(__xludf.DUMMYFUNCTION("""COMPUTED_VALUE"""),"Lukundo Siame")</f>
        <v>Lukundo Siame</v>
      </c>
    </row>
    <row r="33">
      <c r="A33" s="29"/>
      <c r="B33" s="29"/>
      <c r="C33" s="29"/>
      <c r="D33" s="29" t="str">
        <f>IFERROR(__xludf.DUMMYFUNCTION("""COMPUTED_VALUE"""),"Lubono Ruthendo")</f>
        <v>Lubono Ruthendo</v>
      </c>
      <c r="E33" s="29"/>
      <c r="F33" s="29"/>
      <c r="G33" s="29"/>
      <c r="H33" s="29"/>
      <c r="N33" s="29" t="str">
        <f>IFERROR(__xludf.DUMMYFUNCTION("""COMPUTED_VALUE"""),"Lushomo gambwe")</f>
        <v>Lushomo gambwe</v>
      </c>
    </row>
    <row r="34">
      <c r="A34" s="29"/>
      <c r="B34" s="29"/>
      <c r="C34" s="29"/>
      <c r="D34" s="29" t="str">
        <f>IFERROR(__xludf.DUMMYFUNCTION("""COMPUTED_VALUE"""),"Lukundo Siame")</f>
        <v>Lukundo Siame</v>
      </c>
      <c r="E34" s="29"/>
      <c r="F34" s="29"/>
      <c r="G34" s="29"/>
      <c r="H34" s="29"/>
      <c r="N34" s="29" t="str">
        <f>IFERROR(__xludf.DUMMYFUNCTION("""COMPUTED_VALUE"""),"McDonald")</f>
        <v>McDonald</v>
      </c>
    </row>
    <row r="35">
      <c r="A35" s="29"/>
      <c r="B35" s="29"/>
      <c r="C35" s="29"/>
      <c r="D35" s="29" t="str">
        <f>IFERROR(__xludf.DUMMYFUNCTION("""COMPUTED_VALUE"""),"Lushomo gambwe")</f>
        <v>Lushomo gambwe</v>
      </c>
      <c r="E35" s="29"/>
      <c r="F35" s="29"/>
      <c r="G35" s="29"/>
      <c r="H35" s="29"/>
      <c r="N35" s="29" t="str">
        <f>IFERROR(__xludf.DUMMYFUNCTION("""COMPUTED_VALUE"""),"Melody Mumba")</f>
        <v>Melody Mumba</v>
      </c>
    </row>
    <row r="36">
      <c r="A36" s="29"/>
      <c r="B36" s="29"/>
      <c r="C36" s="29"/>
      <c r="D36" s="29" t="str">
        <f>IFERROR(__xludf.DUMMYFUNCTION("""COMPUTED_VALUE"""),"McDonald")</f>
        <v>McDonald</v>
      </c>
      <c r="E36" s="29"/>
      <c r="F36" s="29"/>
      <c r="G36" s="29"/>
      <c r="H36" s="29"/>
      <c r="N36" s="29" t="str">
        <f>IFERROR(__xludf.DUMMYFUNCTION("""COMPUTED_VALUE"""),"Nanga Obrien")</f>
        <v>Nanga Obrien</v>
      </c>
    </row>
    <row r="37">
      <c r="A37" s="29"/>
      <c r="B37" s="29"/>
      <c r="C37" s="29"/>
      <c r="D37" s="29" t="str">
        <f>IFERROR(__xludf.DUMMYFUNCTION("""COMPUTED_VALUE"""),"Melody Mumba")</f>
        <v>Melody Mumba</v>
      </c>
      <c r="E37" s="29"/>
      <c r="F37" s="29"/>
      <c r="G37" s="29"/>
      <c r="H37" s="29"/>
      <c r="N37" s="29" t="str">
        <f>IFERROR(__xludf.DUMMYFUNCTION("""COMPUTED_VALUE"""),"Ongani Madaliso Gabriel ")</f>
        <v>Ongani Madaliso Gabriel </v>
      </c>
    </row>
    <row r="38">
      <c r="A38" s="29"/>
      <c r="B38" s="29"/>
      <c r="C38" s="29"/>
      <c r="D38" s="29" t="str">
        <f>IFERROR(__xludf.DUMMYFUNCTION("""COMPUTED_VALUE"""),"Nanga Obrien")</f>
        <v>Nanga Obrien</v>
      </c>
      <c r="E38" s="29"/>
      <c r="F38" s="29"/>
      <c r="G38" s="29"/>
      <c r="H38" s="29"/>
      <c r="N38" s="29" t="str">
        <f>IFERROR(__xludf.DUMMYFUNCTION("""COMPUTED_VALUE"""),"Prosper Kalayi")</f>
        <v>Prosper Kalayi</v>
      </c>
    </row>
    <row r="39">
      <c r="A39" s="29"/>
      <c r="B39" s="29"/>
      <c r="C39" s="29"/>
      <c r="D39" s="29" t="str">
        <f>IFERROR(__xludf.DUMMYFUNCTION("""COMPUTED_VALUE"""),"Ongani Madaliso Gabriel ")</f>
        <v>Ongani Madaliso Gabriel </v>
      </c>
      <c r="E39" s="29"/>
      <c r="F39" s="29"/>
      <c r="G39" s="29"/>
      <c r="H39" s="29"/>
      <c r="N39" s="29" t="str">
        <f>IFERROR(__xludf.DUMMYFUNCTION("""COMPUTED_VALUE"""),"Reuben Ngusulu")</f>
        <v>Reuben Ngusulu</v>
      </c>
    </row>
    <row r="40">
      <c r="A40" s="29"/>
      <c r="B40" s="29"/>
      <c r="C40" s="29"/>
      <c r="D40" s="29" t="str">
        <f>IFERROR(__xludf.DUMMYFUNCTION("""COMPUTED_VALUE"""),"Prosper Kalayi")</f>
        <v>Prosper Kalayi</v>
      </c>
      <c r="E40" s="29"/>
      <c r="F40" s="29"/>
      <c r="G40" s="29"/>
      <c r="H40" s="29"/>
      <c r="N40" s="29" t="str">
        <f>IFERROR(__xludf.DUMMYFUNCTION("""COMPUTED_VALUE"""),"Samantha Musako (Kakompe)")</f>
        <v>Samantha Musako (Kakompe)</v>
      </c>
    </row>
    <row r="41">
      <c r="A41" s="29"/>
      <c r="B41" s="29"/>
      <c r="C41" s="29"/>
      <c r="D41" s="29" t="str">
        <f>IFERROR(__xludf.DUMMYFUNCTION("""COMPUTED_VALUE"""),"Reuben Ngusulu")</f>
        <v>Reuben Ngusulu</v>
      </c>
      <c r="E41" s="29"/>
      <c r="F41" s="29"/>
      <c r="G41" s="29"/>
      <c r="H41" s="29"/>
      <c r="N41" s="29" t="str">
        <f>IFERROR(__xludf.DUMMYFUNCTION("""COMPUTED_VALUE"""),"Sara Matakala")</f>
        <v>Sara Matakala</v>
      </c>
    </row>
    <row r="42">
      <c r="A42" s="29"/>
      <c r="B42" s="29"/>
      <c r="C42" s="29"/>
      <c r="D42" s="29" t="str">
        <f>IFERROR(__xludf.DUMMYFUNCTION("""COMPUTED_VALUE"""),"Samantha Musako (Kakompe)")</f>
        <v>Samantha Musako (Kakompe)</v>
      </c>
      <c r="E42" s="29"/>
      <c r="F42" s="29"/>
      <c r="G42" s="29"/>
      <c r="H42" s="29"/>
      <c r="N42" s="29" t="str">
        <f>IFERROR(__xludf.DUMMYFUNCTION("""COMPUTED_VALUE"""),"Shadrach Munganini")</f>
        <v>Shadrach Munganini</v>
      </c>
    </row>
    <row r="43">
      <c r="A43" s="29"/>
      <c r="B43" s="29"/>
      <c r="C43" s="29"/>
      <c r="D43" s="29" t="str">
        <f>IFERROR(__xludf.DUMMYFUNCTION("""COMPUTED_VALUE"""),"Sara Matakala")</f>
        <v>Sara Matakala</v>
      </c>
      <c r="E43" s="29"/>
      <c r="F43" s="29"/>
      <c r="G43" s="29"/>
      <c r="H43" s="29"/>
      <c r="N43" s="29" t="str">
        <f>IFERROR(__xludf.DUMMYFUNCTION("""COMPUTED_VALUE"""),"Steven Musonda")</f>
        <v>Steven Musonda</v>
      </c>
    </row>
    <row r="44">
      <c r="A44" s="29"/>
      <c r="B44" s="29"/>
      <c r="C44" s="29"/>
      <c r="D44" s="29" t="str">
        <f>IFERROR(__xludf.DUMMYFUNCTION("""COMPUTED_VALUE"""),"Shadrach Munganini")</f>
        <v>Shadrach Munganini</v>
      </c>
      <c r="E44" s="29"/>
      <c r="F44" s="29"/>
      <c r="G44" s="29"/>
      <c r="H44" s="29"/>
      <c r="N44" s="29" t="str">
        <f>IFERROR(__xludf.DUMMYFUNCTION("""COMPUTED_VALUE"""),"Treasure Simeenda")</f>
        <v>Treasure Simeenda</v>
      </c>
    </row>
    <row r="45">
      <c r="A45" s="29"/>
      <c r="B45" s="29"/>
      <c r="C45" s="29"/>
      <c r="D45" s="29" t="str">
        <f>IFERROR(__xludf.DUMMYFUNCTION("""COMPUTED_VALUE"""),"Steven Musonda")</f>
        <v>Steven Musonda</v>
      </c>
      <c r="E45" s="29"/>
      <c r="F45" s="29"/>
      <c r="G45" s="29"/>
      <c r="H45" s="29"/>
      <c r="N45" s="29" t="str">
        <f>IFERROR(__xludf.DUMMYFUNCTION("""COMPUTED_VALUE"""),"Wampa ")</f>
        <v>Wampa </v>
      </c>
    </row>
    <row r="46">
      <c r="A46" s="29"/>
      <c r="B46" s="29"/>
      <c r="C46" s="29"/>
      <c r="D46" s="29" t="str">
        <f>IFERROR(__xludf.DUMMYFUNCTION("""COMPUTED_VALUE"""),"Treasure Simeenda")</f>
        <v>Treasure Simeenda</v>
      </c>
      <c r="E46" s="29"/>
      <c r="F46" s="29"/>
      <c r="G46" s="29"/>
      <c r="H46" s="29"/>
      <c r="N46" s="29" t="str">
        <f>IFERROR(__xludf.DUMMYFUNCTION("""COMPUTED_VALUE"""),"Wendy Mpakise")</f>
        <v>Wendy Mpakise</v>
      </c>
    </row>
    <row r="47">
      <c r="A47" s="29"/>
      <c r="B47" s="29"/>
      <c r="C47" s="29"/>
      <c r="D47" s="29" t="str">
        <f>IFERROR(__xludf.DUMMYFUNCTION("""COMPUTED_VALUE"""),"Vacant")</f>
        <v>Vacant</v>
      </c>
      <c r="E47" s="29"/>
      <c r="F47" s="29"/>
      <c r="G47" s="29"/>
      <c r="H47" s="29"/>
      <c r="N47" s="29" t="str">
        <f>IFERROR(__xludf.DUMMYFUNCTION("""COMPUTED_VALUE"""),"Wisdom Bwani")</f>
        <v>Wisdom Bwani</v>
      </c>
    </row>
    <row r="48">
      <c r="A48" s="29"/>
      <c r="B48" s="29"/>
      <c r="C48" s="29"/>
      <c r="D48" s="29" t="str">
        <f>IFERROR(__xludf.DUMMYFUNCTION("""COMPUTED_VALUE"""),"Vacant")</f>
        <v>Vacant</v>
      </c>
      <c r="E48" s="29"/>
      <c r="F48" s="29"/>
      <c r="G48" s="29"/>
      <c r="H48" s="29"/>
      <c r="N48" s="29" t="str">
        <f>IFERROR(__xludf.DUMMYFUNCTION("""COMPUTED_VALUE"""),"Zick Phiri")</f>
        <v>Zick Phiri</v>
      </c>
    </row>
    <row r="49">
      <c r="A49" s="29"/>
      <c r="B49" s="29"/>
      <c r="C49" s="29"/>
      <c r="D49" s="29" t="str">
        <f>IFERROR(__xludf.DUMMYFUNCTION("""COMPUTED_VALUE"""),"Vacant")</f>
        <v>Vacant</v>
      </c>
      <c r="E49" s="29"/>
      <c r="F49" s="29"/>
      <c r="G49" s="29"/>
      <c r="H49" s="29"/>
    </row>
    <row r="50">
      <c r="A50" s="29"/>
      <c r="B50" s="29"/>
      <c r="C50" s="29"/>
      <c r="D50" s="29" t="str">
        <f>IFERROR(__xludf.DUMMYFUNCTION("""COMPUTED_VALUE"""),"Vacant")</f>
        <v>Vacant</v>
      </c>
      <c r="E50" s="29"/>
      <c r="F50" s="29"/>
      <c r="G50" s="29"/>
      <c r="H50" s="29"/>
    </row>
    <row r="51">
      <c r="A51" s="29"/>
      <c r="B51" s="29"/>
      <c r="C51" s="29"/>
      <c r="D51" s="29" t="str">
        <f>IFERROR(__xludf.DUMMYFUNCTION("""COMPUTED_VALUE"""),"Vacant")</f>
        <v>Vacant</v>
      </c>
      <c r="E51" s="29"/>
      <c r="F51" s="29"/>
      <c r="G51" s="29"/>
      <c r="H51" s="29"/>
    </row>
    <row r="52">
      <c r="A52" s="29"/>
      <c r="B52" s="29"/>
      <c r="C52" s="29"/>
      <c r="D52" s="29" t="str">
        <f>IFERROR(__xludf.DUMMYFUNCTION("""COMPUTED_VALUE"""),"Vacant")</f>
        <v>Vacant</v>
      </c>
      <c r="E52" s="29"/>
      <c r="F52" s="29"/>
      <c r="G52" s="29"/>
      <c r="H52" s="29"/>
    </row>
    <row r="53">
      <c r="A53" s="29"/>
      <c r="B53" s="29"/>
      <c r="C53" s="29"/>
      <c r="D53" s="29" t="str">
        <f>IFERROR(__xludf.DUMMYFUNCTION("""COMPUTED_VALUE"""),"Vacant")</f>
        <v>Vacant</v>
      </c>
      <c r="E53" s="29"/>
      <c r="F53" s="29"/>
      <c r="G53" s="29"/>
      <c r="H53" s="29"/>
    </row>
    <row r="54">
      <c r="A54" s="29"/>
      <c r="B54" s="29"/>
      <c r="C54" s="29"/>
      <c r="D54" s="29" t="str">
        <f>IFERROR(__xludf.DUMMYFUNCTION("""COMPUTED_VALUE"""),"Wampa ")</f>
        <v>Wampa </v>
      </c>
      <c r="E54" s="29"/>
      <c r="F54" s="29"/>
      <c r="G54" s="29"/>
      <c r="H54" s="29"/>
    </row>
    <row r="55">
      <c r="A55" s="29"/>
      <c r="B55" s="29"/>
      <c r="C55" s="29"/>
      <c r="D55" s="29" t="str">
        <f>IFERROR(__xludf.DUMMYFUNCTION("""COMPUTED_VALUE"""),"Wendy Mpakise")</f>
        <v>Wendy Mpakise</v>
      </c>
      <c r="E55" s="29"/>
      <c r="F55" s="29"/>
      <c r="G55" s="29"/>
      <c r="H55" s="29"/>
    </row>
    <row r="56">
      <c r="A56" s="29"/>
      <c r="B56" s="29"/>
      <c r="C56" s="29"/>
      <c r="D56" s="29" t="str">
        <f>IFERROR(__xludf.DUMMYFUNCTION("""COMPUTED_VALUE"""),"Wisdom Bwani")</f>
        <v>Wisdom Bwani</v>
      </c>
      <c r="E56" s="29"/>
      <c r="F56" s="29"/>
      <c r="G56" s="29"/>
      <c r="H56" s="29"/>
    </row>
    <row r="57">
      <c r="A57" s="29"/>
      <c r="B57" s="29"/>
      <c r="C57" s="29"/>
      <c r="D57" s="29" t="str">
        <f>IFERROR(__xludf.DUMMYFUNCTION("""COMPUTED_VALUE"""),"Zick Phiri")</f>
        <v>Zick Phiri</v>
      </c>
      <c r="E57" s="29"/>
      <c r="F57" s="29"/>
      <c r="G57" s="29"/>
      <c r="H57" s="29"/>
    </row>
    <row r="58">
      <c r="A58" s="29"/>
      <c r="B58" s="29"/>
      <c r="C58" s="29"/>
      <c r="D58" s="29"/>
      <c r="E58" s="29"/>
      <c r="F58" s="29"/>
      <c r="G58" s="29"/>
      <c r="H58" s="29"/>
    </row>
    <row r="59">
      <c r="A59" s="29"/>
      <c r="B59" s="29"/>
      <c r="C59" s="29"/>
      <c r="D59" s="29"/>
      <c r="E59" s="29"/>
      <c r="F59" s="29"/>
      <c r="G59" s="29"/>
      <c r="H59" s="29"/>
    </row>
    <row r="60">
      <c r="A60" s="29" t="str">
        <f>IFERROR(__xludf.DUMMYFUNCTION("QUERY('Master Roster'!A3:J1002, ""SELECT C, COUNT(A) WHERE E != 'Vacant' AND E != 'Reserved' AND E IS NOT NULL GROUP BY C LABEL C 'House/Block', COUNT(A) 'Occupied Beds'"")"),"House/Block")</f>
        <v>House/Block</v>
      </c>
      <c r="B60" s="29" t="str">
        <f>IFERROR(__xludf.DUMMYFUNCTION("""COMPUTED_VALUE"""),"Occupied Beds")</f>
        <v>Occupied Beds</v>
      </c>
      <c r="C60" s="29"/>
      <c r="D60" s="29" t="str">
        <f>IFERROR(__xludf.DUMMYFUNCTION("QUERY('Master Roster'!A3:J1002, ""SELECT C, SUM(H) WHERE C IS NOT NULL GROUP BY C LABEL C 'House/Block', SUM(H) 'Expected Revenue'"")"),"House/Block")</f>
        <v>House/Block</v>
      </c>
      <c r="E60" s="29" t="str">
        <f>IFERROR(__xludf.DUMMYFUNCTION("""COMPUTED_VALUE"""),"Expected Revenue")</f>
        <v>Expected Revenue</v>
      </c>
      <c r="F60" s="29"/>
      <c r="G60" s="29"/>
      <c r="H60" s="29"/>
    </row>
    <row r="61">
      <c r="A61" s="29" t="str">
        <f>IFERROR(__xludf.DUMMYFUNCTION("""COMPUTED_VALUE"""),"ANX")</f>
        <v>ANX</v>
      </c>
      <c r="B61" s="29">
        <f>IFERROR(__xludf.DUMMYFUNCTION("""COMPUTED_VALUE"""),5.0)</f>
        <v>5</v>
      </c>
      <c r="C61" s="29"/>
      <c r="D61" s="29" t="str">
        <f>IFERROR(__xludf.DUMMYFUNCTION("""COMPUTED_VALUE"""),"ANX")</f>
        <v>ANX</v>
      </c>
      <c r="E61" s="29">
        <f>IFERROR(__xludf.DUMMYFUNCTION("""COMPUTED_VALUE"""),6200.0)</f>
        <v>6200</v>
      </c>
      <c r="F61" s="29"/>
      <c r="G61" s="29"/>
      <c r="H61" s="29"/>
    </row>
    <row r="62">
      <c r="A62" s="29" t="str">
        <f>IFERROR(__xludf.DUMMYFUNCTION("""COMPUTED_VALUE"""),"BBH")</f>
        <v>BBH</v>
      </c>
      <c r="B62" s="29">
        <f>IFERROR(__xludf.DUMMYFUNCTION("""COMPUTED_VALUE"""),16.0)</f>
        <v>16</v>
      </c>
      <c r="C62" s="29"/>
      <c r="D62" s="29" t="str">
        <f>IFERROR(__xludf.DUMMYFUNCTION("""COMPUTED_VALUE"""),"BBH")</f>
        <v>BBH</v>
      </c>
      <c r="E62" s="29">
        <f>IFERROR(__xludf.DUMMYFUNCTION("""COMPUTED_VALUE"""),16300.0)</f>
        <v>16300</v>
      </c>
      <c r="F62" s="29"/>
      <c r="G62" s="29"/>
      <c r="H62" s="29"/>
    </row>
    <row r="63">
      <c r="A63" s="29" t="str">
        <f>IFERROR(__xludf.DUMMYFUNCTION("""COMPUTED_VALUE"""),"CRV")</f>
        <v>CRV</v>
      </c>
      <c r="B63" s="29">
        <f>IFERROR(__xludf.DUMMYFUNCTION("""COMPUTED_VALUE"""),3.0)</f>
        <v>3</v>
      </c>
      <c r="C63" s="29"/>
      <c r="D63" s="29" t="str">
        <f>IFERROR(__xludf.DUMMYFUNCTION("""COMPUTED_VALUE"""),"CRV")</f>
        <v>CRV</v>
      </c>
      <c r="E63" s="29">
        <f>IFERROR(__xludf.DUMMYFUNCTION("""COMPUTED_VALUE"""),3300.0)</f>
        <v>3300</v>
      </c>
      <c r="F63" s="29"/>
      <c r="G63" s="29"/>
      <c r="H63" s="29"/>
    </row>
    <row r="64">
      <c r="A64" s="29" t="str">
        <f>IFERROR(__xludf.DUMMYFUNCTION("""COMPUTED_VALUE"""),"NWG")</f>
        <v>NWG</v>
      </c>
      <c r="B64" s="29">
        <f>IFERROR(__xludf.DUMMYFUNCTION("""COMPUTED_VALUE"""),15.0)</f>
        <v>15</v>
      </c>
      <c r="C64" s="29"/>
      <c r="D64" s="29" t="str">
        <f>IFERROR(__xludf.DUMMYFUNCTION("""COMPUTED_VALUE"""),"NWG")</f>
        <v>NWG</v>
      </c>
      <c r="E64" s="29">
        <f>IFERROR(__xludf.DUMMYFUNCTION("""COMPUTED_VALUE"""),20400.0)</f>
        <v>20400</v>
      </c>
      <c r="F64" s="29"/>
      <c r="G64" s="29"/>
      <c r="H64" s="29"/>
    </row>
    <row r="65">
      <c r="A65" s="29" t="str">
        <f>IFERROR(__xludf.DUMMYFUNCTION("""COMPUTED_VALUE"""),"UPV")</f>
        <v>UPV</v>
      </c>
      <c r="B65" s="29">
        <f>IFERROR(__xludf.DUMMYFUNCTION("""COMPUTED_VALUE"""),8.0)</f>
        <v>8</v>
      </c>
      <c r="C65" s="29"/>
      <c r="D65" s="29" t="str">
        <f>IFERROR(__xludf.DUMMYFUNCTION("""COMPUTED_VALUE"""),"UPV")</f>
        <v>UPV</v>
      </c>
      <c r="E65" s="29">
        <f>IFERROR(__xludf.DUMMYFUNCTION("""COMPUTED_VALUE"""),10050.0)</f>
        <v>10050</v>
      </c>
      <c r="F65" s="29"/>
      <c r="G65" s="29"/>
      <c r="H65" s="29"/>
    </row>
    <row r="66">
      <c r="A66" s="29"/>
      <c r="B66" s="29"/>
      <c r="C66" s="29"/>
      <c r="D66" s="29"/>
      <c r="E66" s="29"/>
      <c r="F66" s="29"/>
      <c r="G66" s="29"/>
      <c r="H66" s="29"/>
    </row>
    <row r="67">
      <c r="A67" s="29"/>
      <c r="B67" s="29"/>
      <c r="C67" s="29"/>
      <c r="D67" s="29"/>
      <c r="E67" s="29"/>
      <c r="F67" s="29"/>
      <c r="G67" s="29"/>
      <c r="H67" s="29"/>
    </row>
    <row r="68">
      <c r="A68" s="29"/>
      <c r="B68" s="29"/>
      <c r="C68" s="29"/>
      <c r="D68" s="29"/>
      <c r="E68" s="29"/>
      <c r="F68" s="29"/>
      <c r="G68" s="29"/>
      <c r="H68" s="29"/>
    </row>
    <row r="69">
      <c r="A69" s="29"/>
      <c r="B69" s="29"/>
      <c r="C69" s="29"/>
      <c r="D69" s="29"/>
      <c r="E69" s="29"/>
      <c r="F69" s="29"/>
      <c r="G69" s="29"/>
      <c r="H69" s="29"/>
    </row>
    <row r="70">
      <c r="A70" s="29"/>
      <c r="B70" s="29"/>
      <c r="C70" s="29"/>
      <c r="D70" s="29"/>
      <c r="E70" s="29"/>
      <c r="F70" s="29"/>
      <c r="G70" s="29"/>
      <c r="H70" s="29"/>
    </row>
    <row r="71">
      <c r="A71" s="29"/>
      <c r="B71" s="29"/>
      <c r="C71" s="29"/>
      <c r="D71" s="29"/>
      <c r="E71" s="29"/>
      <c r="F71" s="29"/>
      <c r="G71" s="29"/>
      <c r="H71" s="29"/>
    </row>
    <row r="72">
      <c r="A72" s="29"/>
      <c r="B72" s="29"/>
      <c r="C72" s="29"/>
      <c r="D72" s="29"/>
      <c r="E72" s="29"/>
      <c r="F72" s="29"/>
      <c r="G72" s="29"/>
      <c r="H72" s="29"/>
    </row>
    <row r="73">
      <c r="A73" s="29"/>
      <c r="B73" s="29"/>
      <c r="C73" s="29"/>
      <c r="D73" s="29"/>
      <c r="E73" s="29"/>
      <c r="F73" s="29"/>
      <c r="G73" s="29"/>
      <c r="H73" s="29"/>
    </row>
    <row r="74">
      <c r="A74" s="29"/>
      <c r="B74" s="29"/>
      <c r="C74" s="29"/>
      <c r="D74" s="29"/>
      <c r="E74" s="29"/>
      <c r="F74" s="29"/>
      <c r="G74" s="29"/>
      <c r="H74" s="29"/>
    </row>
    <row r="75">
      <c r="A75" s="29"/>
      <c r="B75" s="29"/>
      <c r="C75" s="29"/>
      <c r="D75" s="29"/>
      <c r="E75" s="29"/>
      <c r="F75" s="29"/>
      <c r="G75" s="29"/>
      <c r="H75" s="29"/>
    </row>
    <row r="76">
      <c r="A76" s="29"/>
      <c r="B76" s="29"/>
      <c r="C76" s="29"/>
      <c r="D76" s="29"/>
      <c r="E76" s="29"/>
      <c r="F76" s="29"/>
      <c r="G76" s="29"/>
      <c r="H76" s="29"/>
    </row>
    <row r="77">
      <c r="A77" s="29"/>
      <c r="B77" s="29"/>
      <c r="C77" s="29"/>
      <c r="D77" s="29"/>
      <c r="E77" s="29"/>
      <c r="F77" s="29"/>
      <c r="G77" s="29"/>
      <c r="H77" s="29"/>
    </row>
    <row r="78">
      <c r="A78" s="29"/>
      <c r="B78" s="29"/>
      <c r="C78" s="29"/>
      <c r="D78" s="29"/>
      <c r="E78" s="29"/>
      <c r="F78" s="29"/>
      <c r="G78" s="29"/>
      <c r="H78" s="29"/>
    </row>
    <row r="79">
      <c r="A79" s="29"/>
      <c r="B79" s="29"/>
      <c r="C79" s="29"/>
      <c r="D79" s="29"/>
      <c r="E79" s="29"/>
      <c r="F79" s="29"/>
      <c r="G79" s="29"/>
      <c r="H79" s="29"/>
    </row>
    <row r="80">
      <c r="A80" s="29"/>
      <c r="B80" s="29"/>
      <c r="C80" s="29"/>
      <c r="D80" s="29"/>
      <c r="E80" s="29"/>
      <c r="F80" s="29"/>
      <c r="G80" s="29"/>
      <c r="H80" s="29"/>
    </row>
    <row r="81">
      <c r="A81" s="29"/>
      <c r="B81" s="29"/>
      <c r="C81" s="29"/>
      <c r="D81" s="29"/>
      <c r="E81" s="29"/>
      <c r="F81" s="29"/>
      <c r="G81" s="29"/>
      <c r="H81" s="29"/>
    </row>
    <row r="82">
      <c r="A82" s="29"/>
      <c r="B82" s="29"/>
      <c r="C82" s="29"/>
      <c r="D82" s="29"/>
      <c r="E82" s="29"/>
      <c r="F82" s="29"/>
      <c r="G82" s="29"/>
      <c r="H82" s="29"/>
    </row>
    <row r="83">
      <c r="A83" s="29"/>
      <c r="B83" s="29"/>
      <c r="C83" s="29"/>
      <c r="D83" s="29"/>
      <c r="E83" s="29"/>
      <c r="F83" s="29"/>
      <c r="G83" s="29"/>
      <c r="H83" s="29"/>
    </row>
    <row r="84">
      <c r="A84" s="29"/>
      <c r="B84" s="29"/>
      <c r="C84" s="29"/>
      <c r="D84" s="29"/>
      <c r="E84" s="29"/>
      <c r="F84" s="29"/>
      <c r="G84" s="29"/>
      <c r="H84" s="29"/>
    </row>
    <row r="85">
      <c r="A85" s="29"/>
      <c r="B85" s="29"/>
      <c r="C85" s="29"/>
      <c r="D85" s="29"/>
      <c r="E85" s="29"/>
      <c r="F85" s="29"/>
      <c r="G85" s="29"/>
      <c r="H85" s="29"/>
    </row>
    <row r="86">
      <c r="A86" s="29"/>
      <c r="B86" s="29"/>
      <c r="C86" s="29"/>
      <c r="D86" s="29"/>
      <c r="E86" s="29"/>
      <c r="F86" s="29"/>
      <c r="G86" s="29"/>
      <c r="H86" s="29"/>
    </row>
    <row r="87">
      <c r="A87" s="29"/>
      <c r="B87" s="29"/>
      <c r="C87" s="29"/>
      <c r="D87" s="29"/>
      <c r="E87" s="29"/>
      <c r="F87" s="29"/>
      <c r="G87" s="29"/>
      <c r="H87" s="29"/>
    </row>
    <row r="88">
      <c r="A88" s="29"/>
      <c r="B88" s="29"/>
      <c r="C88" s="29"/>
      <c r="D88" s="29"/>
      <c r="E88" s="29"/>
      <c r="F88" s="29"/>
      <c r="G88" s="29"/>
      <c r="H88" s="29"/>
    </row>
    <row r="89">
      <c r="A89" s="29"/>
      <c r="B89" s="29"/>
      <c r="C89" s="29"/>
      <c r="D89" s="29"/>
      <c r="E89" s="29"/>
      <c r="F89" s="29"/>
      <c r="G89" s="29"/>
      <c r="H89" s="29"/>
    </row>
    <row r="90">
      <c r="A90" s="29"/>
      <c r="B90" s="29"/>
      <c r="C90" s="29"/>
      <c r="D90" s="29"/>
      <c r="E90" s="29"/>
      <c r="F90" s="29"/>
      <c r="G90" s="29"/>
      <c r="H90" s="29"/>
    </row>
    <row r="91">
      <c r="A91" s="29"/>
      <c r="B91" s="29"/>
      <c r="C91" s="29"/>
      <c r="D91" s="29"/>
      <c r="E91" s="29"/>
      <c r="F91" s="29"/>
      <c r="G91" s="29"/>
      <c r="H91" s="29"/>
    </row>
    <row r="92">
      <c r="A92" s="29"/>
      <c r="B92" s="29"/>
      <c r="C92" s="29"/>
      <c r="D92" s="29"/>
      <c r="E92" s="29"/>
      <c r="F92" s="29"/>
      <c r="G92" s="29"/>
      <c r="H92" s="29"/>
    </row>
    <row r="93">
      <c r="A93" s="29"/>
      <c r="B93" s="29"/>
      <c r="C93" s="29"/>
      <c r="D93" s="29"/>
      <c r="E93" s="29"/>
      <c r="F93" s="29"/>
      <c r="G93" s="29"/>
      <c r="H93" s="29"/>
    </row>
    <row r="94">
      <c r="A94" s="29"/>
      <c r="B94" s="29"/>
      <c r="C94" s="29"/>
      <c r="D94" s="29"/>
      <c r="E94" s="29"/>
      <c r="F94" s="29"/>
      <c r="G94" s="29"/>
      <c r="H94" s="29"/>
    </row>
    <row r="95">
      <c r="A95" s="29"/>
      <c r="B95" s="29"/>
      <c r="C95" s="29"/>
      <c r="D95" s="29"/>
      <c r="E95" s="29"/>
      <c r="F95" s="29"/>
      <c r="G95" s="29"/>
      <c r="H95" s="29"/>
    </row>
    <row r="96">
      <c r="A96" s="29"/>
      <c r="B96" s="29"/>
      <c r="C96" s="29"/>
      <c r="D96" s="29"/>
      <c r="E96" s="29"/>
      <c r="F96" s="29"/>
      <c r="G96" s="29"/>
      <c r="H96" s="29"/>
    </row>
    <row r="97">
      <c r="A97" s="29"/>
      <c r="B97" s="29"/>
      <c r="C97" s="29"/>
      <c r="D97" s="29"/>
      <c r="E97" s="29"/>
      <c r="F97" s="29"/>
      <c r="G97" s="29"/>
      <c r="H97" s="29"/>
    </row>
    <row r="98">
      <c r="A98" s="29"/>
      <c r="B98" s="29"/>
      <c r="C98" s="29"/>
      <c r="D98" s="29"/>
      <c r="E98" s="29"/>
      <c r="F98" s="29"/>
      <c r="G98" s="29"/>
      <c r="H98" s="29"/>
    </row>
    <row r="99">
      <c r="A99" s="29"/>
      <c r="B99" s="29"/>
      <c r="C99" s="29"/>
      <c r="D99" s="29"/>
      <c r="E99" s="29"/>
      <c r="F99" s="29"/>
      <c r="G99" s="29"/>
      <c r="H99" s="29"/>
    </row>
    <row r="100">
      <c r="A100" s="29"/>
      <c r="B100" s="29"/>
      <c r="C100" s="29"/>
      <c r="D100" s="29"/>
      <c r="E100" s="29"/>
      <c r="F100" s="29"/>
      <c r="G100" s="29"/>
      <c r="H100" s="29"/>
    </row>
    <row r="101">
      <c r="A101" s="29"/>
      <c r="B101" s="29"/>
      <c r="C101" s="29"/>
      <c r="D101" s="29"/>
      <c r="E101" s="29"/>
      <c r="F101" s="29"/>
      <c r="G101" s="29"/>
      <c r="H101" s="29"/>
    </row>
    <row r="102">
      <c r="A102" s="29"/>
      <c r="B102" s="29"/>
      <c r="C102" s="29"/>
      <c r="D102" s="29"/>
      <c r="E102" s="29"/>
      <c r="F102" s="29"/>
      <c r="G102" s="29"/>
      <c r="H102" s="29"/>
    </row>
    <row r="103">
      <c r="A103" s="29"/>
      <c r="B103" s="29"/>
      <c r="C103" s="29"/>
      <c r="D103" s="29"/>
      <c r="E103" s="29"/>
      <c r="F103" s="29"/>
      <c r="G103" s="29"/>
      <c r="H103" s="29"/>
    </row>
    <row r="104">
      <c r="A104" s="29"/>
      <c r="B104" s="29"/>
      <c r="C104" s="29"/>
      <c r="D104" s="29"/>
      <c r="E104" s="29"/>
      <c r="F104" s="29"/>
      <c r="G104" s="29"/>
      <c r="H104" s="29"/>
    </row>
    <row r="105">
      <c r="A105" s="29"/>
      <c r="B105" s="29"/>
      <c r="C105" s="29"/>
      <c r="D105" s="29"/>
      <c r="E105" s="29"/>
      <c r="F105" s="29"/>
      <c r="G105" s="29"/>
      <c r="H105" s="29"/>
    </row>
    <row r="106">
      <c r="A106" s="29"/>
      <c r="B106" s="29"/>
      <c r="C106" s="29"/>
      <c r="D106" s="29"/>
      <c r="E106" s="29"/>
      <c r="F106" s="29"/>
      <c r="G106" s="29"/>
      <c r="H106" s="29"/>
    </row>
    <row r="107">
      <c r="A107" s="29"/>
      <c r="B107" s="29"/>
      <c r="C107" s="29"/>
      <c r="D107" s="29"/>
      <c r="E107" s="29"/>
      <c r="F107" s="29"/>
      <c r="G107" s="29"/>
      <c r="H107" s="29"/>
    </row>
    <row r="108">
      <c r="A108" s="29"/>
      <c r="B108" s="29"/>
      <c r="C108" s="29"/>
      <c r="D108" s="29"/>
      <c r="E108" s="29"/>
      <c r="F108" s="29"/>
      <c r="G108" s="29"/>
      <c r="H108" s="29"/>
    </row>
    <row r="109">
      <c r="A109" s="29"/>
      <c r="B109" s="29"/>
      <c r="C109" s="29"/>
      <c r="D109" s="29"/>
      <c r="E109" s="29"/>
      <c r="F109" s="29"/>
      <c r="G109" s="29"/>
      <c r="H109" s="29"/>
    </row>
    <row r="110">
      <c r="A110" s="29"/>
      <c r="B110" s="29"/>
      <c r="C110" s="29"/>
      <c r="D110" s="29"/>
      <c r="E110" s="29"/>
      <c r="F110" s="29"/>
      <c r="G110" s="29"/>
      <c r="H110" s="29"/>
    </row>
    <row r="111">
      <c r="A111" s="29"/>
      <c r="B111" s="29"/>
      <c r="C111" s="29"/>
      <c r="D111" s="29"/>
      <c r="E111" s="29"/>
      <c r="F111" s="29"/>
      <c r="G111" s="29"/>
      <c r="H111" s="29"/>
    </row>
    <row r="112">
      <c r="A112" s="29"/>
      <c r="B112" s="29"/>
      <c r="C112" s="29"/>
      <c r="D112" s="29"/>
      <c r="E112" s="29"/>
      <c r="F112" s="29"/>
      <c r="G112" s="29"/>
      <c r="H112" s="29"/>
    </row>
    <row r="113">
      <c r="A113" s="29"/>
      <c r="B113" s="29"/>
      <c r="C113" s="29"/>
      <c r="D113" s="29"/>
      <c r="E113" s="29"/>
      <c r="F113" s="29"/>
      <c r="G113" s="29"/>
      <c r="H113" s="29"/>
    </row>
    <row r="114">
      <c r="A114" s="29"/>
      <c r="B114" s="29"/>
      <c r="C114" s="29"/>
      <c r="D114" s="29"/>
      <c r="E114" s="29"/>
      <c r="F114" s="29"/>
      <c r="G114" s="29"/>
      <c r="H114" s="29"/>
    </row>
    <row r="115">
      <c r="A115" s="29"/>
      <c r="B115" s="29"/>
      <c r="C115" s="29"/>
      <c r="D115" s="29"/>
      <c r="E115" s="29"/>
      <c r="F115" s="29"/>
      <c r="G115" s="29"/>
      <c r="H115" s="29"/>
    </row>
    <row r="116">
      <c r="A116" s="29"/>
      <c r="B116" s="29"/>
      <c r="C116" s="29"/>
      <c r="D116" s="29"/>
      <c r="E116" s="29"/>
      <c r="F116" s="29"/>
      <c r="G116" s="29"/>
      <c r="H116" s="29"/>
    </row>
    <row r="117">
      <c r="A117" s="29"/>
      <c r="B117" s="29"/>
      <c r="C117" s="29"/>
      <c r="D117" s="29"/>
      <c r="E117" s="29"/>
      <c r="F117" s="29"/>
      <c r="G117" s="29"/>
      <c r="H117" s="29"/>
    </row>
    <row r="118">
      <c r="A118" s="29"/>
      <c r="B118" s="29"/>
      <c r="C118" s="29"/>
      <c r="D118" s="29"/>
      <c r="E118" s="29"/>
      <c r="F118" s="29"/>
      <c r="G118" s="29"/>
      <c r="H118" s="29"/>
    </row>
    <row r="119">
      <c r="A119" s="29"/>
      <c r="B119" s="29"/>
      <c r="C119" s="29"/>
      <c r="D119" s="29"/>
      <c r="E119" s="29"/>
      <c r="F119" s="29"/>
      <c r="G119" s="29"/>
      <c r="H119" s="29"/>
    </row>
    <row r="120">
      <c r="A120" s="29"/>
      <c r="B120" s="29"/>
      <c r="C120" s="29"/>
      <c r="D120" s="29"/>
      <c r="E120" s="29"/>
      <c r="F120" s="29"/>
      <c r="G120" s="29"/>
      <c r="H120" s="29"/>
    </row>
    <row r="121">
      <c r="A121" s="29"/>
      <c r="B121" s="29"/>
      <c r="C121" s="29"/>
      <c r="D121" s="29"/>
      <c r="E121" s="29"/>
      <c r="F121" s="29"/>
      <c r="G121" s="29"/>
      <c r="H121" s="29"/>
    </row>
    <row r="122">
      <c r="A122" s="29"/>
      <c r="B122" s="29"/>
      <c r="C122" s="29"/>
      <c r="D122" s="29"/>
      <c r="E122" s="29"/>
      <c r="F122" s="29"/>
      <c r="G122" s="29"/>
      <c r="H122" s="29"/>
    </row>
    <row r="123">
      <c r="A123" s="29"/>
      <c r="B123" s="29"/>
      <c r="C123" s="29"/>
      <c r="D123" s="29"/>
      <c r="E123" s="29"/>
      <c r="F123" s="29"/>
      <c r="G123" s="29"/>
      <c r="H123" s="29"/>
    </row>
    <row r="124">
      <c r="A124" s="29"/>
      <c r="B124" s="29"/>
      <c r="C124" s="29"/>
      <c r="D124" s="29"/>
      <c r="E124" s="29"/>
      <c r="F124" s="29"/>
      <c r="G124" s="29"/>
      <c r="H124" s="29"/>
    </row>
    <row r="125">
      <c r="A125" s="29"/>
      <c r="B125" s="29"/>
      <c r="C125" s="29"/>
      <c r="D125" s="29"/>
      <c r="E125" s="29"/>
      <c r="F125" s="29"/>
      <c r="G125" s="29"/>
      <c r="H125" s="29"/>
    </row>
    <row r="126">
      <c r="A126" s="29"/>
      <c r="B126" s="29"/>
      <c r="C126" s="29"/>
      <c r="D126" s="29"/>
      <c r="E126" s="29"/>
      <c r="F126" s="29"/>
      <c r="G126" s="29"/>
      <c r="H126" s="29"/>
    </row>
    <row r="127">
      <c r="A127" s="29"/>
      <c r="B127" s="29"/>
      <c r="C127" s="29"/>
      <c r="D127" s="29"/>
      <c r="E127" s="29"/>
      <c r="F127" s="29"/>
      <c r="G127" s="29"/>
      <c r="H127" s="29"/>
    </row>
    <row r="128">
      <c r="A128" s="29"/>
      <c r="B128" s="29"/>
      <c r="C128" s="29"/>
      <c r="D128" s="29"/>
      <c r="E128" s="29"/>
      <c r="F128" s="29"/>
      <c r="G128" s="29"/>
      <c r="H128" s="29"/>
    </row>
    <row r="129">
      <c r="A129" s="29"/>
      <c r="B129" s="29"/>
      <c r="C129" s="29"/>
      <c r="D129" s="29"/>
      <c r="E129" s="29"/>
      <c r="F129" s="29"/>
      <c r="G129" s="29"/>
      <c r="H129" s="29"/>
    </row>
    <row r="130">
      <c r="A130" s="29"/>
      <c r="B130" s="29"/>
      <c r="C130" s="29"/>
      <c r="D130" s="29"/>
      <c r="E130" s="29"/>
      <c r="F130" s="29"/>
      <c r="G130" s="29"/>
      <c r="H130" s="29"/>
    </row>
    <row r="131">
      <c r="A131" s="29"/>
      <c r="B131" s="29"/>
      <c r="C131" s="29"/>
      <c r="D131" s="29"/>
      <c r="E131" s="29"/>
      <c r="F131" s="29"/>
      <c r="G131" s="29"/>
      <c r="H131" s="29"/>
    </row>
    <row r="132">
      <c r="A132" s="29"/>
      <c r="B132" s="29"/>
      <c r="C132" s="29"/>
      <c r="D132" s="29"/>
      <c r="E132" s="29"/>
      <c r="F132" s="29"/>
      <c r="G132" s="29"/>
      <c r="H132" s="29"/>
    </row>
    <row r="133">
      <c r="A133" s="29"/>
      <c r="B133" s="29"/>
      <c r="C133" s="29"/>
      <c r="D133" s="29"/>
      <c r="E133" s="29"/>
      <c r="F133" s="29"/>
      <c r="G133" s="29"/>
      <c r="H133" s="29"/>
    </row>
    <row r="134">
      <c r="A134" s="29"/>
      <c r="B134" s="29"/>
      <c r="C134" s="29"/>
      <c r="D134" s="29"/>
      <c r="E134" s="29"/>
      <c r="F134" s="29"/>
      <c r="G134" s="29"/>
      <c r="H134" s="29"/>
    </row>
    <row r="135">
      <c r="A135" s="29"/>
      <c r="B135" s="29"/>
      <c r="C135" s="29"/>
      <c r="D135" s="29"/>
      <c r="E135" s="29"/>
      <c r="F135" s="29"/>
      <c r="G135" s="29"/>
      <c r="H135" s="29"/>
    </row>
    <row r="136">
      <c r="A136" s="29"/>
      <c r="B136" s="29"/>
      <c r="C136" s="29"/>
      <c r="D136" s="29"/>
      <c r="E136" s="29"/>
      <c r="F136" s="29"/>
      <c r="G136" s="29"/>
      <c r="H136" s="29"/>
    </row>
    <row r="137">
      <c r="A137" s="29"/>
      <c r="B137" s="29"/>
      <c r="C137" s="29"/>
      <c r="D137" s="29"/>
      <c r="E137" s="29"/>
      <c r="F137" s="29"/>
      <c r="G137" s="29"/>
      <c r="H137" s="29"/>
    </row>
    <row r="138">
      <c r="A138" s="29"/>
      <c r="B138" s="29"/>
      <c r="C138" s="29"/>
      <c r="D138" s="29"/>
      <c r="E138" s="29"/>
      <c r="F138" s="29"/>
      <c r="G138" s="29"/>
      <c r="H138" s="29"/>
    </row>
    <row r="139">
      <c r="A139" s="29"/>
      <c r="B139" s="29"/>
      <c r="C139" s="29"/>
      <c r="D139" s="29"/>
      <c r="E139" s="29"/>
      <c r="F139" s="29"/>
      <c r="G139" s="29"/>
      <c r="H139" s="29"/>
    </row>
    <row r="140">
      <c r="A140" s="29"/>
      <c r="B140" s="29"/>
      <c r="C140" s="29"/>
      <c r="D140" s="29"/>
      <c r="E140" s="29"/>
      <c r="F140" s="29"/>
      <c r="G140" s="29"/>
      <c r="H140" s="29"/>
    </row>
    <row r="141">
      <c r="A141" s="29"/>
      <c r="B141" s="29"/>
      <c r="C141" s="29"/>
      <c r="D141" s="29"/>
      <c r="E141" s="29"/>
      <c r="F141" s="29"/>
      <c r="G141" s="29"/>
      <c r="H141" s="29"/>
    </row>
    <row r="142">
      <c r="A142" s="29"/>
      <c r="B142" s="29"/>
      <c r="C142" s="29"/>
      <c r="D142" s="29"/>
      <c r="E142" s="29"/>
      <c r="F142" s="29"/>
      <c r="G142" s="29"/>
      <c r="H142" s="29"/>
    </row>
    <row r="143">
      <c r="A143" s="29"/>
      <c r="B143" s="29"/>
      <c r="C143" s="29"/>
      <c r="D143" s="29"/>
      <c r="E143" s="29"/>
      <c r="F143" s="29"/>
      <c r="G143" s="29"/>
      <c r="H143" s="29"/>
    </row>
    <row r="144">
      <c r="A144" s="29"/>
      <c r="B144" s="29"/>
      <c r="C144" s="29"/>
      <c r="D144" s="29"/>
      <c r="E144" s="29"/>
      <c r="F144" s="29"/>
      <c r="G144" s="29"/>
      <c r="H144" s="29"/>
    </row>
    <row r="145">
      <c r="A145" s="29"/>
      <c r="B145" s="29"/>
      <c r="C145" s="29"/>
      <c r="D145" s="29"/>
      <c r="E145" s="29"/>
      <c r="F145" s="29"/>
      <c r="G145" s="29"/>
      <c r="H145" s="29"/>
    </row>
    <row r="146">
      <c r="A146" s="29"/>
      <c r="B146" s="29"/>
      <c r="C146" s="29"/>
      <c r="D146" s="29"/>
      <c r="E146" s="29"/>
      <c r="F146" s="29"/>
      <c r="G146" s="29"/>
      <c r="H146" s="29"/>
    </row>
    <row r="147">
      <c r="A147" s="29"/>
      <c r="B147" s="29"/>
      <c r="C147" s="29"/>
      <c r="D147" s="29"/>
      <c r="E147" s="29"/>
      <c r="F147" s="29"/>
      <c r="G147" s="29"/>
      <c r="H147" s="29"/>
    </row>
    <row r="148">
      <c r="A148" s="29"/>
      <c r="B148" s="29"/>
      <c r="C148" s="29"/>
      <c r="D148" s="29"/>
      <c r="E148" s="29"/>
      <c r="F148" s="29"/>
      <c r="G148" s="29"/>
      <c r="H148" s="29"/>
    </row>
    <row r="149">
      <c r="A149" s="29"/>
      <c r="B149" s="29"/>
      <c r="C149" s="29"/>
      <c r="D149" s="29"/>
      <c r="E149" s="29"/>
      <c r="F149" s="29"/>
      <c r="G149" s="29"/>
      <c r="H149" s="29"/>
    </row>
    <row r="150">
      <c r="A150" s="29"/>
      <c r="B150" s="29"/>
      <c r="C150" s="29"/>
      <c r="D150" s="29"/>
      <c r="E150" s="29"/>
      <c r="F150" s="29"/>
      <c r="G150" s="29"/>
      <c r="H150" s="29"/>
    </row>
    <row r="151">
      <c r="A151" s="29"/>
      <c r="B151" s="29"/>
      <c r="C151" s="29"/>
      <c r="D151" s="29"/>
      <c r="E151" s="29"/>
      <c r="F151" s="29"/>
      <c r="G151" s="29"/>
      <c r="H151" s="29"/>
    </row>
    <row r="152">
      <c r="A152" s="29"/>
      <c r="B152" s="29"/>
      <c r="C152" s="29"/>
      <c r="D152" s="29"/>
      <c r="E152" s="29"/>
      <c r="F152" s="29"/>
      <c r="G152" s="29"/>
      <c r="H152" s="29"/>
    </row>
    <row r="153">
      <c r="A153" s="29"/>
      <c r="B153" s="29"/>
      <c r="C153" s="29"/>
      <c r="D153" s="29"/>
      <c r="E153" s="29"/>
      <c r="F153" s="29"/>
      <c r="G153" s="29"/>
      <c r="H153" s="29"/>
    </row>
    <row r="154">
      <c r="A154" s="29"/>
      <c r="B154" s="29"/>
      <c r="C154" s="29"/>
      <c r="D154" s="29"/>
      <c r="E154" s="29"/>
      <c r="F154" s="29"/>
      <c r="G154" s="29"/>
      <c r="H154" s="29"/>
    </row>
    <row r="155">
      <c r="A155" s="29"/>
      <c r="B155" s="29"/>
      <c r="C155" s="29"/>
      <c r="D155" s="29"/>
      <c r="E155" s="29"/>
      <c r="F155" s="29"/>
      <c r="G155" s="29"/>
      <c r="H155" s="29"/>
    </row>
    <row r="156">
      <c r="A156" s="29"/>
      <c r="B156" s="29"/>
      <c r="C156" s="29"/>
      <c r="D156" s="29"/>
      <c r="E156" s="29"/>
      <c r="F156" s="29"/>
      <c r="G156" s="29"/>
      <c r="H156" s="29"/>
    </row>
    <row r="157">
      <c r="A157" s="29"/>
      <c r="B157" s="29"/>
      <c r="C157" s="29"/>
      <c r="D157" s="29"/>
      <c r="E157" s="29"/>
      <c r="F157" s="29"/>
      <c r="G157" s="29"/>
      <c r="H157" s="29"/>
    </row>
    <row r="158">
      <c r="A158" s="29"/>
      <c r="B158" s="29"/>
      <c r="C158" s="29"/>
      <c r="D158" s="29"/>
      <c r="E158" s="29"/>
      <c r="F158" s="29"/>
      <c r="G158" s="29"/>
      <c r="H158" s="29"/>
    </row>
    <row r="159">
      <c r="A159" s="29"/>
      <c r="B159" s="29"/>
      <c r="C159" s="29"/>
      <c r="D159" s="29"/>
      <c r="E159" s="29"/>
      <c r="F159" s="29"/>
      <c r="G159" s="29"/>
      <c r="H159" s="29"/>
    </row>
    <row r="160">
      <c r="A160" s="29"/>
      <c r="B160" s="29"/>
      <c r="C160" s="29"/>
      <c r="D160" s="29"/>
      <c r="E160" s="29"/>
      <c r="F160" s="29"/>
      <c r="G160" s="29"/>
      <c r="H160" s="29"/>
    </row>
    <row r="161">
      <c r="A161" s="29"/>
      <c r="B161" s="29"/>
      <c r="C161" s="29"/>
      <c r="D161" s="29"/>
      <c r="E161" s="29"/>
      <c r="F161" s="29"/>
      <c r="G161" s="29"/>
      <c r="H161" s="29"/>
    </row>
    <row r="162">
      <c r="A162" s="29"/>
      <c r="B162" s="29"/>
      <c r="C162" s="29"/>
      <c r="D162" s="29"/>
      <c r="E162" s="29"/>
      <c r="F162" s="29"/>
      <c r="G162" s="29"/>
      <c r="H162" s="29"/>
    </row>
    <row r="163">
      <c r="A163" s="29"/>
      <c r="B163" s="29"/>
      <c r="C163" s="29"/>
      <c r="D163" s="29"/>
      <c r="E163" s="29"/>
      <c r="F163" s="29"/>
      <c r="G163" s="29"/>
      <c r="H163" s="29"/>
    </row>
    <row r="164">
      <c r="A164" s="29"/>
      <c r="B164" s="29"/>
      <c r="C164" s="29"/>
      <c r="D164" s="29"/>
      <c r="E164" s="29"/>
      <c r="F164" s="29"/>
      <c r="G164" s="29"/>
      <c r="H164" s="29"/>
    </row>
    <row r="165">
      <c r="A165" s="29"/>
      <c r="B165" s="29"/>
      <c r="C165" s="29"/>
      <c r="D165" s="29"/>
      <c r="E165" s="29"/>
      <c r="F165" s="29"/>
      <c r="G165" s="29"/>
      <c r="H165" s="29"/>
    </row>
    <row r="166">
      <c r="A166" s="29"/>
      <c r="B166" s="29"/>
      <c r="C166" s="29"/>
      <c r="D166" s="29"/>
      <c r="E166" s="29"/>
      <c r="F166" s="29"/>
      <c r="G166" s="29"/>
      <c r="H166" s="29"/>
    </row>
    <row r="167">
      <c r="A167" s="29"/>
      <c r="B167" s="29"/>
      <c r="C167" s="29"/>
      <c r="D167" s="29"/>
      <c r="E167" s="29"/>
      <c r="F167" s="29"/>
      <c r="G167" s="29"/>
      <c r="H167" s="29"/>
    </row>
    <row r="168">
      <c r="A168" s="29"/>
      <c r="B168" s="29"/>
      <c r="C168" s="29"/>
      <c r="D168" s="29"/>
      <c r="E168" s="29"/>
      <c r="F168" s="29"/>
      <c r="G168" s="29"/>
      <c r="H168" s="29"/>
    </row>
    <row r="169">
      <c r="A169" s="29"/>
      <c r="B169" s="29"/>
      <c r="C169" s="29"/>
      <c r="D169" s="29"/>
      <c r="E169" s="29"/>
      <c r="F169" s="29"/>
      <c r="G169" s="29"/>
      <c r="H169" s="29"/>
    </row>
    <row r="170">
      <c r="A170" s="29"/>
      <c r="B170" s="29"/>
      <c r="C170" s="29"/>
      <c r="D170" s="29"/>
      <c r="E170" s="29"/>
      <c r="F170" s="29"/>
      <c r="G170" s="29"/>
      <c r="H170" s="29"/>
    </row>
    <row r="171">
      <c r="A171" s="29"/>
      <c r="B171" s="29"/>
      <c r="C171" s="29"/>
      <c r="D171" s="29"/>
      <c r="E171" s="29"/>
      <c r="F171" s="29"/>
      <c r="G171" s="29"/>
      <c r="H171" s="29"/>
    </row>
    <row r="172">
      <c r="A172" s="29"/>
      <c r="B172" s="29"/>
      <c r="C172" s="29"/>
      <c r="D172" s="29"/>
      <c r="E172" s="29"/>
      <c r="F172" s="29"/>
      <c r="G172" s="29"/>
      <c r="H172" s="29"/>
    </row>
    <row r="173">
      <c r="A173" s="29"/>
      <c r="B173" s="29"/>
      <c r="C173" s="29"/>
      <c r="D173" s="29"/>
      <c r="E173" s="29"/>
      <c r="F173" s="29"/>
      <c r="G173" s="29"/>
      <c r="H173" s="29"/>
    </row>
    <row r="174">
      <c r="A174" s="29"/>
      <c r="B174" s="29"/>
      <c r="C174" s="29"/>
      <c r="D174" s="29"/>
      <c r="E174" s="29"/>
      <c r="F174" s="29"/>
      <c r="G174" s="29"/>
      <c r="H174" s="29"/>
    </row>
    <row r="175">
      <c r="A175" s="29"/>
      <c r="B175" s="29"/>
      <c r="C175" s="29"/>
      <c r="D175" s="29"/>
      <c r="E175" s="29"/>
      <c r="F175" s="29"/>
      <c r="G175" s="29"/>
      <c r="H175" s="29"/>
    </row>
    <row r="176">
      <c r="A176" s="29"/>
      <c r="B176" s="29"/>
      <c r="C176" s="29"/>
      <c r="D176" s="29"/>
      <c r="E176" s="29"/>
      <c r="F176" s="29"/>
      <c r="G176" s="29"/>
      <c r="H176" s="29"/>
    </row>
    <row r="177">
      <c r="A177" s="29"/>
      <c r="B177" s="29"/>
      <c r="C177" s="29"/>
      <c r="D177" s="29"/>
      <c r="E177" s="29"/>
      <c r="F177" s="29"/>
      <c r="G177" s="29"/>
      <c r="H177" s="29"/>
    </row>
    <row r="178">
      <c r="A178" s="29"/>
      <c r="B178" s="29"/>
      <c r="C178" s="29"/>
      <c r="D178" s="29"/>
      <c r="E178" s="29"/>
      <c r="F178" s="29"/>
      <c r="G178" s="29"/>
      <c r="H178" s="29"/>
    </row>
    <row r="179">
      <c r="A179" s="29"/>
      <c r="B179" s="29"/>
      <c r="C179" s="29"/>
      <c r="D179" s="29"/>
      <c r="E179" s="29"/>
      <c r="F179" s="29"/>
      <c r="G179" s="29"/>
      <c r="H179" s="29"/>
    </row>
    <row r="180">
      <c r="A180" s="29"/>
      <c r="B180" s="29"/>
      <c r="C180" s="29"/>
      <c r="D180" s="29"/>
      <c r="E180" s="29"/>
      <c r="F180" s="29"/>
      <c r="G180" s="29"/>
      <c r="H180" s="29"/>
    </row>
    <row r="181">
      <c r="A181" s="29"/>
      <c r="B181" s="29"/>
      <c r="C181" s="29"/>
      <c r="D181" s="29"/>
      <c r="E181" s="29"/>
      <c r="F181" s="29"/>
      <c r="G181" s="29"/>
      <c r="H181" s="29"/>
    </row>
    <row r="182">
      <c r="A182" s="29"/>
      <c r="B182" s="29"/>
      <c r="C182" s="29"/>
      <c r="D182" s="29"/>
      <c r="E182" s="29"/>
      <c r="F182" s="29"/>
      <c r="G182" s="29"/>
      <c r="H182" s="29"/>
    </row>
    <row r="183">
      <c r="A183" s="29"/>
      <c r="B183" s="29"/>
      <c r="C183" s="29"/>
      <c r="D183" s="29"/>
      <c r="E183" s="29"/>
      <c r="F183" s="29"/>
      <c r="G183" s="29"/>
      <c r="H183" s="29"/>
    </row>
    <row r="184">
      <c r="A184" s="29"/>
      <c r="B184" s="29"/>
      <c r="C184" s="29"/>
      <c r="D184" s="29"/>
      <c r="E184" s="29"/>
      <c r="F184" s="29"/>
      <c r="G184" s="29"/>
      <c r="H184" s="29"/>
    </row>
    <row r="185">
      <c r="A185" s="29"/>
      <c r="B185" s="29"/>
      <c r="C185" s="29"/>
      <c r="D185" s="29"/>
      <c r="E185" s="29"/>
      <c r="F185" s="29"/>
      <c r="G185" s="29"/>
      <c r="H185" s="29"/>
    </row>
    <row r="186">
      <c r="A186" s="29"/>
      <c r="B186" s="29"/>
      <c r="C186" s="29"/>
      <c r="D186" s="29"/>
      <c r="E186" s="29"/>
      <c r="F186" s="29"/>
      <c r="G186" s="29"/>
      <c r="H186" s="29"/>
    </row>
    <row r="187">
      <c r="A187" s="29"/>
      <c r="B187" s="29"/>
      <c r="C187" s="29"/>
      <c r="D187" s="29"/>
      <c r="E187" s="29"/>
      <c r="F187" s="29"/>
      <c r="G187" s="29"/>
      <c r="H187" s="29"/>
    </row>
    <row r="188">
      <c r="A188" s="29"/>
      <c r="B188" s="29"/>
      <c r="C188" s="29"/>
      <c r="D188" s="29"/>
      <c r="E188" s="29"/>
      <c r="F188" s="29"/>
      <c r="G188" s="29"/>
      <c r="H188" s="29"/>
    </row>
    <row r="189">
      <c r="A189" s="29"/>
      <c r="B189" s="29"/>
      <c r="C189" s="29"/>
      <c r="D189" s="29"/>
      <c r="E189" s="29"/>
      <c r="F189" s="29"/>
      <c r="G189" s="29"/>
      <c r="H189" s="29"/>
    </row>
    <row r="190">
      <c r="A190" s="29"/>
      <c r="B190" s="29"/>
      <c r="C190" s="29"/>
      <c r="D190" s="29"/>
      <c r="E190" s="29"/>
      <c r="F190" s="29"/>
      <c r="G190" s="29"/>
      <c r="H190" s="29"/>
    </row>
    <row r="191">
      <c r="A191" s="29"/>
      <c r="B191" s="29"/>
      <c r="C191" s="29"/>
      <c r="D191" s="29"/>
      <c r="E191" s="29"/>
      <c r="F191" s="29"/>
      <c r="G191" s="29"/>
      <c r="H191" s="29"/>
    </row>
    <row r="192">
      <c r="A192" s="29"/>
      <c r="B192" s="29"/>
      <c r="C192" s="29"/>
      <c r="D192" s="29"/>
      <c r="E192" s="29"/>
      <c r="F192" s="29"/>
      <c r="G192" s="29"/>
      <c r="H192" s="29"/>
    </row>
    <row r="193">
      <c r="A193" s="29"/>
      <c r="B193" s="29"/>
      <c r="C193" s="29"/>
      <c r="D193" s="29"/>
      <c r="E193" s="29"/>
      <c r="F193" s="29"/>
      <c r="G193" s="29"/>
      <c r="H193" s="29"/>
    </row>
    <row r="194">
      <c r="A194" s="29"/>
      <c r="B194" s="29"/>
      <c r="C194" s="29"/>
      <c r="D194" s="29"/>
      <c r="E194" s="29"/>
      <c r="F194" s="29"/>
      <c r="G194" s="29"/>
      <c r="H194" s="29"/>
    </row>
    <row r="195">
      <c r="A195" s="29"/>
      <c r="B195" s="29"/>
      <c r="C195" s="29"/>
      <c r="D195" s="29"/>
      <c r="E195" s="29"/>
      <c r="F195" s="29"/>
      <c r="G195" s="29"/>
      <c r="H195" s="29"/>
    </row>
    <row r="196">
      <c r="A196" s="29"/>
      <c r="B196" s="29"/>
      <c r="C196" s="29"/>
      <c r="D196" s="29"/>
      <c r="E196" s="29"/>
      <c r="F196" s="29"/>
      <c r="G196" s="29"/>
      <c r="H196" s="29"/>
    </row>
    <row r="197">
      <c r="A197" s="29"/>
      <c r="B197" s="29"/>
      <c r="C197" s="29"/>
      <c r="D197" s="29"/>
      <c r="E197" s="29"/>
      <c r="F197" s="29"/>
      <c r="G197" s="29"/>
      <c r="H197" s="29"/>
    </row>
    <row r="198">
      <c r="A198" s="29"/>
      <c r="B198" s="29"/>
      <c r="C198" s="29"/>
      <c r="D198" s="29"/>
      <c r="E198" s="29"/>
      <c r="F198" s="29"/>
      <c r="G198" s="29"/>
      <c r="H198" s="29"/>
    </row>
    <row r="199">
      <c r="A199" s="29"/>
      <c r="B199" s="29"/>
      <c r="C199" s="29"/>
      <c r="D199" s="29"/>
      <c r="E199" s="29"/>
      <c r="F199" s="29"/>
      <c r="G199" s="29"/>
      <c r="H199" s="29"/>
    </row>
    <row r="200">
      <c r="A200" s="29"/>
      <c r="B200" s="29"/>
      <c r="C200" s="29"/>
      <c r="D200" s="29"/>
      <c r="E200" s="29"/>
      <c r="F200" s="29"/>
      <c r="G200" s="29"/>
      <c r="H200" s="29"/>
    </row>
    <row r="201">
      <c r="A201" s="29"/>
      <c r="B201" s="29"/>
      <c r="C201" s="29"/>
      <c r="D201" s="29"/>
      <c r="E201" s="29"/>
      <c r="F201" s="29"/>
      <c r="G201" s="29"/>
      <c r="H201" s="29"/>
    </row>
    <row r="202">
      <c r="A202" s="29"/>
      <c r="B202" s="29"/>
      <c r="C202" s="29"/>
      <c r="D202" s="29"/>
      <c r="E202" s="29"/>
      <c r="F202" s="29"/>
      <c r="G202" s="29"/>
      <c r="H202" s="29"/>
    </row>
    <row r="203">
      <c r="A203" s="29"/>
      <c r="B203" s="29"/>
      <c r="C203" s="29"/>
      <c r="D203" s="29"/>
      <c r="E203" s="29"/>
      <c r="F203" s="29"/>
      <c r="G203" s="29"/>
      <c r="H203" s="29"/>
    </row>
    <row r="204">
      <c r="A204" s="29"/>
      <c r="B204" s="29"/>
      <c r="C204" s="29"/>
      <c r="D204" s="29"/>
      <c r="E204" s="29"/>
      <c r="F204" s="29"/>
      <c r="G204" s="29"/>
      <c r="H204" s="29"/>
    </row>
    <row r="205">
      <c r="A205" s="29"/>
      <c r="B205" s="29"/>
      <c r="C205" s="29"/>
      <c r="D205" s="29"/>
      <c r="E205" s="29"/>
      <c r="F205" s="29"/>
      <c r="G205" s="29"/>
      <c r="H205" s="29"/>
    </row>
    <row r="206">
      <c r="A206" s="29"/>
      <c r="B206" s="29"/>
      <c r="C206" s="29"/>
      <c r="D206" s="29"/>
      <c r="E206" s="29"/>
      <c r="F206" s="29"/>
      <c r="G206" s="29"/>
      <c r="H206" s="29"/>
    </row>
    <row r="207">
      <c r="A207" s="29"/>
      <c r="B207" s="29"/>
      <c r="C207" s="29"/>
      <c r="D207" s="29"/>
      <c r="E207" s="29"/>
      <c r="F207" s="29"/>
      <c r="G207" s="29"/>
      <c r="H207" s="29"/>
    </row>
    <row r="208">
      <c r="A208" s="29"/>
      <c r="B208" s="29"/>
      <c r="C208" s="29"/>
      <c r="D208" s="29"/>
      <c r="E208" s="29"/>
      <c r="F208" s="29"/>
      <c r="G208" s="29"/>
      <c r="H208" s="29"/>
    </row>
    <row r="209">
      <c r="A209" s="29"/>
      <c r="B209" s="29"/>
      <c r="C209" s="29"/>
      <c r="D209" s="29"/>
      <c r="E209" s="29"/>
      <c r="F209" s="29"/>
      <c r="G209" s="29"/>
      <c r="H209" s="29"/>
    </row>
    <row r="210">
      <c r="A210" s="29"/>
      <c r="B210" s="29"/>
      <c r="C210" s="29"/>
      <c r="D210" s="29"/>
      <c r="E210" s="29"/>
      <c r="F210" s="29"/>
      <c r="G210" s="29"/>
      <c r="H210" s="29"/>
    </row>
    <row r="211">
      <c r="A211" s="29"/>
      <c r="B211" s="29"/>
      <c r="C211" s="29"/>
      <c r="D211" s="29"/>
      <c r="E211" s="29"/>
      <c r="F211" s="29"/>
      <c r="G211" s="29"/>
      <c r="H211" s="29"/>
    </row>
    <row r="212">
      <c r="A212" s="29"/>
      <c r="B212" s="29"/>
      <c r="C212" s="29"/>
      <c r="D212" s="29"/>
      <c r="E212" s="29"/>
      <c r="F212" s="29"/>
      <c r="G212" s="29"/>
      <c r="H212" s="29"/>
    </row>
    <row r="213">
      <c r="A213" s="29"/>
      <c r="B213" s="29"/>
      <c r="C213" s="29"/>
      <c r="D213" s="29"/>
      <c r="E213" s="29"/>
      <c r="F213" s="29"/>
      <c r="G213" s="29"/>
      <c r="H213" s="29"/>
    </row>
    <row r="214">
      <c r="A214" s="29"/>
      <c r="B214" s="29"/>
      <c r="C214" s="29"/>
      <c r="D214" s="29"/>
      <c r="E214" s="29"/>
      <c r="F214" s="29"/>
      <c r="G214" s="29"/>
      <c r="H214" s="29"/>
    </row>
    <row r="215">
      <c r="A215" s="29"/>
      <c r="B215" s="29"/>
      <c r="C215" s="29"/>
      <c r="D215" s="29"/>
      <c r="E215" s="29"/>
      <c r="F215" s="29"/>
      <c r="G215" s="29"/>
      <c r="H215" s="29"/>
    </row>
    <row r="216">
      <c r="A216" s="29"/>
      <c r="B216" s="29"/>
      <c r="C216" s="29"/>
      <c r="D216" s="29"/>
      <c r="E216" s="29"/>
      <c r="F216" s="29"/>
      <c r="G216" s="29"/>
      <c r="H216" s="29"/>
    </row>
    <row r="217">
      <c r="A217" s="29"/>
      <c r="B217" s="29"/>
      <c r="C217" s="29"/>
      <c r="D217" s="29"/>
      <c r="E217" s="29"/>
      <c r="F217" s="29"/>
      <c r="G217" s="29"/>
      <c r="H217" s="29"/>
    </row>
    <row r="218">
      <c r="A218" s="29"/>
      <c r="B218" s="29"/>
      <c r="C218" s="29"/>
      <c r="D218" s="29"/>
      <c r="E218" s="29"/>
      <c r="F218" s="29"/>
      <c r="G218" s="29"/>
      <c r="H218" s="29"/>
    </row>
    <row r="219">
      <c r="A219" s="29"/>
      <c r="B219" s="29"/>
      <c r="C219" s="29"/>
      <c r="D219" s="29"/>
      <c r="E219" s="29"/>
      <c r="F219" s="29"/>
      <c r="G219" s="29"/>
      <c r="H219" s="29"/>
    </row>
    <row r="220">
      <c r="A220" s="29"/>
      <c r="B220" s="29"/>
      <c r="C220" s="29"/>
      <c r="D220" s="29"/>
      <c r="E220" s="29"/>
      <c r="F220" s="29"/>
      <c r="G220" s="29"/>
      <c r="H220" s="29"/>
    </row>
    <row r="221">
      <c r="A221" s="29"/>
      <c r="B221" s="29"/>
      <c r="C221" s="29"/>
      <c r="D221" s="29"/>
      <c r="E221" s="29"/>
      <c r="F221" s="29"/>
      <c r="G221" s="29"/>
      <c r="H221" s="29"/>
    </row>
    <row r="222">
      <c r="A222" s="29"/>
      <c r="B222" s="29"/>
      <c r="C222" s="29"/>
      <c r="D222" s="29"/>
      <c r="E222" s="29"/>
      <c r="F222" s="29"/>
      <c r="G222" s="29"/>
      <c r="H222" s="29"/>
    </row>
    <row r="223">
      <c r="A223" s="29"/>
      <c r="B223" s="29"/>
      <c r="C223" s="29"/>
      <c r="D223" s="29"/>
      <c r="E223" s="29"/>
      <c r="F223" s="29"/>
      <c r="G223" s="29"/>
      <c r="H223" s="29"/>
    </row>
    <row r="224">
      <c r="A224" s="29"/>
      <c r="B224" s="29"/>
      <c r="C224" s="29"/>
      <c r="D224" s="29"/>
      <c r="E224" s="29"/>
      <c r="F224" s="29"/>
      <c r="G224" s="29"/>
      <c r="H224" s="29"/>
    </row>
    <row r="225">
      <c r="A225" s="29"/>
      <c r="B225" s="29"/>
      <c r="C225" s="29"/>
      <c r="D225" s="29"/>
      <c r="E225" s="29"/>
      <c r="F225" s="29"/>
      <c r="G225" s="29"/>
      <c r="H225" s="29"/>
    </row>
    <row r="226">
      <c r="A226" s="29"/>
      <c r="B226" s="29"/>
      <c r="C226" s="29"/>
      <c r="D226" s="29"/>
      <c r="E226" s="29"/>
      <c r="F226" s="29"/>
      <c r="G226" s="29"/>
      <c r="H226" s="29"/>
    </row>
    <row r="227">
      <c r="A227" s="29"/>
      <c r="B227" s="29"/>
      <c r="C227" s="29"/>
      <c r="D227" s="29"/>
      <c r="E227" s="29"/>
      <c r="F227" s="29"/>
      <c r="G227" s="29"/>
      <c r="H227" s="29"/>
    </row>
    <row r="228">
      <c r="A228" s="29"/>
      <c r="B228" s="29"/>
      <c r="C228" s="29"/>
      <c r="D228" s="29"/>
      <c r="E228" s="29"/>
      <c r="F228" s="29"/>
      <c r="G228" s="29"/>
      <c r="H228" s="29"/>
    </row>
    <row r="229">
      <c r="A229" s="29"/>
      <c r="B229" s="29"/>
      <c r="C229" s="29"/>
      <c r="D229" s="29"/>
      <c r="E229" s="29"/>
      <c r="F229" s="29"/>
      <c r="G229" s="29"/>
      <c r="H229" s="29"/>
    </row>
    <row r="230">
      <c r="A230" s="29"/>
      <c r="B230" s="29"/>
      <c r="C230" s="29"/>
      <c r="D230" s="29"/>
      <c r="E230" s="29"/>
      <c r="F230" s="29"/>
      <c r="G230" s="29"/>
      <c r="H230" s="29"/>
    </row>
    <row r="231">
      <c r="A231" s="29"/>
      <c r="B231" s="29"/>
      <c r="C231" s="29"/>
      <c r="D231" s="29"/>
      <c r="E231" s="29"/>
      <c r="F231" s="29"/>
      <c r="G231" s="29"/>
      <c r="H231" s="29"/>
    </row>
    <row r="232">
      <c r="A232" s="29"/>
      <c r="B232" s="29"/>
      <c r="C232" s="29"/>
      <c r="D232" s="29"/>
      <c r="E232" s="29"/>
      <c r="F232" s="29"/>
      <c r="G232" s="29"/>
      <c r="H232" s="29"/>
    </row>
    <row r="233">
      <c r="A233" s="29"/>
      <c r="B233" s="29"/>
      <c r="C233" s="29"/>
      <c r="D233" s="29"/>
      <c r="E233" s="29"/>
      <c r="F233" s="29"/>
      <c r="G233" s="29"/>
      <c r="H233" s="29"/>
    </row>
    <row r="234">
      <c r="A234" s="29"/>
      <c r="B234" s="29"/>
      <c r="C234" s="29"/>
      <c r="D234" s="29"/>
      <c r="E234" s="29"/>
      <c r="F234" s="29"/>
      <c r="G234" s="29"/>
      <c r="H234" s="29"/>
    </row>
    <row r="235">
      <c r="A235" s="29"/>
      <c r="B235" s="29"/>
      <c r="C235" s="29"/>
      <c r="D235" s="29"/>
      <c r="E235" s="29"/>
      <c r="F235" s="29"/>
      <c r="G235" s="29"/>
      <c r="H235" s="29"/>
    </row>
    <row r="236">
      <c r="A236" s="29"/>
      <c r="B236" s="29"/>
      <c r="C236" s="29"/>
      <c r="D236" s="29"/>
      <c r="E236" s="29"/>
      <c r="F236" s="29"/>
      <c r="G236" s="29"/>
      <c r="H236" s="29"/>
    </row>
    <row r="237">
      <c r="A237" s="29"/>
      <c r="B237" s="29"/>
      <c r="C237" s="29"/>
      <c r="D237" s="29"/>
      <c r="E237" s="29"/>
      <c r="F237" s="29"/>
      <c r="G237" s="29"/>
      <c r="H237" s="29"/>
    </row>
    <row r="238">
      <c r="A238" s="29"/>
      <c r="B238" s="29"/>
      <c r="C238" s="29"/>
      <c r="D238" s="29"/>
      <c r="E238" s="29"/>
      <c r="F238" s="29"/>
      <c r="G238" s="29"/>
      <c r="H238" s="29"/>
    </row>
    <row r="239">
      <c r="A239" s="29"/>
      <c r="B239" s="29"/>
      <c r="C239" s="29"/>
      <c r="D239" s="29"/>
      <c r="E239" s="29"/>
      <c r="F239" s="29"/>
      <c r="G239" s="29"/>
      <c r="H239" s="29"/>
    </row>
    <row r="240">
      <c r="A240" s="29"/>
      <c r="B240" s="29"/>
      <c r="C240" s="29"/>
      <c r="D240" s="29"/>
      <c r="E240" s="29"/>
      <c r="F240" s="29"/>
      <c r="G240" s="29"/>
      <c r="H240" s="29"/>
    </row>
    <row r="241">
      <c r="A241" s="29"/>
      <c r="B241" s="29"/>
      <c r="C241" s="29"/>
      <c r="D241" s="29"/>
      <c r="E241" s="29"/>
      <c r="F241" s="29"/>
      <c r="G241" s="29"/>
      <c r="H241" s="29"/>
    </row>
    <row r="242">
      <c r="A242" s="29"/>
      <c r="B242" s="29"/>
      <c r="C242" s="29"/>
      <c r="D242" s="29"/>
      <c r="E242" s="29"/>
      <c r="F242" s="29"/>
      <c r="G242" s="29"/>
      <c r="H242" s="29"/>
    </row>
    <row r="243">
      <c r="A243" s="29"/>
      <c r="B243" s="29"/>
      <c r="C243" s="29"/>
      <c r="D243" s="29"/>
      <c r="E243" s="29"/>
      <c r="F243" s="29"/>
      <c r="G243" s="29"/>
      <c r="H243" s="29"/>
    </row>
    <row r="244">
      <c r="A244" s="29"/>
      <c r="B244" s="29"/>
      <c r="C244" s="29"/>
      <c r="D244" s="29"/>
      <c r="E244" s="29"/>
      <c r="F244" s="29"/>
      <c r="G244" s="29"/>
      <c r="H244" s="29"/>
    </row>
    <row r="245">
      <c r="A245" s="29"/>
      <c r="B245" s="29"/>
      <c r="C245" s="29"/>
      <c r="D245" s="29"/>
      <c r="E245" s="29"/>
      <c r="F245" s="29"/>
      <c r="G245" s="29"/>
      <c r="H245" s="29"/>
    </row>
    <row r="246">
      <c r="A246" s="29"/>
      <c r="B246" s="29"/>
      <c r="C246" s="29"/>
      <c r="D246" s="29"/>
      <c r="E246" s="29"/>
      <c r="F246" s="29"/>
      <c r="G246" s="29"/>
      <c r="H246" s="29"/>
    </row>
    <row r="247">
      <c r="A247" s="29"/>
      <c r="B247" s="29"/>
      <c r="C247" s="29"/>
      <c r="D247" s="29"/>
      <c r="E247" s="29"/>
      <c r="F247" s="29"/>
      <c r="G247" s="29"/>
      <c r="H247" s="29"/>
    </row>
    <row r="248">
      <c r="A248" s="29"/>
      <c r="B248" s="29"/>
      <c r="C248" s="29"/>
      <c r="D248" s="29"/>
      <c r="E248" s="29"/>
      <c r="F248" s="29"/>
      <c r="G248" s="29"/>
      <c r="H248" s="29"/>
    </row>
    <row r="249">
      <c r="A249" s="29"/>
      <c r="B249" s="29"/>
      <c r="C249" s="29"/>
      <c r="D249" s="29"/>
      <c r="E249" s="29"/>
      <c r="F249" s="29"/>
      <c r="G249" s="29"/>
      <c r="H249" s="29"/>
    </row>
    <row r="250">
      <c r="A250" s="29"/>
      <c r="B250" s="29"/>
      <c r="C250" s="29"/>
      <c r="D250" s="29"/>
      <c r="E250" s="29"/>
      <c r="F250" s="29"/>
      <c r="G250" s="29"/>
      <c r="H250" s="29"/>
    </row>
    <row r="251">
      <c r="A251" s="29"/>
      <c r="B251" s="29"/>
      <c r="C251" s="29"/>
      <c r="D251" s="29"/>
      <c r="E251" s="29"/>
      <c r="F251" s="29"/>
      <c r="G251" s="29"/>
      <c r="H251" s="29"/>
    </row>
    <row r="252">
      <c r="A252" s="29"/>
      <c r="B252" s="29"/>
      <c r="C252" s="29"/>
      <c r="D252" s="29"/>
      <c r="E252" s="29"/>
      <c r="F252" s="29"/>
      <c r="G252" s="29"/>
      <c r="H252" s="29"/>
    </row>
    <row r="253">
      <c r="A253" s="29"/>
      <c r="B253" s="29"/>
      <c r="C253" s="29"/>
      <c r="D253" s="29"/>
      <c r="E253" s="29"/>
      <c r="F253" s="29"/>
      <c r="G253" s="29"/>
      <c r="H253" s="29"/>
    </row>
    <row r="254">
      <c r="A254" s="29"/>
      <c r="B254" s="29"/>
      <c r="C254" s="29"/>
      <c r="D254" s="29"/>
      <c r="E254" s="29"/>
      <c r="F254" s="29"/>
      <c r="G254" s="29"/>
      <c r="H254" s="29"/>
    </row>
    <row r="255">
      <c r="A255" s="29"/>
      <c r="B255" s="29"/>
      <c r="C255" s="29"/>
      <c r="D255" s="29"/>
      <c r="E255" s="29"/>
      <c r="F255" s="29"/>
      <c r="G255" s="29"/>
      <c r="H255" s="29"/>
    </row>
    <row r="256">
      <c r="A256" s="29"/>
      <c r="B256" s="29"/>
      <c r="C256" s="29"/>
      <c r="D256" s="29"/>
      <c r="E256" s="29"/>
      <c r="F256" s="29"/>
      <c r="G256" s="29"/>
      <c r="H256" s="29"/>
    </row>
    <row r="257">
      <c r="A257" s="29"/>
      <c r="B257" s="29"/>
      <c r="C257" s="29"/>
      <c r="D257" s="29"/>
      <c r="E257" s="29"/>
      <c r="F257" s="29"/>
      <c r="G257" s="29"/>
      <c r="H257" s="29"/>
    </row>
    <row r="258">
      <c r="A258" s="29"/>
      <c r="B258" s="29"/>
      <c r="C258" s="29"/>
      <c r="D258" s="29"/>
      <c r="E258" s="29"/>
      <c r="F258" s="29"/>
      <c r="G258" s="29"/>
      <c r="H258" s="29"/>
    </row>
    <row r="259">
      <c r="A259" s="29"/>
      <c r="B259" s="29"/>
      <c r="C259" s="29"/>
      <c r="D259" s="29"/>
      <c r="E259" s="29"/>
      <c r="F259" s="29"/>
      <c r="G259" s="29"/>
      <c r="H259" s="29"/>
    </row>
    <row r="260">
      <c r="A260" s="29"/>
      <c r="B260" s="29"/>
      <c r="C260" s="29"/>
      <c r="D260" s="29"/>
      <c r="E260" s="29"/>
      <c r="F260" s="29"/>
      <c r="G260" s="29"/>
      <c r="H260" s="29"/>
    </row>
    <row r="261">
      <c r="A261" s="29"/>
      <c r="B261" s="29"/>
      <c r="C261" s="29"/>
      <c r="D261" s="29"/>
      <c r="E261" s="29"/>
      <c r="F261" s="29"/>
      <c r="G261" s="29"/>
      <c r="H261" s="29"/>
    </row>
    <row r="262">
      <c r="A262" s="29"/>
      <c r="B262" s="29"/>
      <c r="C262" s="29"/>
      <c r="D262" s="29"/>
      <c r="E262" s="29"/>
      <c r="F262" s="29"/>
      <c r="G262" s="29"/>
      <c r="H262" s="29"/>
    </row>
    <row r="263">
      <c r="A263" s="29"/>
      <c r="B263" s="29"/>
      <c r="C263" s="29"/>
      <c r="D263" s="29"/>
      <c r="E263" s="29"/>
      <c r="F263" s="29"/>
      <c r="G263" s="29"/>
      <c r="H263" s="29"/>
    </row>
    <row r="264">
      <c r="A264" s="29"/>
      <c r="B264" s="29"/>
      <c r="C264" s="29"/>
      <c r="D264" s="29"/>
      <c r="E264" s="29"/>
      <c r="F264" s="29"/>
      <c r="G264" s="29"/>
      <c r="H264" s="29"/>
    </row>
    <row r="265">
      <c r="A265" s="29"/>
      <c r="B265" s="29"/>
      <c r="C265" s="29"/>
      <c r="D265" s="29"/>
      <c r="E265" s="29"/>
      <c r="F265" s="29"/>
      <c r="G265" s="29"/>
      <c r="H265" s="29"/>
    </row>
    <row r="266">
      <c r="A266" s="29"/>
      <c r="B266" s="29"/>
      <c r="C266" s="29"/>
      <c r="D266" s="29"/>
      <c r="E266" s="29"/>
      <c r="F266" s="29"/>
      <c r="G266" s="29"/>
      <c r="H266" s="29"/>
    </row>
    <row r="267">
      <c r="A267" s="29"/>
      <c r="B267" s="29"/>
      <c r="C267" s="29"/>
      <c r="D267" s="29"/>
      <c r="E267" s="29"/>
      <c r="F267" s="29"/>
      <c r="G267" s="29"/>
      <c r="H267" s="29"/>
    </row>
    <row r="268">
      <c r="A268" s="29"/>
      <c r="B268" s="29"/>
      <c r="C268" s="29"/>
      <c r="D268" s="29"/>
      <c r="E268" s="29"/>
      <c r="F268" s="29"/>
      <c r="G268" s="29"/>
      <c r="H268" s="29"/>
    </row>
    <row r="269">
      <c r="A269" s="29"/>
      <c r="B269" s="29"/>
      <c r="C269" s="29"/>
      <c r="D269" s="29"/>
      <c r="E269" s="29"/>
      <c r="F269" s="29"/>
      <c r="G269" s="29"/>
      <c r="H269" s="29"/>
    </row>
    <row r="270">
      <c r="A270" s="29"/>
      <c r="B270" s="29"/>
      <c r="C270" s="29"/>
      <c r="D270" s="29"/>
      <c r="E270" s="29"/>
      <c r="F270" s="29"/>
      <c r="G270" s="29"/>
      <c r="H270" s="29"/>
    </row>
    <row r="271">
      <c r="A271" s="29"/>
      <c r="B271" s="29"/>
      <c r="C271" s="29"/>
      <c r="D271" s="29"/>
      <c r="E271" s="29"/>
      <c r="F271" s="29"/>
      <c r="G271" s="29"/>
      <c r="H271" s="29"/>
    </row>
    <row r="272">
      <c r="A272" s="29"/>
      <c r="B272" s="29"/>
      <c r="C272" s="29"/>
      <c r="D272" s="29"/>
      <c r="E272" s="29"/>
      <c r="F272" s="29"/>
      <c r="G272" s="29"/>
      <c r="H272" s="29"/>
    </row>
    <row r="273">
      <c r="A273" s="29"/>
      <c r="B273" s="29"/>
      <c r="C273" s="29"/>
      <c r="D273" s="29"/>
      <c r="E273" s="29"/>
      <c r="F273" s="29"/>
      <c r="G273" s="29"/>
      <c r="H273" s="29"/>
    </row>
    <row r="274">
      <c r="A274" s="29"/>
      <c r="B274" s="29"/>
      <c r="C274" s="29"/>
      <c r="D274" s="29"/>
      <c r="E274" s="29"/>
      <c r="F274" s="29"/>
      <c r="G274" s="29"/>
      <c r="H274" s="29"/>
    </row>
    <row r="275">
      <c r="A275" s="29"/>
      <c r="B275" s="29"/>
      <c r="C275" s="29"/>
      <c r="D275" s="29"/>
      <c r="E275" s="29"/>
      <c r="F275" s="29"/>
      <c r="G275" s="29"/>
      <c r="H275" s="29"/>
    </row>
    <row r="276">
      <c r="A276" s="29"/>
      <c r="B276" s="29"/>
      <c r="C276" s="29"/>
      <c r="D276" s="29"/>
      <c r="E276" s="29"/>
      <c r="F276" s="29"/>
      <c r="G276" s="29"/>
      <c r="H276" s="29"/>
    </row>
    <row r="277">
      <c r="A277" s="29"/>
      <c r="B277" s="29"/>
      <c r="C277" s="29"/>
      <c r="D277" s="29"/>
      <c r="E277" s="29"/>
      <c r="F277" s="29"/>
      <c r="G277" s="29"/>
      <c r="H277" s="29"/>
    </row>
    <row r="278">
      <c r="A278" s="29"/>
      <c r="B278" s="29"/>
      <c r="C278" s="29"/>
      <c r="D278" s="29"/>
      <c r="E278" s="29"/>
      <c r="F278" s="29"/>
      <c r="G278" s="29"/>
      <c r="H278" s="29"/>
    </row>
    <row r="279">
      <c r="A279" s="29"/>
      <c r="B279" s="29"/>
      <c r="C279" s="29"/>
      <c r="D279" s="29"/>
      <c r="E279" s="29"/>
      <c r="F279" s="29"/>
      <c r="G279" s="29"/>
      <c r="H279" s="29"/>
    </row>
    <row r="280">
      <c r="A280" s="29"/>
      <c r="B280" s="29"/>
      <c r="C280" s="29"/>
      <c r="D280" s="29"/>
      <c r="E280" s="29"/>
      <c r="F280" s="29"/>
      <c r="G280" s="29"/>
      <c r="H280" s="29"/>
    </row>
    <row r="281">
      <c r="A281" s="29"/>
      <c r="B281" s="29"/>
      <c r="C281" s="29"/>
      <c r="D281" s="29"/>
      <c r="E281" s="29"/>
      <c r="F281" s="29"/>
      <c r="G281" s="29"/>
      <c r="H281" s="29"/>
    </row>
    <row r="282">
      <c r="A282" s="29"/>
      <c r="B282" s="29"/>
      <c r="C282" s="29"/>
      <c r="D282" s="29"/>
      <c r="E282" s="29"/>
      <c r="F282" s="29"/>
      <c r="G282" s="29"/>
      <c r="H282" s="29"/>
    </row>
    <row r="283">
      <c r="A283" s="29"/>
      <c r="B283" s="29"/>
      <c r="C283" s="29"/>
      <c r="D283" s="29"/>
      <c r="E283" s="29"/>
      <c r="F283" s="29"/>
      <c r="G283" s="29"/>
      <c r="H283" s="29"/>
    </row>
    <row r="284">
      <c r="A284" s="29"/>
      <c r="B284" s="29"/>
      <c r="C284" s="29"/>
      <c r="D284" s="29"/>
      <c r="E284" s="29"/>
      <c r="F284" s="29"/>
      <c r="G284" s="29"/>
      <c r="H284" s="29"/>
    </row>
    <row r="285">
      <c r="A285" s="29"/>
      <c r="B285" s="29"/>
      <c r="C285" s="29"/>
      <c r="D285" s="29"/>
      <c r="E285" s="29"/>
      <c r="F285" s="29"/>
      <c r="G285" s="29"/>
      <c r="H285" s="29"/>
    </row>
    <row r="286">
      <c r="A286" s="29"/>
      <c r="B286" s="29"/>
      <c r="C286" s="29"/>
      <c r="D286" s="29"/>
      <c r="E286" s="29"/>
      <c r="F286" s="29"/>
      <c r="G286" s="29"/>
      <c r="H286" s="29"/>
    </row>
    <row r="287">
      <c r="A287" s="29"/>
      <c r="B287" s="29"/>
      <c r="C287" s="29"/>
      <c r="D287" s="29"/>
      <c r="E287" s="29"/>
      <c r="F287" s="29"/>
      <c r="G287" s="29"/>
      <c r="H287" s="29"/>
    </row>
    <row r="288">
      <c r="A288" s="29"/>
      <c r="B288" s="29"/>
      <c r="C288" s="29"/>
      <c r="D288" s="29"/>
      <c r="E288" s="29"/>
      <c r="F288" s="29"/>
      <c r="G288" s="29"/>
      <c r="H288" s="29"/>
    </row>
    <row r="289">
      <c r="A289" s="29"/>
      <c r="B289" s="29"/>
      <c r="C289" s="29"/>
      <c r="D289" s="29"/>
      <c r="E289" s="29"/>
      <c r="F289" s="29"/>
      <c r="G289" s="29"/>
      <c r="H289" s="29"/>
    </row>
    <row r="290">
      <c r="A290" s="29"/>
      <c r="B290" s="29"/>
      <c r="C290" s="29"/>
      <c r="D290" s="29"/>
      <c r="E290" s="29"/>
      <c r="F290" s="29"/>
      <c r="G290" s="29"/>
      <c r="H290" s="29"/>
    </row>
    <row r="291">
      <c r="A291" s="29"/>
      <c r="B291" s="29"/>
      <c r="C291" s="29"/>
      <c r="D291" s="29"/>
      <c r="E291" s="29"/>
      <c r="F291" s="29"/>
      <c r="G291" s="29"/>
      <c r="H291" s="29"/>
    </row>
    <row r="292">
      <c r="A292" s="29"/>
      <c r="B292" s="29"/>
      <c r="C292" s="29"/>
      <c r="D292" s="29"/>
      <c r="E292" s="29"/>
      <c r="F292" s="29"/>
      <c r="G292" s="29"/>
      <c r="H292" s="29"/>
    </row>
    <row r="293">
      <c r="A293" s="29"/>
      <c r="B293" s="29"/>
      <c r="C293" s="29"/>
      <c r="D293" s="29"/>
      <c r="E293" s="29"/>
      <c r="F293" s="29"/>
      <c r="G293" s="29"/>
      <c r="H293" s="29"/>
    </row>
    <row r="294">
      <c r="A294" s="29"/>
      <c r="B294" s="29"/>
      <c r="C294" s="29"/>
      <c r="D294" s="29"/>
      <c r="E294" s="29"/>
      <c r="F294" s="29"/>
      <c r="G294" s="29"/>
      <c r="H294" s="29"/>
    </row>
    <row r="295">
      <c r="A295" s="29"/>
      <c r="B295" s="29"/>
      <c r="C295" s="29"/>
      <c r="D295" s="29"/>
      <c r="E295" s="29"/>
      <c r="F295" s="29"/>
      <c r="G295" s="29"/>
      <c r="H295" s="29"/>
    </row>
    <row r="296">
      <c r="A296" s="29"/>
      <c r="B296" s="29"/>
      <c r="C296" s="29"/>
      <c r="D296" s="29"/>
      <c r="E296" s="29"/>
      <c r="F296" s="29"/>
      <c r="G296" s="29"/>
      <c r="H296" s="29"/>
    </row>
    <row r="297">
      <c r="A297" s="29"/>
      <c r="B297" s="29"/>
      <c r="C297" s="29"/>
      <c r="D297" s="29"/>
      <c r="E297" s="29"/>
      <c r="F297" s="29"/>
      <c r="G297" s="29"/>
      <c r="H297" s="29"/>
    </row>
    <row r="298">
      <c r="A298" s="29"/>
      <c r="B298" s="29"/>
      <c r="C298" s="29"/>
      <c r="D298" s="29"/>
      <c r="E298" s="29"/>
      <c r="F298" s="29"/>
      <c r="G298" s="29"/>
      <c r="H298" s="29"/>
    </row>
    <row r="299">
      <c r="A299" s="29"/>
      <c r="B299" s="29"/>
      <c r="C299" s="29"/>
      <c r="D299" s="29"/>
      <c r="E299" s="29"/>
      <c r="F299" s="29"/>
      <c r="G299" s="29"/>
      <c r="H299" s="29"/>
    </row>
    <row r="300">
      <c r="A300" s="29"/>
      <c r="B300" s="29"/>
      <c r="C300" s="29"/>
      <c r="D300" s="29"/>
      <c r="E300" s="29"/>
      <c r="F300" s="29"/>
      <c r="G300" s="29"/>
      <c r="H300" s="29"/>
    </row>
    <row r="301">
      <c r="A301" s="29"/>
      <c r="B301" s="29"/>
      <c r="C301" s="29"/>
      <c r="D301" s="29"/>
      <c r="E301" s="29"/>
      <c r="F301" s="29"/>
      <c r="G301" s="29"/>
      <c r="H301" s="29"/>
    </row>
    <row r="302">
      <c r="A302" s="29"/>
      <c r="B302" s="29"/>
      <c r="C302" s="29"/>
      <c r="D302" s="29"/>
      <c r="E302" s="29"/>
      <c r="F302" s="29"/>
      <c r="G302" s="29"/>
      <c r="H302" s="29"/>
    </row>
    <row r="303">
      <c r="A303" s="29"/>
      <c r="B303" s="29"/>
      <c r="C303" s="29"/>
      <c r="D303" s="29"/>
      <c r="E303" s="29"/>
      <c r="F303" s="29"/>
      <c r="G303" s="29"/>
      <c r="H303" s="29"/>
    </row>
    <row r="304">
      <c r="A304" s="29"/>
      <c r="B304" s="29"/>
      <c r="C304" s="29"/>
      <c r="D304" s="29"/>
      <c r="E304" s="29"/>
      <c r="F304" s="29"/>
      <c r="G304" s="29"/>
      <c r="H304" s="29"/>
    </row>
    <row r="305">
      <c r="A305" s="29"/>
      <c r="B305" s="29"/>
      <c r="C305" s="29"/>
      <c r="D305" s="29"/>
      <c r="E305" s="29"/>
      <c r="F305" s="29"/>
      <c r="G305" s="29"/>
      <c r="H305" s="29"/>
    </row>
    <row r="306">
      <c r="A306" s="29"/>
      <c r="B306" s="29"/>
      <c r="C306" s="29"/>
      <c r="D306" s="29"/>
      <c r="E306" s="29"/>
      <c r="F306" s="29"/>
      <c r="G306" s="29"/>
      <c r="H306" s="29"/>
    </row>
    <row r="307">
      <c r="A307" s="29"/>
      <c r="B307" s="29"/>
      <c r="C307" s="29"/>
      <c r="D307" s="29"/>
      <c r="E307" s="29"/>
      <c r="F307" s="29"/>
      <c r="G307" s="29"/>
      <c r="H307" s="29"/>
    </row>
    <row r="308">
      <c r="A308" s="29"/>
      <c r="B308" s="29"/>
      <c r="C308" s="29"/>
      <c r="D308" s="29"/>
      <c r="E308" s="29"/>
      <c r="F308" s="29"/>
      <c r="G308" s="29"/>
      <c r="H308" s="29"/>
    </row>
    <row r="309">
      <c r="A309" s="29"/>
      <c r="B309" s="29"/>
      <c r="C309" s="29"/>
      <c r="D309" s="29"/>
      <c r="E309" s="29"/>
      <c r="F309" s="29"/>
      <c r="G309" s="29"/>
      <c r="H309" s="29"/>
    </row>
    <row r="310">
      <c r="A310" s="29"/>
      <c r="B310" s="29"/>
      <c r="C310" s="29"/>
      <c r="D310" s="29"/>
      <c r="E310" s="29"/>
      <c r="F310" s="29"/>
      <c r="G310" s="29"/>
      <c r="H310" s="29"/>
    </row>
    <row r="311">
      <c r="A311" s="29"/>
      <c r="B311" s="29"/>
      <c r="C311" s="29"/>
      <c r="D311" s="29"/>
      <c r="E311" s="29"/>
      <c r="F311" s="29"/>
      <c r="G311" s="29"/>
      <c r="H311" s="29"/>
    </row>
    <row r="312">
      <c r="A312" s="29"/>
      <c r="B312" s="29"/>
      <c r="C312" s="29"/>
      <c r="D312" s="29"/>
      <c r="E312" s="29"/>
      <c r="F312" s="29"/>
      <c r="G312" s="29"/>
      <c r="H312" s="29"/>
    </row>
    <row r="313">
      <c r="A313" s="29"/>
      <c r="B313" s="29"/>
      <c r="C313" s="29"/>
      <c r="D313" s="29"/>
      <c r="E313" s="29"/>
      <c r="F313" s="29"/>
      <c r="G313" s="29"/>
      <c r="H313" s="29"/>
    </row>
    <row r="314">
      <c r="A314" s="29"/>
      <c r="B314" s="29"/>
      <c r="C314" s="29"/>
      <c r="D314" s="29"/>
      <c r="E314" s="29"/>
      <c r="F314" s="29"/>
      <c r="G314" s="29"/>
      <c r="H314" s="29"/>
    </row>
    <row r="315">
      <c r="A315" s="29"/>
      <c r="B315" s="29"/>
      <c r="C315" s="29"/>
      <c r="D315" s="29"/>
      <c r="E315" s="29"/>
      <c r="F315" s="29"/>
      <c r="G315" s="29"/>
      <c r="H315" s="29"/>
    </row>
    <row r="316">
      <c r="A316" s="29"/>
      <c r="B316" s="29"/>
      <c r="C316" s="29"/>
      <c r="D316" s="29"/>
      <c r="E316" s="29"/>
      <c r="F316" s="29"/>
      <c r="G316" s="29"/>
      <c r="H316" s="29"/>
    </row>
    <row r="317">
      <c r="A317" s="29"/>
      <c r="B317" s="29"/>
      <c r="C317" s="29"/>
      <c r="D317" s="29"/>
      <c r="E317" s="29"/>
      <c r="F317" s="29"/>
      <c r="G317" s="29"/>
      <c r="H317" s="29"/>
    </row>
    <row r="318">
      <c r="A318" s="29"/>
      <c r="B318" s="29"/>
      <c r="C318" s="29"/>
      <c r="D318" s="29"/>
      <c r="E318" s="29"/>
      <c r="F318" s="29"/>
      <c r="G318" s="29"/>
      <c r="H318" s="29"/>
    </row>
    <row r="319">
      <c r="A319" s="29"/>
      <c r="B319" s="29"/>
      <c r="C319" s="29"/>
      <c r="D319" s="29"/>
      <c r="E319" s="29"/>
      <c r="F319" s="29"/>
      <c r="G319" s="29"/>
      <c r="H319" s="29"/>
    </row>
    <row r="320">
      <c r="A320" s="29"/>
      <c r="B320" s="29"/>
      <c r="C320" s="29"/>
      <c r="D320" s="29"/>
      <c r="E320" s="29"/>
      <c r="F320" s="29"/>
      <c r="G320" s="29"/>
      <c r="H320" s="29"/>
    </row>
    <row r="321">
      <c r="A321" s="29"/>
      <c r="B321" s="29"/>
      <c r="C321" s="29"/>
      <c r="D321" s="29"/>
      <c r="E321" s="29"/>
      <c r="F321" s="29"/>
      <c r="G321" s="29"/>
      <c r="H321" s="29"/>
    </row>
    <row r="322">
      <c r="A322" s="29"/>
      <c r="B322" s="29"/>
      <c r="C322" s="29"/>
      <c r="D322" s="29"/>
      <c r="E322" s="29"/>
      <c r="F322" s="29"/>
      <c r="G322" s="29"/>
      <c r="H322" s="29"/>
    </row>
    <row r="323">
      <c r="A323" s="29"/>
      <c r="B323" s="29"/>
      <c r="C323" s="29"/>
      <c r="D323" s="29"/>
      <c r="E323" s="29"/>
      <c r="F323" s="29"/>
      <c r="G323" s="29"/>
      <c r="H323" s="29"/>
    </row>
    <row r="324">
      <c r="A324" s="29"/>
      <c r="B324" s="29"/>
      <c r="C324" s="29"/>
      <c r="D324" s="29"/>
      <c r="E324" s="29"/>
      <c r="F324" s="29"/>
      <c r="G324" s="29"/>
      <c r="H324" s="29"/>
    </row>
    <row r="325">
      <c r="A325" s="29"/>
      <c r="B325" s="29"/>
      <c r="C325" s="29"/>
      <c r="D325" s="29"/>
      <c r="E325" s="29"/>
      <c r="F325" s="29"/>
      <c r="G325" s="29"/>
      <c r="H325" s="29"/>
    </row>
    <row r="326">
      <c r="A326" s="29"/>
      <c r="B326" s="29"/>
      <c r="C326" s="29"/>
      <c r="D326" s="29"/>
      <c r="E326" s="29"/>
      <c r="F326" s="29"/>
      <c r="G326" s="29"/>
      <c r="H326" s="29"/>
    </row>
    <row r="327">
      <c r="A327" s="29"/>
      <c r="B327" s="29"/>
      <c r="C327" s="29"/>
      <c r="D327" s="29"/>
      <c r="E327" s="29"/>
      <c r="F327" s="29"/>
      <c r="G327" s="29"/>
      <c r="H327" s="29"/>
    </row>
    <row r="328">
      <c r="A328" s="29"/>
      <c r="B328" s="29"/>
      <c r="C328" s="29"/>
      <c r="D328" s="29"/>
      <c r="E328" s="29"/>
      <c r="F328" s="29"/>
      <c r="G328" s="29"/>
      <c r="H328" s="29"/>
    </row>
    <row r="329">
      <c r="A329" s="29"/>
      <c r="B329" s="29"/>
      <c r="C329" s="29"/>
      <c r="D329" s="29"/>
      <c r="E329" s="29"/>
      <c r="F329" s="29"/>
      <c r="G329" s="29"/>
      <c r="H329" s="29"/>
    </row>
    <row r="330">
      <c r="A330" s="29"/>
      <c r="B330" s="29"/>
      <c r="C330" s="29"/>
      <c r="D330" s="29"/>
      <c r="E330" s="29"/>
      <c r="F330" s="29"/>
      <c r="G330" s="29"/>
      <c r="H330" s="29"/>
    </row>
    <row r="331">
      <c r="A331" s="29"/>
      <c r="B331" s="29"/>
      <c r="C331" s="29"/>
      <c r="D331" s="29"/>
      <c r="E331" s="29"/>
      <c r="F331" s="29"/>
      <c r="G331" s="29"/>
      <c r="H331" s="29"/>
    </row>
    <row r="332">
      <c r="A332" s="29"/>
      <c r="B332" s="29"/>
      <c r="C332" s="29"/>
      <c r="D332" s="29"/>
      <c r="E332" s="29"/>
      <c r="F332" s="29"/>
      <c r="G332" s="29"/>
      <c r="H332" s="29"/>
    </row>
    <row r="333">
      <c r="A333" s="29"/>
      <c r="B333" s="29"/>
      <c r="C333" s="29"/>
      <c r="D333" s="29"/>
      <c r="E333" s="29"/>
      <c r="F333" s="29"/>
      <c r="G333" s="29"/>
      <c r="H333" s="29"/>
    </row>
    <row r="334">
      <c r="A334" s="29"/>
      <c r="B334" s="29"/>
      <c r="C334" s="29"/>
      <c r="D334" s="29"/>
      <c r="E334" s="29"/>
      <c r="F334" s="29"/>
      <c r="G334" s="29"/>
      <c r="H334" s="29"/>
    </row>
    <row r="335">
      <c r="A335" s="29"/>
      <c r="B335" s="29"/>
      <c r="C335" s="29"/>
      <c r="D335" s="29"/>
      <c r="E335" s="29"/>
      <c r="F335" s="29"/>
      <c r="G335" s="29"/>
      <c r="H335" s="29"/>
    </row>
    <row r="336">
      <c r="A336" s="29"/>
      <c r="B336" s="29"/>
      <c r="C336" s="29"/>
      <c r="D336" s="29"/>
      <c r="E336" s="29"/>
      <c r="F336" s="29"/>
      <c r="G336" s="29"/>
      <c r="H336" s="29"/>
    </row>
    <row r="337">
      <c r="A337" s="29"/>
      <c r="B337" s="29"/>
      <c r="C337" s="29"/>
      <c r="D337" s="29"/>
      <c r="E337" s="29"/>
      <c r="F337" s="29"/>
      <c r="G337" s="29"/>
      <c r="H337" s="29"/>
    </row>
    <row r="338">
      <c r="A338" s="29"/>
      <c r="B338" s="29"/>
      <c r="C338" s="29"/>
      <c r="D338" s="29"/>
      <c r="E338" s="29"/>
      <c r="F338" s="29"/>
      <c r="G338" s="29"/>
      <c r="H338" s="29"/>
    </row>
    <row r="339">
      <c r="A339" s="29"/>
      <c r="B339" s="29"/>
      <c r="C339" s="29"/>
      <c r="D339" s="29"/>
      <c r="E339" s="29"/>
      <c r="F339" s="29"/>
      <c r="G339" s="29"/>
      <c r="H339" s="29"/>
    </row>
    <row r="340">
      <c r="A340" s="29"/>
      <c r="B340" s="29"/>
      <c r="C340" s="29"/>
      <c r="D340" s="29"/>
      <c r="E340" s="29"/>
      <c r="F340" s="29"/>
      <c r="G340" s="29"/>
      <c r="H340" s="29"/>
    </row>
    <row r="341">
      <c r="A341" s="29"/>
      <c r="B341" s="29"/>
      <c r="C341" s="29"/>
      <c r="D341" s="29"/>
      <c r="E341" s="29"/>
      <c r="F341" s="29"/>
      <c r="G341" s="29"/>
      <c r="H341" s="29"/>
    </row>
    <row r="342">
      <c r="A342" s="29"/>
      <c r="B342" s="29"/>
      <c r="C342" s="29"/>
      <c r="D342" s="29"/>
      <c r="E342" s="29"/>
      <c r="F342" s="29"/>
      <c r="G342" s="29"/>
      <c r="H342" s="29"/>
    </row>
    <row r="343">
      <c r="A343" s="29"/>
      <c r="B343" s="29"/>
      <c r="C343" s="29"/>
      <c r="D343" s="29"/>
      <c r="E343" s="29"/>
      <c r="F343" s="29"/>
      <c r="G343" s="29"/>
      <c r="H343" s="29"/>
    </row>
    <row r="344">
      <c r="A344" s="29"/>
      <c r="B344" s="29"/>
      <c r="C344" s="29"/>
      <c r="D344" s="29"/>
      <c r="E344" s="29"/>
      <c r="F344" s="29"/>
      <c r="G344" s="29"/>
      <c r="H344" s="29"/>
    </row>
    <row r="345">
      <c r="A345" s="29"/>
      <c r="B345" s="29"/>
      <c r="C345" s="29"/>
      <c r="D345" s="29"/>
      <c r="E345" s="29"/>
      <c r="F345" s="29"/>
      <c r="G345" s="29"/>
      <c r="H345" s="29"/>
    </row>
    <row r="346">
      <c r="A346" s="29"/>
      <c r="B346" s="29"/>
      <c r="C346" s="29"/>
      <c r="D346" s="29"/>
      <c r="E346" s="29"/>
      <c r="F346" s="29"/>
      <c r="G346" s="29"/>
      <c r="H346" s="29"/>
    </row>
    <row r="347">
      <c r="A347" s="29"/>
      <c r="B347" s="29"/>
      <c r="C347" s="29"/>
      <c r="D347" s="29"/>
      <c r="E347" s="29"/>
      <c r="F347" s="29"/>
      <c r="G347" s="29"/>
      <c r="H347" s="29"/>
    </row>
    <row r="348">
      <c r="A348" s="29"/>
      <c r="B348" s="29"/>
      <c r="C348" s="29"/>
      <c r="D348" s="29"/>
      <c r="E348" s="29"/>
      <c r="F348" s="29"/>
      <c r="G348" s="29"/>
      <c r="H348" s="29"/>
    </row>
    <row r="349">
      <c r="A349" s="29"/>
      <c r="B349" s="29"/>
      <c r="C349" s="29"/>
      <c r="D349" s="29"/>
      <c r="E349" s="29"/>
      <c r="F349" s="29"/>
      <c r="G349" s="29"/>
      <c r="H349" s="29"/>
    </row>
    <row r="350">
      <c r="A350" s="29"/>
      <c r="B350" s="29"/>
      <c r="C350" s="29"/>
      <c r="D350" s="29"/>
      <c r="E350" s="29"/>
      <c r="F350" s="29"/>
      <c r="G350" s="29"/>
      <c r="H350" s="29"/>
    </row>
    <row r="351">
      <c r="A351" s="29"/>
      <c r="B351" s="29"/>
      <c r="C351" s="29"/>
      <c r="D351" s="29"/>
      <c r="E351" s="29"/>
      <c r="F351" s="29"/>
      <c r="G351" s="29"/>
      <c r="H351" s="29"/>
    </row>
    <row r="352">
      <c r="A352" s="29"/>
      <c r="B352" s="29"/>
      <c r="C352" s="29"/>
      <c r="D352" s="29"/>
      <c r="E352" s="29"/>
      <c r="F352" s="29"/>
      <c r="G352" s="29"/>
      <c r="H352" s="29"/>
    </row>
    <row r="353">
      <c r="A353" s="29"/>
      <c r="B353" s="29"/>
      <c r="C353" s="29"/>
      <c r="D353" s="29"/>
      <c r="E353" s="29"/>
      <c r="F353" s="29"/>
      <c r="G353" s="29"/>
      <c r="H353" s="29"/>
    </row>
    <row r="354">
      <c r="A354" s="29"/>
      <c r="B354" s="29"/>
      <c r="C354" s="29"/>
      <c r="D354" s="29"/>
      <c r="E354" s="29"/>
      <c r="F354" s="29"/>
      <c r="G354" s="29"/>
      <c r="H354" s="29"/>
    </row>
    <row r="355">
      <c r="A355" s="29"/>
      <c r="B355" s="29"/>
      <c r="C355" s="29"/>
      <c r="D355" s="29"/>
      <c r="E355" s="29"/>
      <c r="F355" s="29"/>
      <c r="G355" s="29"/>
      <c r="H355" s="29"/>
    </row>
    <row r="356">
      <c r="A356" s="29"/>
      <c r="B356" s="29"/>
      <c r="C356" s="29"/>
      <c r="D356" s="29"/>
      <c r="E356" s="29"/>
      <c r="F356" s="29"/>
      <c r="G356" s="29"/>
      <c r="H356" s="29"/>
    </row>
    <row r="357">
      <c r="A357" s="29"/>
      <c r="B357" s="29"/>
      <c r="C357" s="29"/>
      <c r="D357" s="29"/>
      <c r="E357" s="29"/>
      <c r="F357" s="29"/>
      <c r="G357" s="29"/>
      <c r="H357" s="29"/>
    </row>
    <row r="358">
      <c r="A358" s="29"/>
      <c r="B358" s="29"/>
      <c r="C358" s="29"/>
      <c r="D358" s="29"/>
      <c r="E358" s="29"/>
      <c r="F358" s="29"/>
      <c r="G358" s="29"/>
      <c r="H358" s="29"/>
    </row>
    <row r="359">
      <c r="A359" s="29"/>
      <c r="B359" s="29"/>
      <c r="C359" s="29"/>
      <c r="D359" s="29"/>
      <c r="E359" s="29"/>
      <c r="F359" s="29"/>
      <c r="G359" s="29"/>
      <c r="H359" s="29"/>
    </row>
    <row r="360">
      <c r="A360" s="29"/>
      <c r="B360" s="29"/>
      <c r="C360" s="29"/>
      <c r="D360" s="29"/>
      <c r="E360" s="29"/>
      <c r="F360" s="29"/>
      <c r="G360" s="29"/>
      <c r="H360" s="29"/>
    </row>
    <row r="361">
      <c r="A361" s="29"/>
      <c r="B361" s="29"/>
      <c r="C361" s="29"/>
      <c r="D361" s="29"/>
      <c r="E361" s="29"/>
      <c r="F361" s="29"/>
      <c r="G361" s="29"/>
      <c r="H361" s="29"/>
    </row>
    <row r="362">
      <c r="A362" s="29"/>
      <c r="B362" s="29"/>
      <c r="C362" s="29"/>
      <c r="D362" s="29"/>
      <c r="E362" s="29"/>
      <c r="F362" s="29"/>
      <c r="G362" s="29"/>
      <c r="H362" s="29"/>
    </row>
    <row r="363">
      <c r="A363" s="29"/>
      <c r="B363" s="29"/>
      <c r="C363" s="29"/>
      <c r="D363" s="29"/>
      <c r="E363" s="29"/>
      <c r="F363" s="29"/>
      <c r="G363" s="29"/>
      <c r="H363" s="29"/>
    </row>
    <row r="364">
      <c r="A364" s="29"/>
      <c r="B364" s="29"/>
      <c r="C364" s="29"/>
      <c r="D364" s="29"/>
      <c r="E364" s="29"/>
      <c r="F364" s="29"/>
      <c r="G364" s="29"/>
      <c r="H364" s="29"/>
    </row>
    <row r="365">
      <c r="A365" s="29"/>
      <c r="B365" s="29"/>
      <c r="C365" s="29"/>
      <c r="D365" s="29"/>
      <c r="E365" s="29"/>
      <c r="F365" s="29"/>
      <c r="G365" s="29"/>
      <c r="H365" s="29"/>
    </row>
    <row r="366">
      <c r="A366" s="29"/>
      <c r="B366" s="29"/>
      <c r="C366" s="29"/>
      <c r="D366" s="29"/>
      <c r="E366" s="29"/>
      <c r="F366" s="29"/>
      <c r="G366" s="29"/>
      <c r="H366" s="29"/>
    </row>
    <row r="367">
      <c r="A367" s="29"/>
      <c r="B367" s="29"/>
      <c r="C367" s="29"/>
      <c r="D367" s="29"/>
      <c r="E367" s="29"/>
      <c r="F367" s="29"/>
      <c r="G367" s="29"/>
      <c r="H367" s="29"/>
    </row>
    <row r="368">
      <c r="A368" s="29"/>
      <c r="B368" s="29"/>
      <c r="C368" s="29"/>
      <c r="D368" s="29"/>
      <c r="E368" s="29"/>
      <c r="F368" s="29"/>
      <c r="G368" s="29"/>
      <c r="H368" s="29"/>
    </row>
    <row r="369">
      <c r="A369" s="29"/>
      <c r="B369" s="29"/>
      <c r="C369" s="29"/>
      <c r="D369" s="29"/>
      <c r="E369" s="29"/>
      <c r="F369" s="29"/>
      <c r="G369" s="29"/>
      <c r="H369" s="29"/>
    </row>
    <row r="370">
      <c r="A370" s="29"/>
      <c r="B370" s="29"/>
      <c r="C370" s="29"/>
      <c r="D370" s="29"/>
      <c r="E370" s="29"/>
      <c r="F370" s="29"/>
      <c r="G370" s="29"/>
      <c r="H370" s="29"/>
    </row>
    <row r="371">
      <c r="A371" s="29"/>
      <c r="B371" s="29"/>
      <c r="C371" s="29"/>
      <c r="D371" s="29"/>
      <c r="E371" s="29"/>
      <c r="F371" s="29"/>
      <c r="G371" s="29"/>
      <c r="H371" s="29"/>
    </row>
    <row r="372">
      <c r="A372" s="29"/>
      <c r="B372" s="29"/>
      <c r="C372" s="29"/>
      <c r="D372" s="29"/>
      <c r="E372" s="29"/>
      <c r="F372" s="29"/>
      <c r="G372" s="29"/>
      <c r="H372" s="29"/>
    </row>
    <row r="373">
      <c r="A373" s="29"/>
      <c r="B373" s="29"/>
      <c r="C373" s="29"/>
      <c r="D373" s="29"/>
      <c r="E373" s="29"/>
      <c r="F373" s="29"/>
      <c r="G373" s="29"/>
      <c r="H373" s="29"/>
    </row>
    <row r="374">
      <c r="A374" s="29"/>
      <c r="B374" s="29"/>
      <c r="C374" s="29"/>
      <c r="D374" s="29"/>
      <c r="E374" s="29"/>
      <c r="F374" s="29"/>
      <c r="G374" s="29"/>
      <c r="H374" s="29"/>
    </row>
    <row r="375">
      <c r="A375" s="29"/>
      <c r="B375" s="29"/>
      <c r="C375" s="29"/>
      <c r="D375" s="29"/>
      <c r="E375" s="29"/>
      <c r="F375" s="29"/>
      <c r="G375" s="29"/>
      <c r="H375" s="29"/>
    </row>
    <row r="376">
      <c r="A376" s="29"/>
      <c r="B376" s="29"/>
      <c r="C376" s="29"/>
      <c r="D376" s="29"/>
      <c r="E376" s="29"/>
      <c r="F376" s="29"/>
      <c r="G376" s="29"/>
      <c r="H376" s="29"/>
    </row>
    <row r="377">
      <c r="A377" s="29"/>
      <c r="B377" s="29"/>
      <c r="C377" s="29"/>
      <c r="D377" s="29"/>
      <c r="E377" s="29"/>
      <c r="F377" s="29"/>
      <c r="G377" s="29"/>
      <c r="H377" s="29"/>
    </row>
    <row r="378">
      <c r="A378" s="29"/>
      <c r="B378" s="29"/>
      <c r="C378" s="29"/>
      <c r="D378" s="29"/>
      <c r="E378" s="29"/>
      <c r="F378" s="29"/>
      <c r="G378" s="29"/>
      <c r="H378" s="29"/>
    </row>
    <row r="379">
      <c r="A379" s="29"/>
      <c r="B379" s="29"/>
      <c r="C379" s="29"/>
      <c r="D379" s="29"/>
      <c r="E379" s="29"/>
      <c r="F379" s="29"/>
      <c r="G379" s="29"/>
      <c r="H379" s="29"/>
    </row>
    <row r="380">
      <c r="A380" s="29"/>
      <c r="B380" s="29"/>
      <c r="C380" s="29"/>
      <c r="D380" s="29"/>
      <c r="E380" s="29"/>
      <c r="F380" s="29"/>
      <c r="G380" s="29"/>
      <c r="H380" s="29"/>
    </row>
    <row r="381">
      <c r="A381" s="29"/>
      <c r="B381" s="29"/>
      <c r="C381" s="29"/>
      <c r="D381" s="29"/>
      <c r="E381" s="29"/>
      <c r="F381" s="29"/>
      <c r="G381" s="29"/>
      <c r="H381" s="29"/>
    </row>
    <row r="382">
      <c r="A382" s="29"/>
      <c r="B382" s="29"/>
      <c r="C382" s="29"/>
      <c r="D382" s="29"/>
      <c r="E382" s="29"/>
      <c r="F382" s="29"/>
      <c r="G382" s="29"/>
      <c r="H382" s="29"/>
    </row>
    <row r="383">
      <c r="A383" s="29"/>
      <c r="B383" s="29"/>
      <c r="C383" s="29"/>
      <c r="D383" s="29"/>
      <c r="E383" s="29"/>
      <c r="F383" s="29"/>
      <c r="G383" s="29"/>
      <c r="H383" s="29"/>
    </row>
    <row r="384">
      <c r="A384" s="29"/>
      <c r="B384" s="29"/>
      <c r="C384" s="29"/>
      <c r="D384" s="29"/>
      <c r="E384" s="29"/>
      <c r="F384" s="29"/>
      <c r="G384" s="29"/>
      <c r="H384" s="29"/>
    </row>
    <row r="385">
      <c r="A385" s="29"/>
      <c r="B385" s="29"/>
      <c r="C385" s="29"/>
      <c r="D385" s="29"/>
      <c r="E385" s="29"/>
      <c r="F385" s="29"/>
      <c r="G385" s="29"/>
      <c r="H385" s="29"/>
    </row>
    <row r="386">
      <c r="A386" s="29"/>
      <c r="B386" s="29"/>
      <c r="C386" s="29"/>
      <c r="D386" s="29"/>
      <c r="E386" s="29"/>
      <c r="F386" s="29"/>
      <c r="G386" s="29"/>
      <c r="H386" s="29"/>
    </row>
    <row r="387">
      <c r="A387" s="29"/>
      <c r="B387" s="29"/>
      <c r="C387" s="29"/>
      <c r="D387" s="29"/>
      <c r="E387" s="29"/>
      <c r="F387" s="29"/>
      <c r="G387" s="29"/>
      <c r="H387" s="29"/>
    </row>
    <row r="388">
      <c r="A388" s="29"/>
      <c r="B388" s="29"/>
      <c r="C388" s="29"/>
      <c r="D388" s="29"/>
      <c r="E388" s="29"/>
      <c r="F388" s="29"/>
      <c r="G388" s="29"/>
      <c r="H388" s="29"/>
    </row>
    <row r="389">
      <c r="A389" s="29"/>
      <c r="B389" s="29"/>
      <c r="C389" s="29"/>
      <c r="D389" s="29"/>
      <c r="E389" s="29"/>
      <c r="F389" s="29"/>
      <c r="G389" s="29"/>
      <c r="H389" s="29"/>
    </row>
    <row r="390">
      <c r="A390" s="29"/>
      <c r="B390" s="29"/>
      <c r="C390" s="29"/>
      <c r="D390" s="29"/>
      <c r="E390" s="29"/>
      <c r="F390" s="29"/>
      <c r="G390" s="29"/>
      <c r="H390" s="29"/>
    </row>
    <row r="391">
      <c r="A391" s="29"/>
      <c r="B391" s="29"/>
      <c r="C391" s="29"/>
      <c r="D391" s="29"/>
      <c r="E391" s="29"/>
      <c r="F391" s="29"/>
      <c r="G391" s="29"/>
      <c r="H391" s="29"/>
    </row>
    <row r="392">
      <c r="A392" s="29"/>
      <c r="B392" s="29"/>
      <c r="C392" s="29"/>
      <c r="D392" s="29"/>
      <c r="E392" s="29"/>
      <c r="F392" s="29"/>
      <c r="G392" s="29"/>
      <c r="H392" s="29"/>
    </row>
    <row r="393">
      <c r="A393" s="29"/>
      <c r="B393" s="29"/>
      <c r="C393" s="29"/>
      <c r="D393" s="29"/>
      <c r="E393" s="29"/>
      <c r="F393" s="29"/>
      <c r="G393" s="29"/>
      <c r="H393" s="29"/>
    </row>
    <row r="394">
      <c r="A394" s="29"/>
      <c r="B394" s="29"/>
      <c r="C394" s="29"/>
      <c r="D394" s="29"/>
      <c r="E394" s="29"/>
      <c r="F394" s="29"/>
      <c r="G394" s="29"/>
      <c r="H394" s="29"/>
    </row>
    <row r="395">
      <c r="A395" s="29"/>
      <c r="B395" s="29"/>
      <c r="C395" s="29"/>
      <c r="D395" s="29"/>
      <c r="E395" s="29"/>
      <c r="F395" s="29"/>
      <c r="G395" s="29"/>
      <c r="H395" s="29"/>
    </row>
    <row r="396">
      <c r="A396" s="29"/>
      <c r="B396" s="29"/>
      <c r="C396" s="29"/>
      <c r="D396" s="29"/>
      <c r="E396" s="29"/>
      <c r="F396" s="29"/>
      <c r="G396" s="29"/>
      <c r="H396" s="29"/>
    </row>
    <row r="397">
      <c r="A397" s="29"/>
      <c r="B397" s="29"/>
      <c r="C397" s="29"/>
      <c r="D397" s="29"/>
      <c r="E397" s="29"/>
      <c r="F397" s="29"/>
      <c r="G397" s="29"/>
      <c r="H397" s="29"/>
    </row>
    <row r="398">
      <c r="A398" s="29"/>
      <c r="B398" s="29"/>
      <c r="C398" s="29"/>
      <c r="D398" s="29"/>
      <c r="E398" s="29"/>
      <c r="F398" s="29"/>
      <c r="G398" s="29"/>
      <c r="H398" s="29"/>
    </row>
    <row r="399">
      <c r="A399" s="29"/>
      <c r="B399" s="29"/>
      <c r="C399" s="29"/>
      <c r="D399" s="29"/>
      <c r="E399" s="29"/>
      <c r="F399" s="29"/>
      <c r="G399" s="29"/>
      <c r="H399" s="29"/>
    </row>
    <row r="400">
      <c r="A400" s="29"/>
      <c r="B400" s="29"/>
      <c r="C400" s="29"/>
      <c r="D400" s="29"/>
      <c r="E400" s="29"/>
      <c r="F400" s="29"/>
      <c r="G400" s="29"/>
      <c r="H400" s="29"/>
    </row>
    <row r="401">
      <c r="A401" s="29"/>
      <c r="B401" s="29"/>
      <c r="C401" s="29"/>
      <c r="D401" s="29"/>
      <c r="E401" s="29"/>
      <c r="F401" s="29"/>
      <c r="G401" s="29"/>
      <c r="H401" s="29"/>
    </row>
    <row r="402">
      <c r="A402" s="29"/>
      <c r="B402" s="29"/>
      <c r="C402" s="29"/>
      <c r="D402" s="29"/>
      <c r="E402" s="29"/>
      <c r="F402" s="29"/>
      <c r="G402" s="29"/>
      <c r="H402" s="29"/>
    </row>
    <row r="403">
      <c r="A403" s="29"/>
      <c r="B403" s="29"/>
      <c r="C403" s="29"/>
      <c r="D403" s="29"/>
      <c r="E403" s="29"/>
      <c r="F403" s="29"/>
      <c r="G403" s="29"/>
      <c r="H403" s="29"/>
    </row>
    <row r="404">
      <c r="A404" s="29"/>
      <c r="B404" s="29"/>
      <c r="C404" s="29"/>
      <c r="D404" s="29"/>
      <c r="E404" s="29"/>
      <c r="F404" s="29"/>
      <c r="G404" s="29"/>
      <c r="H404" s="29"/>
    </row>
    <row r="405">
      <c r="A405" s="29"/>
      <c r="B405" s="29"/>
      <c r="C405" s="29"/>
      <c r="D405" s="29"/>
      <c r="E405" s="29"/>
      <c r="F405" s="29"/>
      <c r="G405" s="29"/>
      <c r="H405" s="29"/>
    </row>
    <row r="406">
      <c r="A406" s="29"/>
      <c r="B406" s="29"/>
      <c r="C406" s="29"/>
      <c r="D406" s="29"/>
      <c r="E406" s="29"/>
      <c r="F406" s="29"/>
      <c r="G406" s="29"/>
      <c r="H406" s="29"/>
    </row>
    <row r="407">
      <c r="A407" s="29"/>
      <c r="B407" s="29"/>
      <c r="C407" s="29"/>
      <c r="D407" s="29"/>
      <c r="E407" s="29"/>
      <c r="F407" s="29"/>
      <c r="G407" s="29"/>
      <c r="H407" s="29"/>
    </row>
    <row r="408">
      <c r="A408" s="29"/>
      <c r="B408" s="29"/>
      <c r="C408" s="29"/>
      <c r="D408" s="29"/>
      <c r="E408" s="29"/>
      <c r="F408" s="29"/>
      <c r="G408" s="29"/>
      <c r="H408" s="29"/>
    </row>
    <row r="409">
      <c r="A409" s="29"/>
      <c r="B409" s="29"/>
      <c r="C409" s="29"/>
      <c r="D409" s="29"/>
      <c r="E409" s="29"/>
      <c r="F409" s="29"/>
      <c r="G409" s="29"/>
      <c r="H409" s="29"/>
    </row>
    <row r="410">
      <c r="A410" s="29"/>
      <c r="B410" s="29"/>
      <c r="C410" s="29"/>
      <c r="D410" s="29"/>
      <c r="E410" s="29"/>
      <c r="F410" s="29"/>
      <c r="G410" s="29"/>
      <c r="H410" s="29"/>
    </row>
    <row r="411">
      <c r="A411" s="29"/>
      <c r="B411" s="29"/>
      <c r="C411" s="29"/>
      <c r="D411" s="29"/>
      <c r="E411" s="29"/>
      <c r="F411" s="29"/>
      <c r="G411" s="29"/>
      <c r="H411" s="29"/>
    </row>
    <row r="412">
      <c r="A412" s="29"/>
      <c r="B412" s="29"/>
      <c r="C412" s="29"/>
      <c r="D412" s="29"/>
      <c r="E412" s="29"/>
      <c r="F412" s="29"/>
      <c r="G412" s="29"/>
      <c r="H412" s="29"/>
    </row>
    <row r="413">
      <c r="A413" s="29"/>
      <c r="B413" s="29"/>
      <c r="C413" s="29"/>
      <c r="D413" s="29"/>
      <c r="E413" s="29"/>
      <c r="F413" s="29"/>
      <c r="G413" s="29"/>
      <c r="H413" s="29"/>
    </row>
    <row r="414">
      <c r="A414" s="29"/>
      <c r="B414" s="29"/>
      <c r="C414" s="29"/>
      <c r="D414" s="29"/>
      <c r="E414" s="29"/>
      <c r="F414" s="29"/>
      <c r="G414" s="29"/>
      <c r="H414" s="29"/>
    </row>
    <row r="415">
      <c r="A415" s="29"/>
      <c r="B415" s="29"/>
      <c r="C415" s="29"/>
      <c r="D415" s="29"/>
      <c r="E415" s="29"/>
      <c r="F415" s="29"/>
      <c r="G415" s="29"/>
      <c r="H415" s="29"/>
    </row>
    <row r="416">
      <c r="A416" s="29"/>
      <c r="B416" s="29"/>
      <c r="C416" s="29"/>
      <c r="D416" s="29"/>
      <c r="E416" s="29"/>
      <c r="F416" s="29"/>
      <c r="G416" s="29"/>
      <c r="H416" s="29"/>
    </row>
    <row r="417">
      <c r="A417" s="29"/>
      <c r="B417" s="29"/>
      <c r="C417" s="29"/>
      <c r="D417" s="29"/>
      <c r="E417" s="29"/>
      <c r="F417" s="29"/>
      <c r="G417" s="29"/>
      <c r="H417" s="29"/>
    </row>
    <row r="418">
      <c r="A418" s="29"/>
      <c r="B418" s="29"/>
      <c r="C418" s="29"/>
      <c r="D418" s="29"/>
      <c r="E418" s="29"/>
      <c r="F418" s="29"/>
      <c r="G418" s="29"/>
      <c r="H418" s="29"/>
    </row>
    <row r="419">
      <c r="A419" s="29"/>
      <c r="B419" s="29"/>
      <c r="C419" s="29"/>
      <c r="D419" s="29"/>
      <c r="E419" s="29"/>
      <c r="F419" s="29"/>
      <c r="G419" s="29"/>
      <c r="H419" s="29"/>
    </row>
    <row r="420">
      <c r="A420" s="29"/>
      <c r="B420" s="29"/>
      <c r="C420" s="29"/>
      <c r="D420" s="29"/>
      <c r="E420" s="29"/>
      <c r="F420" s="29"/>
      <c r="G420" s="29"/>
      <c r="H420" s="29"/>
    </row>
    <row r="421">
      <c r="A421" s="29"/>
      <c r="B421" s="29"/>
      <c r="C421" s="29"/>
      <c r="D421" s="29"/>
      <c r="E421" s="29"/>
      <c r="F421" s="29"/>
      <c r="G421" s="29"/>
      <c r="H421" s="29"/>
    </row>
    <row r="422">
      <c r="A422" s="29"/>
      <c r="B422" s="29"/>
      <c r="C422" s="29"/>
      <c r="D422" s="29"/>
      <c r="E422" s="29"/>
      <c r="F422" s="29"/>
      <c r="G422" s="29"/>
      <c r="H422" s="29"/>
    </row>
    <row r="423">
      <c r="A423" s="29"/>
      <c r="B423" s="29"/>
      <c r="C423" s="29"/>
      <c r="D423" s="29"/>
      <c r="E423" s="29"/>
      <c r="F423" s="29"/>
      <c r="G423" s="29"/>
      <c r="H423" s="29"/>
    </row>
    <row r="424">
      <c r="A424" s="29"/>
      <c r="B424" s="29"/>
      <c r="C424" s="29"/>
      <c r="D424" s="29"/>
      <c r="E424" s="29"/>
      <c r="F424" s="29"/>
      <c r="G424" s="29"/>
      <c r="H424" s="29"/>
    </row>
    <row r="425">
      <c r="A425" s="29"/>
      <c r="B425" s="29"/>
      <c r="C425" s="29"/>
      <c r="D425" s="29"/>
      <c r="E425" s="29"/>
      <c r="F425" s="29"/>
      <c r="G425" s="29"/>
      <c r="H425" s="29"/>
    </row>
    <row r="426">
      <c r="A426" s="29"/>
      <c r="B426" s="29"/>
      <c r="C426" s="29"/>
      <c r="D426" s="29"/>
      <c r="E426" s="29"/>
      <c r="F426" s="29"/>
      <c r="G426" s="29"/>
      <c r="H426" s="29"/>
    </row>
    <row r="427">
      <c r="A427" s="29"/>
      <c r="B427" s="29"/>
      <c r="C427" s="29"/>
      <c r="D427" s="29"/>
      <c r="E427" s="29"/>
      <c r="F427" s="29"/>
      <c r="G427" s="29"/>
      <c r="H427" s="29"/>
    </row>
    <row r="428">
      <c r="A428" s="29"/>
      <c r="B428" s="29"/>
      <c r="C428" s="29"/>
      <c r="D428" s="29"/>
      <c r="E428" s="29"/>
      <c r="F428" s="29"/>
      <c r="G428" s="29"/>
      <c r="H428" s="29"/>
    </row>
    <row r="429">
      <c r="A429" s="29"/>
      <c r="B429" s="29"/>
      <c r="C429" s="29"/>
      <c r="D429" s="29"/>
      <c r="E429" s="29"/>
      <c r="F429" s="29"/>
      <c r="G429" s="29"/>
      <c r="H429" s="29"/>
    </row>
    <row r="430">
      <c r="A430" s="29"/>
      <c r="B430" s="29"/>
      <c r="C430" s="29"/>
      <c r="D430" s="29"/>
      <c r="E430" s="29"/>
      <c r="F430" s="29"/>
      <c r="G430" s="29"/>
      <c r="H430" s="29"/>
    </row>
    <row r="431">
      <c r="A431" s="29"/>
      <c r="B431" s="29"/>
      <c r="C431" s="29"/>
      <c r="D431" s="29"/>
      <c r="E431" s="29"/>
      <c r="F431" s="29"/>
      <c r="G431" s="29"/>
      <c r="H431" s="29"/>
    </row>
    <row r="432">
      <c r="A432" s="29"/>
      <c r="B432" s="29"/>
      <c r="C432" s="29"/>
      <c r="D432" s="29"/>
      <c r="E432" s="29"/>
      <c r="F432" s="29"/>
      <c r="G432" s="29"/>
      <c r="H432" s="29"/>
    </row>
    <row r="433">
      <c r="A433" s="29"/>
      <c r="B433" s="29"/>
      <c r="C433" s="29"/>
      <c r="D433" s="29"/>
      <c r="E433" s="29"/>
      <c r="F433" s="29"/>
      <c r="G433" s="29"/>
      <c r="H433" s="29"/>
    </row>
    <row r="434">
      <c r="A434" s="29"/>
      <c r="B434" s="29"/>
      <c r="C434" s="29"/>
      <c r="D434" s="29"/>
      <c r="E434" s="29"/>
      <c r="F434" s="29"/>
      <c r="G434" s="29"/>
      <c r="H434" s="29"/>
    </row>
    <row r="435">
      <c r="A435" s="29"/>
      <c r="B435" s="29"/>
      <c r="C435" s="29"/>
      <c r="D435" s="29"/>
      <c r="E435" s="29"/>
      <c r="F435" s="29"/>
      <c r="G435" s="29"/>
      <c r="H435" s="29"/>
    </row>
    <row r="436">
      <c r="A436" s="29"/>
      <c r="B436" s="29"/>
      <c r="C436" s="29"/>
      <c r="D436" s="29"/>
      <c r="E436" s="29"/>
      <c r="F436" s="29"/>
      <c r="G436" s="29"/>
      <c r="H436" s="29"/>
    </row>
    <row r="437">
      <c r="A437" s="29"/>
      <c r="B437" s="29"/>
      <c r="C437" s="29"/>
      <c r="D437" s="29"/>
      <c r="E437" s="29"/>
      <c r="F437" s="29"/>
      <c r="G437" s="29"/>
      <c r="H437" s="29"/>
    </row>
    <row r="438">
      <c r="A438" s="29"/>
      <c r="B438" s="29"/>
      <c r="C438" s="29"/>
      <c r="D438" s="29"/>
      <c r="E438" s="29"/>
      <c r="F438" s="29"/>
      <c r="G438" s="29"/>
      <c r="H438" s="29"/>
    </row>
    <row r="439">
      <c r="A439" s="29"/>
      <c r="B439" s="29"/>
      <c r="C439" s="29"/>
      <c r="D439" s="29"/>
      <c r="E439" s="29"/>
      <c r="F439" s="29"/>
      <c r="G439" s="29"/>
      <c r="H439" s="29"/>
    </row>
    <row r="440">
      <c r="A440" s="29"/>
      <c r="B440" s="29"/>
      <c r="C440" s="29"/>
      <c r="D440" s="29"/>
      <c r="E440" s="29"/>
      <c r="F440" s="29"/>
      <c r="G440" s="29"/>
      <c r="H440" s="29"/>
    </row>
    <row r="441">
      <c r="A441" s="29"/>
      <c r="B441" s="29"/>
      <c r="C441" s="29"/>
      <c r="D441" s="29"/>
      <c r="E441" s="29"/>
      <c r="F441" s="29"/>
      <c r="G441" s="29"/>
      <c r="H441" s="29"/>
    </row>
    <row r="442">
      <c r="A442" s="29"/>
      <c r="B442" s="29"/>
      <c r="C442" s="29"/>
      <c r="D442" s="29"/>
      <c r="E442" s="29"/>
      <c r="F442" s="29"/>
      <c r="G442" s="29"/>
      <c r="H442" s="29"/>
    </row>
    <row r="443">
      <c r="A443" s="29"/>
      <c r="B443" s="29"/>
      <c r="C443" s="29"/>
      <c r="D443" s="29"/>
      <c r="E443" s="29"/>
      <c r="F443" s="29"/>
      <c r="G443" s="29"/>
      <c r="H443" s="29"/>
    </row>
    <row r="444">
      <c r="A444" s="29"/>
      <c r="B444" s="29"/>
      <c r="C444" s="29"/>
      <c r="D444" s="29"/>
      <c r="E444" s="29"/>
      <c r="F444" s="29"/>
      <c r="G444" s="29"/>
      <c r="H444" s="29"/>
    </row>
    <row r="445">
      <c r="A445" s="29"/>
      <c r="B445" s="29"/>
      <c r="C445" s="29"/>
      <c r="D445" s="29"/>
      <c r="E445" s="29"/>
      <c r="F445" s="29"/>
      <c r="G445" s="29"/>
      <c r="H445" s="29"/>
    </row>
    <row r="446">
      <c r="A446" s="29"/>
      <c r="B446" s="29"/>
      <c r="C446" s="29"/>
      <c r="D446" s="29"/>
      <c r="E446" s="29"/>
      <c r="F446" s="29"/>
      <c r="G446" s="29"/>
      <c r="H446" s="29"/>
    </row>
    <row r="447">
      <c r="A447" s="29"/>
      <c r="B447" s="29"/>
      <c r="C447" s="29"/>
      <c r="D447" s="29"/>
      <c r="E447" s="29"/>
      <c r="F447" s="29"/>
      <c r="G447" s="29"/>
      <c r="H447" s="29"/>
    </row>
    <row r="448">
      <c r="A448" s="29"/>
      <c r="B448" s="29"/>
      <c r="C448" s="29"/>
      <c r="D448" s="29"/>
      <c r="E448" s="29"/>
      <c r="F448" s="29"/>
      <c r="G448" s="29"/>
      <c r="H448" s="29"/>
    </row>
    <row r="449">
      <c r="A449" s="29"/>
      <c r="B449" s="29"/>
      <c r="C449" s="29"/>
      <c r="D449" s="29"/>
      <c r="E449" s="29"/>
      <c r="F449" s="29"/>
      <c r="G449" s="29"/>
      <c r="H449" s="29"/>
    </row>
    <row r="450">
      <c r="A450" s="29"/>
      <c r="B450" s="29"/>
      <c r="C450" s="29"/>
      <c r="D450" s="29"/>
      <c r="E450" s="29"/>
      <c r="F450" s="29"/>
      <c r="G450" s="29"/>
      <c r="H450" s="29"/>
    </row>
    <row r="451">
      <c r="A451" s="29"/>
      <c r="B451" s="29"/>
      <c r="C451" s="29"/>
      <c r="D451" s="29"/>
      <c r="E451" s="29"/>
      <c r="F451" s="29"/>
      <c r="G451" s="29"/>
      <c r="H451" s="29"/>
    </row>
    <row r="452">
      <c r="A452" s="29"/>
      <c r="B452" s="29"/>
      <c r="C452" s="29"/>
      <c r="D452" s="29"/>
      <c r="E452" s="29"/>
      <c r="F452" s="29"/>
      <c r="G452" s="29"/>
      <c r="H452" s="29"/>
    </row>
    <row r="453">
      <c r="A453" s="29"/>
      <c r="B453" s="29"/>
      <c r="C453" s="29"/>
      <c r="D453" s="29"/>
      <c r="E453" s="29"/>
      <c r="F453" s="29"/>
      <c r="G453" s="29"/>
      <c r="H453" s="29"/>
    </row>
    <row r="454">
      <c r="A454" s="29"/>
      <c r="B454" s="29"/>
      <c r="C454" s="29"/>
      <c r="D454" s="29"/>
      <c r="E454" s="29"/>
      <c r="F454" s="29"/>
      <c r="G454" s="29"/>
      <c r="H454" s="29"/>
    </row>
    <row r="455">
      <c r="A455" s="29"/>
      <c r="B455" s="29"/>
      <c r="C455" s="29"/>
      <c r="D455" s="29"/>
      <c r="E455" s="29"/>
      <c r="F455" s="29"/>
      <c r="G455" s="29"/>
      <c r="H455" s="29"/>
    </row>
    <row r="456">
      <c r="A456" s="29"/>
      <c r="B456" s="29"/>
      <c r="C456" s="29"/>
      <c r="D456" s="29"/>
      <c r="E456" s="29"/>
      <c r="F456" s="29"/>
      <c r="G456" s="29"/>
      <c r="H456" s="29"/>
    </row>
    <row r="457">
      <c r="A457" s="29"/>
      <c r="B457" s="29"/>
      <c r="C457" s="29"/>
      <c r="D457" s="29"/>
      <c r="E457" s="29"/>
      <c r="F457" s="29"/>
      <c r="G457" s="29"/>
      <c r="H457" s="29"/>
    </row>
    <row r="458">
      <c r="A458" s="29"/>
      <c r="B458" s="29"/>
      <c r="C458" s="29"/>
      <c r="D458" s="29"/>
      <c r="E458" s="29"/>
      <c r="F458" s="29"/>
      <c r="G458" s="29"/>
      <c r="H458" s="29"/>
    </row>
    <row r="459">
      <c r="A459" s="29"/>
      <c r="B459" s="29"/>
      <c r="C459" s="29"/>
      <c r="D459" s="29"/>
      <c r="E459" s="29"/>
      <c r="F459" s="29"/>
      <c r="G459" s="29"/>
      <c r="H459" s="29"/>
    </row>
    <row r="460">
      <c r="A460" s="29"/>
      <c r="B460" s="29"/>
      <c r="C460" s="29"/>
      <c r="D460" s="29"/>
      <c r="E460" s="29"/>
      <c r="F460" s="29"/>
      <c r="G460" s="29"/>
      <c r="H460" s="29"/>
    </row>
    <row r="461">
      <c r="A461" s="29"/>
      <c r="B461" s="29"/>
      <c r="C461" s="29"/>
      <c r="D461" s="29"/>
      <c r="E461" s="29"/>
      <c r="F461" s="29"/>
      <c r="G461" s="29"/>
      <c r="H461" s="29"/>
    </row>
    <row r="462">
      <c r="A462" s="29"/>
      <c r="B462" s="29"/>
      <c r="C462" s="29"/>
      <c r="D462" s="29"/>
      <c r="E462" s="29"/>
      <c r="F462" s="29"/>
      <c r="G462" s="29"/>
      <c r="H462" s="29"/>
    </row>
    <row r="463">
      <c r="A463" s="29"/>
      <c r="B463" s="29"/>
      <c r="C463" s="29"/>
      <c r="D463" s="29"/>
      <c r="E463" s="29"/>
      <c r="F463" s="29"/>
      <c r="G463" s="29"/>
      <c r="H463" s="29"/>
    </row>
    <row r="464">
      <c r="A464" s="29"/>
      <c r="B464" s="29"/>
      <c r="C464" s="29"/>
      <c r="D464" s="29"/>
      <c r="E464" s="29"/>
      <c r="F464" s="29"/>
      <c r="G464" s="29"/>
      <c r="H464" s="29"/>
    </row>
    <row r="465">
      <c r="A465" s="29"/>
      <c r="B465" s="29"/>
      <c r="C465" s="29"/>
      <c r="D465" s="29"/>
      <c r="E465" s="29"/>
      <c r="F465" s="29"/>
      <c r="G465" s="29"/>
      <c r="H465" s="29"/>
    </row>
    <row r="466">
      <c r="A466" s="29"/>
      <c r="B466" s="29"/>
      <c r="C466" s="29"/>
      <c r="D466" s="29"/>
      <c r="E466" s="29"/>
      <c r="F466" s="29"/>
      <c r="G466" s="29"/>
      <c r="H466" s="29"/>
    </row>
    <row r="467">
      <c r="A467" s="29"/>
      <c r="B467" s="29"/>
      <c r="C467" s="29"/>
      <c r="D467" s="29"/>
      <c r="E467" s="29"/>
      <c r="F467" s="29"/>
      <c r="G467" s="29"/>
      <c r="H467" s="29"/>
    </row>
    <row r="468">
      <c r="A468" s="29"/>
      <c r="B468" s="29"/>
      <c r="C468" s="29"/>
      <c r="D468" s="29"/>
      <c r="E468" s="29"/>
      <c r="F468" s="29"/>
      <c r="G468" s="29"/>
      <c r="H468" s="29"/>
    </row>
    <row r="469">
      <c r="A469" s="29"/>
      <c r="B469" s="29"/>
      <c r="C469" s="29"/>
      <c r="D469" s="29"/>
      <c r="E469" s="29"/>
      <c r="F469" s="29"/>
      <c r="G469" s="29"/>
      <c r="H469" s="29"/>
    </row>
    <row r="470">
      <c r="A470" s="29"/>
      <c r="B470" s="29"/>
      <c r="C470" s="29"/>
      <c r="D470" s="29"/>
      <c r="E470" s="29"/>
      <c r="F470" s="29"/>
      <c r="G470" s="29"/>
      <c r="H470" s="29"/>
    </row>
    <row r="471">
      <c r="A471" s="29"/>
      <c r="B471" s="29"/>
      <c r="C471" s="29"/>
      <c r="D471" s="29"/>
      <c r="E471" s="29"/>
      <c r="F471" s="29"/>
      <c r="G471" s="29"/>
      <c r="H471" s="29"/>
    </row>
    <row r="472">
      <c r="A472" s="29"/>
      <c r="B472" s="29"/>
      <c r="C472" s="29"/>
      <c r="D472" s="29"/>
      <c r="E472" s="29"/>
      <c r="F472" s="29"/>
      <c r="G472" s="29"/>
      <c r="H472" s="29"/>
    </row>
    <row r="473">
      <c r="A473" s="29"/>
      <c r="B473" s="29"/>
      <c r="C473" s="29"/>
      <c r="D473" s="29"/>
      <c r="E473" s="29"/>
      <c r="F473" s="29"/>
      <c r="G473" s="29"/>
      <c r="H473" s="29"/>
    </row>
    <row r="474">
      <c r="A474" s="29"/>
      <c r="B474" s="29"/>
      <c r="C474" s="29"/>
      <c r="D474" s="29"/>
      <c r="E474" s="29"/>
      <c r="F474" s="29"/>
      <c r="G474" s="29"/>
      <c r="H474" s="29"/>
    </row>
    <row r="475">
      <c r="A475" s="29"/>
      <c r="B475" s="29"/>
      <c r="C475" s="29"/>
      <c r="D475" s="29"/>
      <c r="E475" s="29"/>
      <c r="F475" s="29"/>
      <c r="G475" s="29"/>
      <c r="H475" s="29"/>
    </row>
    <row r="476">
      <c r="A476" s="29"/>
      <c r="B476" s="29"/>
      <c r="C476" s="29"/>
      <c r="D476" s="29"/>
      <c r="E476" s="29"/>
      <c r="F476" s="29"/>
      <c r="G476" s="29"/>
      <c r="H476" s="29"/>
    </row>
    <row r="477">
      <c r="A477" s="29"/>
      <c r="B477" s="29"/>
      <c r="C477" s="29"/>
      <c r="D477" s="29"/>
      <c r="E477" s="29"/>
      <c r="F477" s="29"/>
      <c r="G477" s="29"/>
      <c r="H477" s="29"/>
    </row>
    <row r="478">
      <c r="A478" s="29"/>
      <c r="B478" s="29"/>
      <c r="C478" s="29"/>
      <c r="D478" s="29"/>
      <c r="E478" s="29"/>
      <c r="F478" s="29"/>
      <c r="G478" s="29"/>
      <c r="H478" s="29"/>
    </row>
    <row r="479">
      <c r="A479" s="29"/>
      <c r="B479" s="29"/>
      <c r="C479" s="29"/>
      <c r="D479" s="29"/>
      <c r="E479" s="29"/>
      <c r="F479" s="29"/>
      <c r="G479" s="29"/>
      <c r="H479" s="29"/>
    </row>
    <row r="480">
      <c r="A480" s="29"/>
      <c r="B480" s="29"/>
      <c r="C480" s="29"/>
      <c r="D480" s="29"/>
      <c r="E480" s="29"/>
      <c r="F480" s="29"/>
      <c r="G480" s="29"/>
      <c r="H480" s="29"/>
    </row>
    <row r="481">
      <c r="A481" s="29"/>
      <c r="B481" s="29"/>
      <c r="C481" s="29"/>
      <c r="D481" s="29"/>
      <c r="E481" s="29"/>
      <c r="F481" s="29"/>
      <c r="G481" s="29"/>
      <c r="H481" s="29"/>
    </row>
    <row r="482">
      <c r="A482" s="29"/>
      <c r="B482" s="29"/>
      <c r="C482" s="29"/>
      <c r="D482" s="29"/>
      <c r="E482" s="29"/>
      <c r="F482" s="29"/>
      <c r="G482" s="29"/>
      <c r="H482" s="29"/>
    </row>
    <row r="483">
      <c r="A483" s="29"/>
      <c r="B483" s="29"/>
      <c r="C483" s="29"/>
      <c r="D483" s="29"/>
      <c r="E483" s="29"/>
      <c r="F483" s="29"/>
      <c r="G483" s="29"/>
      <c r="H483" s="29"/>
    </row>
    <row r="484">
      <c r="A484" s="29"/>
      <c r="B484" s="29"/>
      <c r="C484" s="29"/>
      <c r="D484" s="29"/>
      <c r="E484" s="29"/>
      <c r="F484" s="29"/>
      <c r="G484" s="29"/>
      <c r="H484" s="29"/>
    </row>
    <row r="485">
      <c r="A485" s="29"/>
      <c r="B485" s="29"/>
      <c r="C485" s="29"/>
      <c r="D485" s="29"/>
      <c r="E485" s="29"/>
      <c r="F485" s="29"/>
      <c r="G485" s="29"/>
      <c r="H485" s="29"/>
    </row>
    <row r="486">
      <c r="A486" s="29"/>
      <c r="B486" s="29"/>
      <c r="C486" s="29"/>
      <c r="D486" s="29"/>
      <c r="E486" s="29"/>
      <c r="F486" s="29"/>
      <c r="G486" s="29"/>
      <c r="H486" s="29"/>
    </row>
    <row r="487">
      <c r="A487" s="29"/>
      <c r="B487" s="29"/>
      <c r="C487" s="29"/>
      <c r="D487" s="29"/>
      <c r="E487" s="29"/>
      <c r="F487" s="29"/>
      <c r="G487" s="29"/>
      <c r="H487" s="29"/>
    </row>
    <row r="488">
      <c r="A488" s="29"/>
      <c r="B488" s="29"/>
      <c r="C488" s="29"/>
      <c r="D488" s="29"/>
      <c r="E488" s="29"/>
      <c r="F488" s="29"/>
      <c r="G488" s="29"/>
      <c r="H488" s="29"/>
    </row>
    <row r="489">
      <c r="A489" s="29"/>
      <c r="B489" s="29"/>
      <c r="C489" s="29"/>
      <c r="D489" s="29"/>
      <c r="E489" s="29"/>
      <c r="F489" s="29"/>
      <c r="G489" s="29"/>
      <c r="H489" s="29"/>
    </row>
    <row r="490">
      <c r="A490" s="29"/>
      <c r="B490" s="29"/>
      <c r="C490" s="29"/>
      <c r="D490" s="29"/>
      <c r="E490" s="29"/>
      <c r="F490" s="29"/>
      <c r="G490" s="29"/>
      <c r="H490" s="29"/>
    </row>
    <row r="491">
      <c r="A491" s="29"/>
      <c r="B491" s="29"/>
      <c r="C491" s="29"/>
      <c r="D491" s="29"/>
      <c r="E491" s="29"/>
      <c r="F491" s="29"/>
      <c r="G491" s="29"/>
      <c r="H491" s="29"/>
    </row>
    <row r="492">
      <c r="A492" s="29"/>
      <c r="B492" s="29"/>
      <c r="C492" s="29"/>
      <c r="D492" s="29"/>
      <c r="E492" s="29"/>
      <c r="F492" s="29"/>
      <c r="G492" s="29"/>
      <c r="H492" s="29"/>
    </row>
    <row r="493">
      <c r="A493" s="29"/>
      <c r="B493" s="29"/>
      <c r="C493" s="29"/>
      <c r="D493" s="29"/>
      <c r="E493" s="29"/>
      <c r="F493" s="29"/>
      <c r="G493" s="29"/>
      <c r="H493" s="29"/>
    </row>
    <row r="494">
      <c r="A494" s="29"/>
      <c r="B494" s="29"/>
      <c r="C494" s="29"/>
      <c r="D494" s="29"/>
      <c r="E494" s="29"/>
      <c r="F494" s="29"/>
      <c r="G494" s="29"/>
      <c r="H494" s="29"/>
    </row>
    <row r="495">
      <c r="A495" s="29"/>
      <c r="B495" s="29"/>
      <c r="C495" s="29"/>
      <c r="D495" s="29"/>
      <c r="E495" s="29"/>
      <c r="F495" s="29"/>
      <c r="G495" s="29"/>
      <c r="H495" s="29"/>
    </row>
    <row r="496">
      <c r="A496" s="29"/>
      <c r="B496" s="29"/>
      <c r="C496" s="29"/>
      <c r="D496" s="29"/>
      <c r="E496" s="29"/>
      <c r="F496" s="29"/>
      <c r="G496" s="29"/>
      <c r="H496" s="29"/>
    </row>
    <row r="497">
      <c r="A497" s="29"/>
      <c r="B497" s="29"/>
      <c r="C497" s="29"/>
      <c r="D497" s="29"/>
      <c r="E497" s="29"/>
      <c r="F497" s="29"/>
      <c r="G497" s="29"/>
      <c r="H497" s="29"/>
    </row>
    <row r="498">
      <c r="A498" s="29"/>
      <c r="B498" s="29"/>
      <c r="C498" s="29"/>
      <c r="D498" s="29"/>
      <c r="E498" s="29"/>
      <c r="F498" s="29"/>
      <c r="G498" s="29"/>
      <c r="H498" s="29"/>
    </row>
    <row r="499">
      <c r="A499" s="29"/>
      <c r="B499" s="29"/>
      <c r="C499" s="29"/>
      <c r="D499" s="29"/>
      <c r="E499" s="29"/>
      <c r="F499" s="29"/>
      <c r="G499" s="29"/>
      <c r="H499" s="29"/>
    </row>
    <row r="500">
      <c r="A500" s="29"/>
      <c r="B500" s="29"/>
      <c r="C500" s="29"/>
      <c r="D500" s="29"/>
      <c r="E500" s="29"/>
      <c r="F500" s="29"/>
      <c r="G500" s="29"/>
      <c r="H500" s="29"/>
    </row>
    <row r="501">
      <c r="A501" s="29"/>
      <c r="B501" s="29"/>
      <c r="C501" s="29"/>
      <c r="D501" s="29"/>
      <c r="E501" s="29"/>
      <c r="F501" s="29"/>
      <c r="G501" s="29"/>
      <c r="H501" s="29"/>
    </row>
    <row r="502">
      <c r="A502" s="29"/>
      <c r="B502" s="29"/>
      <c r="C502" s="29"/>
      <c r="D502" s="29"/>
      <c r="E502" s="29"/>
      <c r="F502" s="29"/>
      <c r="G502" s="29"/>
      <c r="H502" s="29"/>
    </row>
    <row r="503">
      <c r="A503" s="29"/>
      <c r="B503" s="29"/>
      <c r="C503" s="29"/>
      <c r="D503" s="29"/>
      <c r="E503" s="29"/>
      <c r="F503" s="29"/>
      <c r="G503" s="29"/>
      <c r="H503" s="29"/>
    </row>
    <row r="504">
      <c r="A504" s="29"/>
      <c r="B504" s="29"/>
      <c r="C504" s="29"/>
      <c r="D504" s="29"/>
      <c r="E504" s="29"/>
      <c r="F504" s="29"/>
      <c r="G504" s="29"/>
      <c r="H504" s="29"/>
    </row>
    <row r="505">
      <c r="A505" s="29"/>
      <c r="B505" s="29"/>
      <c r="C505" s="29"/>
      <c r="D505" s="29"/>
      <c r="E505" s="29"/>
      <c r="F505" s="29"/>
      <c r="G505" s="29"/>
      <c r="H505" s="29"/>
    </row>
    <row r="506">
      <c r="A506" s="29"/>
      <c r="B506" s="29"/>
      <c r="C506" s="29"/>
      <c r="D506" s="29"/>
      <c r="E506" s="29"/>
      <c r="F506" s="29"/>
      <c r="G506" s="29"/>
      <c r="H506" s="29"/>
    </row>
    <row r="507">
      <c r="A507" s="29"/>
      <c r="B507" s="29"/>
      <c r="C507" s="29"/>
      <c r="D507" s="29"/>
      <c r="E507" s="29"/>
      <c r="F507" s="29"/>
      <c r="G507" s="29"/>
      <c r="H507" s="29"/>
    </row>
    <row r="508">
      <c r="A508" s="29"/>
      <c r="B508" s="29"/>
      <c r="C508" s="29"/>
      <c r="D508" s="29"/>
      <c r="E508" s="29"/>
      <c r="F508" s="29"/>
      <c r="G508" s="29"/>
      <c r="H508" s="29"/>
    </row>
    <row r="509">
      <c r="A509" s="29"/>
      <c r="B509" s="29"/>
      <c r="C509" s="29"/>
      <c r="D509" s="29"/>
      <c r="E509" s="29"/>
      <c r="F509" s="29"/>
      <c r="G509" s="29"/>
      <c r="H509" s="29"/>
    </row>
    <row r="510">
      <c r="A510" s="29"/>
      <c r="B510" s="29"/>
      <c r="C510" s="29"/>
      <c r="D510" s="29"/>
      <c r="E510" s="29"/>
      <c r="F510" s="29"/>
      <c r="G510" s="29"/>
      <c r="H510" s="29"/>
    </row>
    <row r="511">
      <c r="A511" s="29"/>
      <c r="B511" s="29"/>
      <c r="C511" s="29"/>
      <c r="D511" s="29"/>
      <c r="E511" s="29"/>
      <c r="F511" s="29"/>
      <c r="G511" s="29"/>
      <c r="H511" s="29"/>
    </row>
    <row r="512">
      <c r="A512" s="29"/>
      <c r="B512" s="29"/>
      <c r="C512" s="29"/>
      <c r="D512" s="29"/>
      <c r="E512" s="29"/>
      <c r="F512" s="29"/>
      <c r="G512" s="29"/>
      <c r="H512" s="29"/>
    </row>
    <row r="513">
      <c r="A513" s="29"/>
      <c r="B513" s="29"/>
      <c r="C513" s="29"/>
      <c r="D513" s="29"/>
      <c r="E513" s="29"/>
      <c r="F513" s="29"/>
      <c r="G513" s="29"/>
      <c r="H513" s="29"/>
    </row>
    <row r="514">
      <c r="A514" s="29"/>
      <c r="B514" s="29"/>
      <c r="C514" s="29"/>
      <c r="D514" s="29"/>
      <c r="E514" s="29"/>
      <c r="F514" s="29"/>
      <c r="G514" s="29"/>
      <c r="H514" s="29"/>
    </row>
    <row r="515">
      <c r="A515" s="29"/>
      <c r="B515" s="29"/>
      <c r="C515" s="29"/>
      <c r="D515" s="29"/>
      <c r="E515" s="29"/>
      <c r="F515" s="29"/>
      <c r="G515" s="29"/>
      <c r="H515" s="29"/>
    </row>
    <row r="516">
      <c r="A516" s="29"/>
      <c r="B516" s="29"/>
      <c r="C516" s="29"/>
      <c r="D516" s="29"/>
      <c r="E516" s="29"/>
      <c r="F516" s="29"/>
      <c r="G516" s="29"/>
      <c r="H516" s="29"/>
    </row>
    <row r="517">
      <c r="A517" s="29"/>
      <c r="B517" s="29"/>
      <c r="C517" s="29"/>
      <c r="D517" s="29"/>
      <c r="E517" s="29"/>
      <c r="F517" s="29"/>
      <c r="G517" s="29"/>
      <c r="H517" s="29"/>
    </row>
    <row r="518">
      <c r="A518" s="29"/>
      <c r="B518" s="29"/>
      <c r="C518" s="29"/>
      <c r="D518" s="29"/>
      <c r="E518" s="29"/>
      <c r="F518" s="29"/>
      <c r="G518" s="29"/>
      <c r="H518" s="29"/>
    </row>
    <row r="519">
      <c r="A519" s="29"/>
      <c r="B519" s="29"/>
      <c r="C519" s="29"/>
      <c r="D519" s="29"/>
      <c r="E519" s="29"/>
      <c r="F519" s="29"/>
      <c r="G519" s="29"/>
      <c r="H519" s="29"/>
    </row>
    <row r="520">
      <c r="A520" s="29"/>
      <c r="B520" s="29"/>
      <c r="C520" s="29"/>
      <c r="D520" s="29"/>
      <c r="E520" s="29"/>
      <c r="F520" s="29"/>
      <c r="G520" s="29"/>
      <c r="H520" s="29"/>
    </row>
    <row r="521">
      <c r="A521" s="29"/>
      <c r="B521" s="29"/>
      <c r="C521" s="29"/>
      <c r="D521" s="29"/>
      <c r="E521" s="29"/>
      <c r="F521" s="29"/>
      <c r="G521" s="29"/>
      <c r="H521" s="29"/>
    </row>
    <row r="522">
      <c r="A522" s="29"/>
      <c r="B522" s="29"/>
      <c r="C522" s="29"/>
      <c r="D522" s="29"/>
      <c r="E522" s="29"/>
      <c r="F522" s="29"/>
      <c r="G522" s="29"/>
      <c r="H522" s="29"/>
    </row>
    <row r="523">
      <c r="A523" s="29"/>
      <c r="B523" s="29"/>
      <c r="C523" s="29"/>
      <c r="D523" s="29"/>
      <c r="E523" s="29"/>
      <c r="F523" s="29"/>
      <c r="G523" s="29"/>
      <c r="H523" s="29"/>
    </row>
    <row r="524">
      <c r="A524" s="29"/>
      <c r="B524" s="29"/>
      <c r="C524" s="29"/>
      <c r="D524" s="29"/>
      <c r="E524" s="29"/>
      <c r="F524" s="29"/>
      <c r="G524" s="29"/>
      <c r="H524" s="29"/>
    </row>
    <row r="525">
      <c r="A525" s="29"/>
      <c r="B525" s="29"/>
      <c r="C525" s="29"/>
      <c r="D525" s="29"/>
      <c r="E525" s="29"/>
      <c r="F525" s="29"/>
      <c r="G525" s="29"/>
      <c r="H525" s="29"/>
    </row>
    <row r="526">
      <c r="A526" s="29"/>
      <c r="B526" s="29"/>
      <c r="C526" s="29"/>
      <c r="D526" s="29"/>
      <c r="E526" s="29"/>
      <c r="F526" s="29"/>
      <c r="G526" s="29"/>
      <c r="H526" s="29"/>
    </row>
    <row r="527">
      <c r="A527" s="29"/>
      <c r="B527" s="29"/>
      <c r="C527" s="29"/>
      <c r="D527" s="29"/>
      <c r="E527" s="29"/>
      <c r="F527" s="29"/>
      <c r="G527" s="29"/>
      <c r="H527" s="29"/>
    </row>
    <row r="528">
      <c r="A528" s="29"/>
      <c r="B528" s="29"/>
      <c r="C528" s="29"/>
      <c r="D528" s="29"/>
      <c r="E528" s="29"/>
      <c r="F528" s="29"/>
      <c r="G528" s="29"/>
      <c r="H528" s="29"/>
    </row>
    <row r="529">
      <c r="A529" s="29"/>
      <c r="B529" s="29"/>
      <c r="C529" s="29"/>
      <c r="D529" s="29"/>
      <c r="E529" s="29"/>
      <c r="F529" s="29"/>
      <c r="G529" s="29"/>
      <c r="H529" s="29"/>
    </row>
    <row r="530">
      <c r="A530" s="29"/>
      <c r="B530" s="29"/>
      <c r="C530" s="29"/>
      <c r="D530" s="29"/>
      <c r="E530" s="29"/>
      <c r="F530" s="29"/>
      <c r="G530" s="29"/>
      <c r="H530" s="29"/>
    </row>
    <row r="531">
      <c r="A531" s="29"/>
      <c r="B531" s="29"/>
      <c r="C531" s="29"/>
      <c r="D531" s="29"/>
      <c r="E531" s="29"/>
      <c r="F531" s="29"/>
      <c r="G531" s="29"/>
      <c r="H531" s="29"/>
    </row>
    <row r="532">
      <c r="A532" s="29"/>
      <c r="B532" s="29"/>
      <c r="C532" s="29"/>
      <c r="D532" s="29"/>
      <c r="E532" s="29"/>
      <c r="F532" s="29"/>
      <c r="G532" s="29"/>
      <c r="H532" s="29"/>
    </row>
    <row r="533">
      <c r="A533" s="29"/>
      <c r="B533" s="29"/>
      <c r="C533" s="29"/>
      <c r="D533" s="29"/>
      <c r="E533" s="29"/>
      <c r="F533" s="29"/>
      <c r="G533" s="29"/>
      <c r="H533" s="29"/>
    </row>
    <row r="534">
      <c r="A534" s="29"/>
      <c r="B534" s="29"/>
      <c r="C534" s="29"/>
      <c r="D534" s="29"/>
      <c r="E534" s="29"/>
      <c r="F534" s="29"/>
      <c r="G534" s="29"/>
      <c r="H534" s="29"/>
    </row>
    <row r="535">
      <c r="A535" s="29"/>
      <c r="B535" s="29"/>
      <c r="C535" s="29"/>
      <c r="D535" s="29"/>
      <c r="E535" s="29"/>
      <c r="F535" s="29"/>
      <c r="G535" s="29"/>
      <c r="H535" s="29"/>
    </row>
    <row r="536">
      <c r="A536" s="29"/>
      <c r="B536" s="29"/>
      <c r="C536" s="29"/>
      <c r="D536" s="29"/>
      <c r="E536" s="29"/>
      <c r="F536" s="29"/>
      <c r="G536" s="29"/>
      <c r="H536" s="29"/>
    </row>
    <row r="537">
      <c r="A537" s="29"/>
      <c r="B537" s="29"/>
      <c r="C537" s="29"/>
      <c r="D537" s="29"/>
      <c r="E537" s="29"/>
      <c r="F537" s="29"/>
      <c r="G537" s="29"/>
      <c r="H537" s="29"/>
    </row>
    <row r="538">
      <c r="A538" s="29"/>
      <c r="B538" s="29"/>
      <c r="C538" s="29"/>
      <c r="D538" s="29"/>
      <c r="E538" s="29"/>
      <c r="F538" s="29"/>
      <c r="G538" s="29"/>
      <c r="H538" s="29"/>
    </row>
    <row r="539">
      <c r="A539" s="29"/>
      <c r="B539" s="29"/>
      <c r="C539" s="29"/>
      <c r="D539" s="29"/>
      <c r="E539" s="29"/>
      <c r="F539" s="29"/>
      <c r="G539" s="29"/>
      <c r="H539" s="29"/>
    </row>
    <row r="540">
      <c r="A540" s="29"/>
      <c r="B540" s="29"/>
      <c r="C540" s="29"/>
      <c r="D540" s="29"/>
      <c r="E540" s="29"/>
      <c r="F540" s="29"/>
      <c r="G540" s="29"/>
      <c r="H540" s="29"/>
    </row>
    <row r="541">
      <c r="A541" s="29"/>
      <c r="B541" s="29"/>
      <c r="C541" s="29"/>
      <c r="D541" s="29"/>
      <c r="E541" s="29"/>
      <c r="F541" s="29"/>
      <c r="G541" s="29"/>
      <c r="H541" s="29"/>
    </row>
    <row r="542">
      <c r="A542" s="29"/>
      <c r="B542" s="29"/>
      <c r="C542" s="29"/>
      <c r="D542" s="29"/>
      <c r="E542" s="29"/>
      <c r="F542" s="29"/>
      <c r="G542" s="29"/>
      <c r="H542" s="29"/>
    </row>
    <row r="543">
      <c r="A543" s="29"/>
      <c r="B543" s="29"/>
      <c r="C543" s="29"/>
      <c r="D543" s="29"/>
      <c r="E543" s="29"/>
      <c r="F543" s="29"/>
      <c r="G543" s="29"/>
      <c r="H543" s="29"/>
    </row>
    <row r="544">
      <c r="A544" s="29"/>
      <c r="B544" s="29"/>
      <c r="C544" s="29"/>
      <c r="D544" s="29"/>
      <c r="E544" s="29"/>
      <c r="F544" s="29"/>
      <c r="G544" s="29"/>
      <c r="H544" s="29"/>
    </row>
    <row r="545">
      <c r="A545" s="29"/>
      <c r="B545" s="29"/>
      <c r="C545" s="29"/>
      <c r="D545" s="29"/>
      <c r="E545" s="29"/>
      <c r="F545" s="29"/>
      <c r="G545" s="29"/>
      <c r="H545" s="29"/>
    </row>
    <row r="546">
      <c r="A546" s="29"/>
      <c r="B546" s="29"/>
      <c r="C546" s="29"/>
      <c r="D546" s="29"/>
      <c r="E546" s="29"/>
      <c r="F546" s="29"/>
      <c r="G546" s="29"/>
      <c r="H546" s="29"/>
    </row>
    <row r="547">
      <c r="A547" s="29"/>
      <c r="B547" s="29"/>
      <c r="C547" s="29"/>
      <c r="D547" s="29"/>
      <c r="E547" s="29"/>
      <c r="F547" s="29"/>
      <c r="G547" s="29"/>
      <c r="H547" s="29"/>
    </row>
    <row r="548">
      <c r="A548" s="29"/>
      <c r="B548" s="29"/>
      <c r="C548" s="29"/>
      <c r="D548" s="29"/>
      <c r="E548" s="29"/>
      <c r="F548" s="29"/>
      <c r="G548" s="29"/>
      <c r="H548" s="29"/>
    </row>
    <row r="549">
      <c r="A549" s="29"/>
      <c r="B549" s="29"/>
      <c r="C549" s="29"/>
      <c r="D549" s="29"/>
      <c r="E549" s="29"/>
      <c r="F549" s="29"/>
      <c r="G549" s="29"/>
      <c r="H549" s="29"/>
    </row>
    <row r="550">
      <c r="A550" s="29"/>
      <c r="B550" s="29"/>
      <c r="C550" s="29"/>
      <c r="D550" s="29"/>
      <c r="E550" s="29"/>
      <c r="F550" s="29"/>
      <c r="G550" s="29"/>
      <c r="H550" s="29"/>
    </row>
    <row r="551">
      <c r="A551" s="29"/>
      <c r="B551" s="29"/>
      <c r="C551" s="29"/>
      <c r="D551" s="29"/>
      <c r="E551" s="29"/>
      <c r="F551" s="29"/>
      <c r="G551" s="29"/>
      <c r="H551" s="29"/>
    </row>
    <row r="552">
      <c r="A552" s="29"/>
      <c r="B552" s="29"/>
      <c r="C552" s="29"/>
      <c r="D552" s="29"/>
      <c r="E552" s="29"/>
      <c r="F552" s="29"/>
      <c r="G552" s="29"/>
      <c r="H552" s="29"/>
    </row>
    <row r="553">
      <c r="A553" s="29"/>
      <c r="B553" s="29"/>
      <c r="C553" s="29"/>
      <c r="D553" s="29"/>
      <c r="E553" s="29"/>
      <c r="F553" s="29"/>
      <c r="G553" s="29"/>
      <c r="H553" s="29"/>
    </row>
    <row r="554">
      <c r="A554" s="29"/>
      <c r="B554" s="29"/>
      <c r="C554" s="29"/>
      <c r="D554" s="29"/>
      <c r="E554" s="29"/>
      <c r="F554" s="29"/>
      <c r="G554" s="29"/>
      <c r="H554" s="29"/>
    </row>
    <row r="555">
      <c r="A555" s="29"/>
      <c r="B555" s="29"/>
      <c r="C555" s="29"/>
      <c r="D555" s="29"/>
      <c r="E555" s="29"/>
      <c r="F555" s="29"/>
      <c r="G555" s="29"/>
      <c r="H555" s="29"/>
    </row>
    <row r="556">
      <c r="A556" s="29"/>
      <c r="B556" s="29"/>
      <c r="C556" s="29"/>
      <c r="D556" s="29"/>
      <c r="E556" s="29"/>
      <c r="F556" s="29"/>
      <c r="G556" s="29"/>
      <c r="H556" s="29"/>
    </row>
    <row r="557">
      <c r="A557" s="29"/>
      <c r="B557" s="29"/>
      <c r="C557" s="29"/>
      <c r="D557" s="29"/>
      <c r="E557" s="29"/>
      <c r="F557" s="29"/>
      <c r="G557" s="29"/>
      <c r="H557" s="29"/>
    </row>
    <row r="558">
      <c r="A558" s="29"/>
      <c r="B558" s="29"/>
      <c r="C558" s="29"/>
      <c r="D558" s="29"/>
      <c r="E558" s="29"/>
      <c r="F558" s="29"/>
      <c r="G558" s="29"/>
      <c r="H558" s="29"/>
    </row>
    <row r="559">
      <c r="A559" s="29"/>
      <c r="B559" s="29"/>
      <c r="C559" s="29"/>
      <c r="D559" s="29"/>
      <c r="E559" s="29"/>
      <c r="F559" s="29"/>
      <c r="G559" s="29"/>
      <c r="H559" s="29"/>
    </row>
    <row r="560">
      <c r="A560" s="29"/>
      <c r="B560" s="29"/>
      <c r="C560" s="29"/>
      <c r="D560" s="29"/>
      <c r="E560" s="29"/>
      <c r="F560" s="29"/>
      <c r="G560" s="29"/>
      <c r="H560" s="29"/>
    </row>
    <row r="561">
      <c r="A561" s="29"/>
      <c r="B561" s="29"/>
      <c r="C561" s="29"/>
      <c r="D561" s="29"/>
      <c r="E561" s="29"/>
      <c r="F561" s="29"/>
      <c r="G561" s="29"/>
      <c r="H561" s="29"/>
    </row>
    <row r="562">
      <c r="A562" s="29"/>
      <c r="B562" s="29"/>
      <c r="C562" s="29"/>
      <c r="D562" s="29"/>
      <c r="E562" s="29"/>
      <c r="F562" s="29"/>
      <c r="G562" s="29"/>
      <c r="H562" s="29"/>
    </row>
    <row r="563">
      <c r="A563" s="29"/>
      <c r="B563" s="29"/>
      <c r="C563" s="29"/>
      <c r="D563" s="29"/>
      <c r="E563" s="29"/>
      <c r="F563" s="29"/>
      <c r="G563" s="29"/>
      <c r="H563" s="29"/>
    </row>
    <row r="564">
      <c r="A564" s="29"/>
      <c r="B564" s="29"/>
      <c r="C564" s="29"/>
      <c r="D564" s="29"/>
      <c r="E564" s="29"/>
      <c r="F564" s="29"/>
      <c r="G564" s="29"/>
      <c r="H564" s="29"/>
    </row>
    <row r="565">
      <c r="A565" s="29"/>
      <c r="B565" s="29"/>
      <c r="C565" s="29"/>
      <c r="D565" s="29"/>
      <c r="E565" s="29"/>
      <c r="F565" s="29"/>
      <c r="G565" s="29"/>
      <c r="H565" s="29"/>
    </row>
    <row r="566">
      <c r="A566" s="29"/>
      <c r="B566" s="29"/>
      <c r="C566" s="29"/>
      <c r="D566" s="29"/>
      <c r="E566" s="29"/>
      <c r="F566" s="29"/>
      <c r="G566" s="29"/>
      <c r="H566" s="29"/>
    </row>
    <row r="567">
      <c r="A567" s="29"/>
      <c r="B567" s="29"/>
      <c r="C567" s="29"/>
      <c r="D567" s="29"/>
      <c r="E567" s="29"/>
      <c r="F567" s="29"/>
      <c r="G567" s="29"/>
      <c r="H567" s="29"/>
    </row>
    <row r="568">
      <c r="A568" s="29"/>
      <c r="B568" s="29"/>
      <c r="C568" s="29"/>
      <c r="D568" s="29"/>
      <c r="E568" s="29"/>
      <c r="F568" s="29"/>
      <c r="G568" s="29"/>
      <c r="H568" s="29"/>
    </row>
    <row r="569">
      <c r="A569" s="29"/>
      <c r="B569" s="29"/>
      <c r="C569" s="29"/>
      <c r="D569" s="29"/>
      <c r="E569" s="29"/>
      <c r="F569" s="29"/>
      <c r="G569" s="29"/>
      <c r="H569" s="29"/>
    </row>
    <row r="570">
      <c r="A570" s="29"/>
      <c r="B570" s="29"/>
      <c r="C570" s="29"/>
      <c r="D570" s="29"/>
      <c r="E570" s="29"/>
      <c r="F570" s="29"/>
      <c r="G570" s="29"/>
      <c r="H570" s="29"/>
    </row>
    <row r="571">
      <c r="A571" s="29"/>
      <c r="B571" s="29"/>
      <c r="C571" s="29"/>
      <c r="D571" s="29"/>
      <c r="E571" s="29"/>
      <c r="F571" s="29"/>
      <c r="G571" s="29"/>
      <c r="H571" s="29"/>
    </row>
    <row r="572">
      <c r="A572" s="29"/>
      <c r="B572" s="29"/>
      <c r="C572" s="29"/>
      <c r="D572" s="29"/>
      <c r="E572" s="29"/>
      <c r="F572" s="29"/>
      <c r="G572" s="29"/>
      <c r="H572" s="29"/>
    </row>
    <row r="573">
      <c r="A573" s="29"/>
      <c r="B573" s="29"/>
      <c r="C573" s="29"/>
      <c r="D573" s="29"/>
      <c r="E573" s="29"/>
      <c r="F573" s="29"/>
      <c r="G573" s="29"/>
      <c r="H573" s="29"/>
    </row>
    <row r="574">
      <c r="A574" s="29"/>
      <c r="B574" s="29"/>
      <c r="C574" s="29"/>
      <c r="D574" s="29"/>
      <c r="E574" s="29"/>
      <c r="F574" s="29"/>
      <c r="G574" s="29"/>
      <c r="H574" s="29"/>
    </row>
    <row r="575">
      <c r="A575" s="29"/>
      <c r="B575" s="29"/>
      <c r="C575" s="29"/>
      <c r="D575" s="29"/>
      <c r="E575" s="29"/>
      <c r="F575" s="29"/>
      <c r="G575" s="29"/>
      <c r="H575" s="29"/>
    </row>
    <row r="576">
      <c r="A576" s="29"/>
      <c r="B576" s="29"/>
      <c r="C576" s="29"/>
      <c r="D576" s="29"/>
      <c r="E576" s="29"/>
      <c r="F576" s="29"/>
      <c r="G576" s="29"/>
      <c r="H576" s="29"/>
    </row>
    <row r="577">
      <c r="A577" s="29"/>
      <c r="B577" s="29"/>
      <c r="C577" s="29"/>
      <c r="D577" s="29"/>
      <c r="E577" s="29"/>
      <c r="F577" s="29"/>
      <c r="G577" s="29"/>
      <c r="H577" s="29"/>
    </row>
    <row r="578">
      <c r="A578" s="29"/>
      <c r="B578" s="29"/>
      <c r="C578" s="29"/>
      <c r="D578" s="29"/>
      <c r="E578" s="29"/>
      <c r="F578" s="29"/>
      <c r="G578" s="29"/>
      <c r="H578" s="29"/>
    </row>
    <row r="579">
      <c r="A579" s="29"/>
      <c r="B579" s="29"/>
      <c r="C579" s="29"/>
      <c r="D579" s="29"/>
      <c r="E579" s="29"/>
      <c r="F579" s="29"/>
      <c r="G579" s="29"/>
      <c r="H579" s="29"/>
    </row>
    <row r="580">
      <c r="A580" s="29"/>
      <c r="B580" s="29"/>
      <c r="C580" s="29"/>
      <c r="D580" s="29"/>
      <c r="E580" s="29"/>
      <c r="F580" s="29"/>
      <c r="G580" s="29"/>
      <c r="H580" s="29"/>
    </row>
    <row r="581">
      <c r="A581" s="29"/>
      <c r="B581" s="29"/>
      <c r="C581" s="29"/>
      <c r="D581" s="29"/>
      <c r="E581" s="29"/>
      <c r="F581" s="29"/>
      <c r="G581" s="29"/>
      <c r="H581" s="29"/>
    </row>
    <row r="582">
      <c r="A582" s="29"/>
      <c r="B582" s="29"/>
      <c r="C582" s="29"/>
      <c r="D582" s="29"/>
      <c r="E582" s="29"/>
      <c r="F582" s="29"/>
      <c r="G582" s="29"/>
      <c r="H582" s="29"/>
    </row>
    <row r="583">
      <c r="A583" s="29"/>
      <c r="B583" s="29"/>
      <c r="C583" s="29"/>
      <c r="D583" s="29"/>
      <c r="E583" s="29"/>
      <c r="F583" s="29"/>
      <c r="G583" s="29"/>
      <c r="H583" s="29"/>
    </row>
    <row r="584">
      <c r="A584" s="29"/>
      <c r="B584" s="29"/>
      <c r="C584" s="29"/>
      <c r="D584" s="29"/>
      <c r="E584" s="29"/>
      <c r="F584" s="29"/>
      <c r="G584" s="29"/>
      <c r="H584" s="29"/>
    </row>
    <row r="585">
      <c r="A585" s="29"/>
      <c r="B585" s="29"/>
      <c r="C585" s="29"/>
      <c r="D585" s="29"/>
      <c r="E585" s="29"/>
      <c r="F585" s="29"/>
      <c r="G585" s="29"/>
      <c r="H585" s="29"/>
    </row>
    <row r="586">
      <c r="A586" s="29"/>
      <c r="B586" s="29"/>
      <c r="C586" s="29"/>
      <c r="D586" s="29"/>
      <c r="E586" s="29"/>
      <c r="F586" s="29"/>
      <c r="G586" s="29"/>
      <c r="H586" s="29"/>
    </row>
    <row r="587">
      <c r="A587" s="29"/>
      <c r="B587" s="29"/>
      <c r="C587" s="29"/>
      <c r="D587" s="29"/>
      <c r="E587" s="29"/>
      <c r="F587" s="29"/>
      <c r="G587" s="29"/>
      <c r="H587" s="29"/>
    </row>
    <row r="588">
      <c r="A588" s="29"/>
      <c r="B588" s="29"/>
      <c r="C588" s="29"/>
      <c r="D588" s="29"/>
      <c r="E588" s="29"/>
      <c r="F588" s="29"/>
      <c r="G588" s="29"/>
      <c r="H588" s="29"/>
    </row>
    <row r="589">
      <c r="A589" s="29"/>
      <c r="B589" s="29"/>
      <c r="C589" s="29"/>
      <c r="D589" s="29"/>
      <c r="E589" s="29"/>
      <c r="F589" s="29"/>
      <c r="G589" s="29"/>
      <c r="H589" s="29"/>
    </row>
    <row r="590">
      <c r="A590" s="29"/>
      <c r="B590" s="29"/>
      <c r="C590" s="29"/>
      <c r="D590" s="29"/>
      <c r="E590" s="29"/>
      <c r="F590" s="29"/>
      <c r="G590" s="29"/>
      <c r="H590" s="29"/>
    </row>
    <row r="591">
      <c r="A591" s="29"/>
      <c r="B591" s="29"/>
      <c r="C591" s="29"/>
      <c r="D591" s="29"/>
      <c r="E591" s="29"/>
      <c r="F591" s="29"/>
      <c r="G591" s="29"/>
      <c r="H591" s="29"/>
    </row>
    <row r="592">
      <c r="A592" s="29"/>
      <c r="B592" s="29"/>
      <c r="C592" s="29"/>
      <c r="D592" s="29"/>
      <c r="E592" s="29"/>
      <c r="F592" s="29"/>
      <c r="G592" s="29"/>
      <c r="H592" s="29"/>
    </row>
    <row r="593">
      <c r="A593" s="29"/>
      <c r="B593" s="29"/>
      <c r="C593" s="29"/>
      <c r="D593" s="29"/>
      <c r="E593" s="29"/>
      <c r="F593" s="29"/>
      <c r="G593" s="29"/>
      <c r="H593" s="29"/>
    </row>
    <row r="594">
      <c r="A594" s="29"/>
      <c r="B594" s="29"/>
      <c r="C594" s="29"/>
      <c r="D594" s="29"/>
      <c r="E594" s="29"/>
      <c r="F594" s="29"/>
      <c r="G594" s="29"/>
      <c r="H594" s="29"/>
    </row>
    <row r="595">
      <c r="A595" s="29"/>
      <c r="B595" s="29"/>
      <c r="C595" s="29"/>
      <c r="D595" s="29"/>
      <c r="E595" s="29"/>
      <c r="F595" s="29"/>
      <c r="G595" s="29"/>
      <c r="H595" s="29"/>
    </row>
    <row r="596">
      <c r="A596" s="29"/>
      <c r="B596" s="29"/>
      <c r="C596" s="29"/>
      <c r="D596" s="29"/>
      <c r="E596" s="29"/>
      <c r="F596" s="29"/>
      <c r="G596" s="29"/>
      <c r="H596" s="29"/>
    </row>
    <row r="597">
      <c r="A597" s="29"/>
      <c r="B597" s="29"/>
      <c r="C597" s="29"/>
      <c r="D597" s="29"/>
      <c r="E597" s="29"/>
      <c r="F597" s="29"/>
      <c r="G597" s="29"/>
      <c r="H597" s="29"/>
    </row>
    <row r="598">
      <c r="A598" s="29"/>
      <c r="B598" s="29"/>
      <c r="C598" s="29"/>
      <c r="D598" s="29"/>
      <c r="E598" s="29"/>
      <c r="F598" s="29"/>
      <c r="G598" s="29"/>
      <c r="H598" s="29"/>
    </row>
    <row r="599">
      <c r="A599" s="29"/>
      <c r="B599" s="29"/>
      <c r="C599" s="29"/>
      <c r="D599" s="29"/>
      <c r="E599" s="29"/>
      <c r="F599" s="29"/>
      <c r="G599" s="29"/>
      <c r="H599" s="29"/>
    </row>
    <row r="600">
      <c r="A600" s="29"/>
      <c r="B600" s="29"/>
      <c r="C600" s="29"/>
      <c r="D600" s="29"/>
      <c r="E600" s="29"/>
      <c r="F600" s="29"/>
      <c r="G600" s="29"/>
      <c r="H600" s="29"/>
    </row>
    <row r="601">
      <c r="A601" s="29"/>
      <c r="B601" s="29"/>
      <c r="C601" s="29"/>
      <c r="D601" s="29"/>
      <c r="E601" s="29"/>
      <c r="F601" s="29"/>
      <c r="G601" s="29"/>
      <c r="H601" s="29"/>
    </row>
    <row r="602">
      <c r="A602" s="29"/>
      <c r="B602" s="29"/>
      <c r="C602" s="29"/>
      <c r="D602" s="29"/>
      <c r="E602" s="29"/>
      <c r="F602" s="29"/>
      <c r="G602" s="29"/>
      <c r="H602" s="29"/>
    </row>
    <row r="603">
      <c r="A603" s="29"/>
      <c r="B603" s="29"/>
      <c r="C603" s="29"/>
      <c r="D603" s="29"/>
      <c r="E603" s="29"/>
      <c r="F603" s="29"/>
      <c r="G603" s="29"/>
      <c r="H603" s="29"/>
    </row>
    <row r="604">
      <c r="A604" s="29"/>
      <c r="B604" s="29"/>
      <c r="C604" s="29"/>
      <c r="D604" s="29"/>
      <c r="E604" s="29"/>
      <c r="F604" s="29"/>
      <c r="G604" s="29"/>
      <c r="H604" s="29"/>
    </row>
    <row r="605">
      <c r="A605" s="29"/>
      <c r="B605" s="29"/>
      <c r="C605" s="29"/>
      <c r="D605" s="29"/>
      <c r="E605" s="29"/>
      <c r="F605" s="29"/>
      <c r="G605" s="29"/>
      <c r="H605" s="29"/>
    </row>
    <row r="606">
      <c r="A606" s="29"/>
      <c r="B606" s="29"/>
      <c r="C606" s="29"/>
      <c r="D606" s="29"/>
      <c r="E606" s="29"/>
      <c r="F606" s="29"/>
      <c r="G606" s="29"/>
      <c r="H606" s="29"/>
    </row>
    <row r="607">
      <c r="A607" s="29"/>
      <c r="B607" s="29"/>
      <c r="C607" s="29"/>
      <c r="D607" s="29"/>
      <c r="E607" s="29"/>
      <c r="F607" s="29"/>
      <c r="G607" s="29"/>
      <c r="H607" s="29"/>
    </row>
    <row r="608">
      <c r="A608" s="29"/>
      <c r="B608" s="29"/>
      <c r="C608" s="29"/>
      <c r="D608" s="29"/>
      <c r="E608" s="29"/>
      <c r="F608" s="29"/>
      <c r="G608" s="29"/>
      <c r="H608" s="29"/>
    </row>
    <row r="609">
      <c r="A609" s="29"/>
      <c r="B609" s="29"/>
      <c r="C609" s="29"/>
      <c r="D609" s="29"/>
      <c r="E609" s="29"/>
      <c r="F609" s="29"/>
      <c r="G609" s="29"/>
      <c r="H609" s="29"/>
    </row>
    <row r="610">
      <c r="A610" s="29"/>
      <c r="B610" s="29"/>
      <c r="C610" s="29"/>
      <c r="D610" s="29"/>
      <c r="E610" s="29"/>
      <c r="F610" s="29"/>
      <c r="G610" s="29"/>
      <c r="H610" s="29"/>
    </row>
    <row r="611">
      <c r="A611" s="29"/>
      <c r="B611" s="29"/>
      <c r="C611" s="29"/>
      <c r="D611" s="29"/>
      <c r="E611" s="29"/>
      <c r="F611" s="29"/>
      <c r="G611" s="29"/>
      <c r="H611" s="29"/>
    </row>
    <row r="612">
      <c r="A612" s="29"/>
      <c r="B612" s="29"/>
      <c r="C612" s="29"/>
      <c r="D612" s="29"/>
      <c r="E612" s="29"/>
      <c r="F612" s="29"/>
      <c r="G612" s="29"/>
      <c r="H612" s="29"/>
    </row>
    <row r="613">
      <c r="A613" s="29"/>
      <c r="B613" s="29"/>
      <c r="C613" s="29"/>
      <c r="D613" s="29"/>
      <c r="E613" s="29"/>
      <c r="F613" s="29"/>
      <c r="G613" s="29"/>
      <c r="H613" s="29"/>
    </row>
    <row r="614">
      <c r="A614" s="29"/>
      <c r="B614" s="29"/>
      <c r="C614" s="29"/>
      <c r="D614" s="29"/>
      <c r="E614" s="29"/>
      <c r="F614" s="29"/>
      <c r="G614" s="29"/>
      <c r="H614" s="29"/>
    </row>
    <row r="615">
      <c r="A615" s="29"/>
      <c r="B615" s="29"/>
      <c r="C615" s="29"/>
      <c r="D615" s="29"/>
      <c r="E615" s="29"/>
      <c r="F615" s="29"/>
      <c r="G615" s="29"/>
      <c r="H615" s="29"/>
    </row>
    <row r="616">
      <c r="A616" s="29"/>
      <c r="B616" s="29"/>
      <c r="C616" s="29"/>
      <c r="D616" s="29"/>
      <c r="E616" s="29"/>
      <c r="F616" s="29"/>
      <c r="G616" s="29"/>
      <c r="H616" s="29"/>
    </row>
    <row r="617">
      <c r="A617" s="29"/>
      <c r="B617" s="29"/>
      <c r="C617" s="29"/>
      <c r="D617" s="29"/>
      <c r="E617" s="29"/>
      <c r="F617" s="29"/>
      <c r="G617" s="29"/>
      <c r="H617" s="29"/>
    </row>
    <row r="618">
      <c r="A618" s="29"/>
      <c r="B618" s="29"/>
      <c r="C618" s="29"/>
      <c r="D618" s="29"/>
      <c r="E618" s="29"/>
      <c r="F618" s="29"/>
      <c r="G618" s="29"/>
      <c r="H618" s="29"/>
    </row>
    <row r="619">
      <c r="A619" s="29"/>
      <c r="B619" s="29"/>
      <c r="C619" s="29"/>
      <c r="D619" s="29"/>
      <c r="E619" s="29"/>
      <c r="F619" s="29"/>
      <c r="G619" s="29"/>
      <c r="H619" s="29"/>
    </row>
    <row r="620">
      <c r="A620" s="29"/>
      <c r="B620" s="29"/>
      <c r="C620" s="29"/>
      <c r="D620" s="29"/>
      <c r="E620" s="29"/>
      <c r="F620" s="29"/>
      <c r="G620" s="29"/>
      <c r="H620" s="29"/>
    </row>
    <row r="621">
      <c r="A621" s="29"/>
      <c r="B621" s="29"/>
      <c r="C621" s="29"/>
      <c r="D621" s="29"/>
      <c r="E621" s="29"/>
      <c r="F621" s="29"/>
      <c r="G621" s="29"/>
      <c r="H621" s="29"/>
    </row>
    <row r="622">
      <c r="A622" s="29"/>
      <c r="B622" s="29"/>
      <c r="C622" s="29"/>
      <c r="D622" s="29"/>
      <c r="E622" s="29"/>
      <c r="F622" s="29"/>
      <c r="G622" s="29"/>
      <c r="H622" s="29"/>
    </row>
    <row r="623">
      <c r="A623" s="29"/>
      <c r="B623" s="29"/>
      <c r="C623" s="29"/>
      <c r="D623" s="29"/>
      <c r="E623" s="29"/>
      <c r="F623" s="29"/>
      <c r="G623" s="29"/>
      <c r="H623" s="29"/>
    </row>
    <row r="624">
      <c r="A624" s="29"/>
      <c r="B624" s="29"/>
      <c r="C624" s="29"/>
      <c r="D624" s="29"/>
      <c r="E624" s="29"/>
      <c r="F624" s="29"/>
      <c r="G624" s="29"/>
      <c r="H624" s="29"/>
    </row>
    <row r="625">
      <c r="A625" s="29"/>
      <c r="B625" s="29"/>
      <c r="C625" s="29"/>
      <c r="D625" s="29"/>
      <c r="E625" s="29"/>
      <c r="F625" s="29"/>
      <c r="G625" s="29"/>
      <c r="H625" s="29"/>
    </row>
    <row r="626">
      <c r="A626" s="29"/>
      <c r="B626" s="29"/>
      <c r="C626" s="29"/>
      <c r="D626" s="29"/>
      <c r="E626" s="29"/>
      <c r="F626" s="29"/>
      <c r="G626" s="29"/>
      <c r="H626" s="29"/>
    </row>
    <row r="627">
      <c r="A627" s="29"/>
      <c r="B627" s="29"/>
      <c r="C627" s="29"/>
      <c r="D627" s="29"/>
      <c r="E627" s="29"/>
      <c r="F627" s="29"/>
      <c r="G627" s="29"/>
      <c r="H627" s="29"/>
    </row>
    <row r="628">
      <c r="A628" s="29"/>
      <c r="B628" s="29"/>
      <c r="C628" s="29"/>
      <c r="D628" s="29"/>
      <c r="E628" s="29"/>
      <c r="F628" s="29"/>
      <c r="G628" s="29"/>
      <c r="H628" s="29"/>
    </row>
    <row r="629">
      <c r="A629" s="29"/>
      <c r="B629" s="29"/>
      <c r="C629" s="29"/>
      <c r="D629" s="29"/>
      <c r="E629" s="29"/>
      <c r="F629" s="29"/>
      <c r="G629" s="29"/>
      <c r="H629" s="29"/>
    </row>
    <row r="630">
      <c r="A630" s="29"/>
      <c r="B630" s="29"/>
      <c r="C630" s="29"/>
      <c r="D630" s="29"/>
      <c r="E630" s="29"/>
      <c r="F630" s="29"/>
      <c r="G630" s="29"/>
      <c r="H630" s="29"/>
    </row>
    <row r="631">
      <c r="A631" s="29"/>
      <c r="B631" s="29"/>
      <c r="C631" s="29"/>
      <c r="D631" s="29"/>
      <c r="E631" s="29"/>
      <c r="F631" s="29"/>
      <c r="G631" s="29"/>
      <c r="H631" s="29"/>
    </row>
    <row r="632">
      <c r="A632" s="29"/>
      <c r="B632" s="29"/>
      <c r="C632" s="29"/>
      <c r="D632" s="29"/>
      <c r="E632" s="29"/>
      <c r="F632" s="29"/>
      <c r="G632" s="29"/>
      <c r="H632" s="29"/>
    </row>
    <row r="633">
      <c r="A633" s="29"/>
      <c r="B633" s="29"/>
      <c r="C633" s="29"/>
      <c r="D633" s="29"/>
      <c r="E633" s="29"/>
      <c r="F633" s="29"/>
      <c r="G633" s="29"/>
      <c r="H633" s="29"/>
    </row>
    <row r="634">
      <c r="A634" s="29"/>
      <c r="B634" s="29"/>
      <c r="C634" s="29"/>
      <c r="D634" s="29"/>
      <c r="E634" s="29"/>
      <c r="F634" s="29"/>
      <c r="G634" s="29"/>
      <c r="H634" s="29"/>
    </row>
    <row r="635">
      <c r="A635" s="29"/>
      <c r="B635" s="29"/>
      <c r="C635" s="29"/>
      <c r="D635" s="29"/>
      <c r="E635" s="29"/>
      <c r="F635" s="29"/>
      <c r="G635" s="29"/>
      <c r="H635" s="29"/>
    </row>
    <row r="636">
      <c r="A636" s="29"/>
      <c r="B636" s="29"/>
      <c r="C636" s="29"/>
      <c r="D636" s="29"/>
      <c r="E636" s="29"/>
      <c r="F636" s="29"/>
      <c r="G636" s="29"/>
      <c r="H636" s="29"/>
    </row>
    <row r="637">
      <c r="A637" s="29"/>
      <c r="B637" s="29"/>
      <c r="C637" s="29"/>
      <c r="D637" s="29"/>
      <c r="E637" s="29"/>
      <c r="F637" s="29"/>
      <c r="G637" s="29"/>
      <c r="H637" s="29"/>
    </row>
    <row r="638">
      <c r="A638" s="29"/>
      <c r="B638" s="29"/>
      <c r="C638" s="29"/>
      <c r="D638" s="29"/>
      <c r="E638" s="29"/>
      <c r="F638" s="29"/>
      <c r="G638" s="29"/>
      <c r="H638" s="29"/>
    </row>
    <row r="639">
      <c r="A639" s="29"/>
      <c r="B639" s="29"/>
      <c r="C639" s="29"/>
      <c r="D639" s="29"/>
      <c r="E639" s="29"/>
      <c r="F639" s="29"/>
      <c r="G639" s="29"/>
      <c r="H639" s="29"/>
    </row>
    <row r="640">
      <c r="A640" s="29"/>
      <c r="B640" s="29"/>
      <c r="C640" s="29"/>
      <c r="D640" s="29"/>
      <c r="E640" s="29"/>
      <c r="F640" s="29"/>
      <c r="G640" s="29"/>
      <c r="H640" s="29"/>
    </row>
    <row r="641">
      <c r="A641" s="29"/>
      <c r="B641" s="29"/>
      <c r="C641" s="29"/>
      <c r="D641" s="29"/>
      <c r="E641" s="29"/>
      <c r="F641" s="29"/>
      <c r="G641" s="29"/>
      <c r="H641" s="29"/>
    </row>
    <row r="642">
      <c r="A642" s="29"/>
      <c r="B642" s="29"/>
      <c r="C642" s="29"/>
      <c r="D642" s="29"/>
      <c r="E642" s="29"/>
      <c r="F642" s="29"/>
      <c r="G642" s="29"/>
      <c r="H642" s="29"/>
    </row>
    <row r="643">
      <c r="A643" s="29"/>
      <c r="B643" s="29"/>
      <c r="C643" s="29"/>
      <c r="D643" s="29"/>
      <c r="E643" s="29"/>
      <c r="F643" s="29"/>
      <c r="G643" s="29"/>
      <c r="H643" s="29"/>
    </row>
    <row r="644">
      <c r="A644" s="29"/>
      <c r="B644" s="29"/>
      <c r="C644" s="29"/>
      <c r="D644" s="29"/>
      <c r="E644" s="29"/>
      <c r="F644" s="29"/>
      <c r="G644" s="29"/>
      <c r="H644" s="29"/>
    </row>
    <row r="645">
      <c r="A645" s="29"/>
      <c r="B645" s="29"/>
      <c r="C645" s="29"/>
      <c r="D645" s="29"/>
      <c r="E645" s="29"/>
      <c r="F645" s="29"/>
      <c r="G645" s="29"/>
      <c r="H645" s="29"/>
    </row>
    <row r="646">
      <c r="A646" s="29"/>
      <c r="B646" s="29"/>
      <c r="C646" s="29"/>
      <c r="D646" s="29"/>
      <c r="E646" s="29"/>
      <c r="F646" s="29"/>
      <c r="G646" s="29"/>
      <c r="H646" s="29"/>
    </row>
    <row r="647">
      <c r="A647" s="29"/>
      <c r="B647" s="29"/>
      <c r="C647" s="29"/>
      <c r="D647" s="29"/>
      <c r="E647" s="29"/>
      <c r="F647" s="29"/>
      <c r="G647" s="29"/>
      <c r="H647" s="29"/>
    </row>
    <row r="648">
      <c r="A648" s="29"/>
      <c r="B648" s="29"/>
      <c r="C648" s="29"/>
      <c r="D648" s="29"/>
      <c r="E648" s="29"/>
      <c r="F648" s="29"/>
      <c r="G648" s="29"/>
      <c r="H648" s="29"/>
    </row>
    <row r="649">
      <c r="A649" s="29"/>
      <c r="B649" s="29"/>
      <c r="C649" s="29"/>
      <c r="D649" s="29"/>
      <c r="E649" s="29"/>
      <c r="F649" s="29"/>
      <c r="G649" s="29"/>
      <c r="H649" s="29"/>
    </row>
    <row r="650">
      <c r="A650" s="29"/>
      <c r="B650" s="29"/>
      <c r="C650" s="29"/>
      <c r="D650" s="29"/>
      <c r="E650" s="29"/>
      <c r="F650" s="29"/>
      <c r="G650" s="29"/>
      <c r="H650" s="29"/>
    </row>
    <row r="651">
      <c r="A651" s="29"/>
      <c r="B651" s="29"/>
      <c r="C651" s="29"/>
      <c r="D651" s="29"/>
      <c r="E651" s="29"/>
      <c r="F651" s="29"/>
      <c r="G651" s="29"/>
      <c r="H651" s="29"/>
    </row>
    <row r="652">
      <c r="A652" s="29"/>
      <c r="B652" s="29"/>
      <c r="C652" s="29"/>
      <c r="D652" s="29"/>
      <c r="E652" s="29"/>
      <c r="F652" s="29"/>
      <c r="G652" s="29"/>
      <c r="H652" s="29"/>
    </row>
    <row r="653">
      <c r="A653" s="29"/>
      <c r="B653" s="29"/>
      <c r="C653" s="29"/>
      <c r="D653" s="29"/>
      <c r="E653" s="29"/>
      <c r="F653" s="29"/>
      <c r="G653" s="29"/>
      <c r="H653" s="29"/>
    </row>
    <row r="654">
      <c r="A654" s="29"/>
      <c r="B654" s="29"/>
      <c r="C654" s="29"/>
      <c r="D654" s="29"/>
      <c r="E654" s="29"/>
      <c r="F654" s="29"/>
      <c r="G654" s="29"/>
      <c r="H654" s="29"/>
    </row>
    <row r="655">
      <c r="A655" s="29"/>
      <c r="B655" s="29"/>
      <c r="C655" s="29"/>
      <c r="D655" s="29"/>
      <c r="E655" s="29"/>
      <c r="F655" s="29"/>
      <c r="G655" s="29"/>
      <c r="H655" s="29"/>
    </row>
    <row r="656">
      <c r="A656" s="29"/>
      <c r="B656" s="29"/>
      <c r="C656" s="29"/>
      <c r="D656" s="29"/>
      <c r="E656" s="29"/>
      <c r="F656" s="29"/>
      <c r="G656" s="29"/>
      <c r="H656" s="29"/>
    </row>
    <row r="657">
      <c r="A657" s="29"/>
      <c r="B657" s="29"/>
      <c r="C657" s="29"/>
      <c r="D657" s="29"/>
      <c r="E657" s="29"/>
      <c r="F657" s="29"/>
      <c r="G657" s="29"/>
      <c r="H657" s="29"/>
    </row>
    <row r="658">
      <c r="A658" s="29"/>
      <c r="B658" s="29"/>
      <c r="C658" s="29"/>
      <c r="D658" s="29"/>
      <c r="E658" s="29"/>
      <c r="F658" s="29"/>
      <c r="G658" s="29"/>
      <c r="H658" s="29"/>
    </row>
    <row r="659">
      <c r="A659" s="29"/>
      <c r="B659" s="29"/>
      <c r="C659" s="29"/>
      <c r="D659" s="29"/>
      <c r="E659" s="29"/>
      <c r="F659" s="29"/>
      <c r="G659" s="29"/>
      <c r="H659" s="29"/>
    </row>
    <row r="660">
      <c r="A660" s="29"/>
      <c r="B660" s="29"/>
      <c r="C660" s="29"/>
      <c r="D660" s="29"/>
      <c r="E660" s="29"/>
      <c r="F660" s="29"/>
      <c r="G660" s="29"/>
      <c r="H660" s="29"/>
    </row>
    <row r="661">
      <c r="A661" s="29"/>
      <c r="B661" s="29"/>
      <c r="C661" s="29"/>
      <c r="D661" s="29"/>
      <c r="E661" s="29"/>
      <c r="F661" s="29"/>
      <c r="G661" s="29"/>
      <c r="H661" s="29"/>
    </row>
    <row r="662">
      <c r="A662" s="29"/>
      <c r="B662" s="29"/>
      <c r="C662" s="29"/>
      <c r="D662" s="29"/>
      <c r="E662" s="29"/>
      <c r="F662" s="29"/>
      <c r="G662" s="29"/>
      <c r="H662" s="29"/>
    </row>
    <row r="663">
      <c r="A663" s="29"/>
      <c r="B663" s="29"/>
      <c r="C663" s="29"/>
      <c r="D663" s="29"/>
      <c r="E663" s="29"/>
      <c r="F663" s="29"/>
      <c r="G663" s="29"/>
      <c r="H663" s="29"/>
    </row>
    <row r="664">
      <c r="A664" s="29"/>
      <c r="B664" s="29"/>
      <c r="C664" s="29"/>
      <c r="D664" s="29"/>
      <c r="E664" s="29"/>
      <c r="F664" s="29"/>
      <c r="G664" s="29"/>
      <c r="H664" s="29"/>
    </row>
    <row r="665">
      <c r="A665" s="29"/>
      <c r="B665" s="29"/>
      <c r="C665" s="29"/>
      <c r="D665" s="29"/>
      <c r="E665" s="29"/>
      <c r="F665" s="29"/>
      <c r="G665" s="29"/>
      <c r="H665" s="29"/>
    </row>
    <row r="666">
      <c r="A666" s="29"/>
      <c r="B666" s="29"/>
      <c r="C666" s="29"/>
      <c r="D666" s="29"/>
      <c r="E666" s="29"/>
      <c r="F666" s="29"/>
      <c r="G666" s="29"/>
      <c r="H666" s="29"/>
    </row>
    <row r="667">
      <c r="A667" s="29"/>
      <c r="B667" s="29"/>
      <c r="C667" s="29"/>
      <c r="D667" s="29"/>
      <c r="E667" s="29"/>
      <c r="F667" s="29"/>
      <c r="G667" s="29"/>
      <c r="H667" s="29"/>
    </row>
    <row r="668">
      <c r="A668" s="29"/>
      <c r="B668" s="29"/>
      <c r="C668" s="29"/>
      <c r="D668" s="29"/>
      <c r="E668" s="29"/>
      <c r="F668" s="29"/>
      <c r="G668" s="29"/>
      <c r="H668" s="29"/>
    </row>
    <row r="669">
      <c r="A669" s="29"/>
      <c r="B669" s="29"/>
      <c r="C669" s="29"/>
      <c r="D669" s="29"/>
      <c r="E669" s="29"/>
      <c r="F669" s="29"/>
      <c r="G669" s="29"/>
      <c r="H669" s="29"/>
    </row>
    <row r="670">
      <c r="A670" s="29"/>
      <c r="B670" s="29"/>
      <c r="C670" s="29"/>
      <c r="D670" s="29"/>
      <c r="E670" s="29"/>
      <c r="F670" s="29"/>
      <c r="G670" s="29"/>
      <c r="H670" s="29"/>
    </row>
    <row r="671">
      <c r="A671" s="29"/>
      <c r="B671" s="29"/>
      <c r="C671" s="29"/>
      <c r="D671" s="29"/>
      <c r="E671" s="29"/>
      <c r="F671" s="29"/>
      <c r="G671" s="29"/>
      <c r="H671" s="29"/>
    </row>
    <row r="672">
      <c r="A672" s="29"/>
      <c r="B672" s="29"/>
      <c r="C672" s="29"/>
      <c r="D672" s="29"/>
      <c r="E672" s="29"/>
      <c r="F672" s="29"/>
      <c r="G672" s="29"/>
      <c r="H672" s="29"/>
    </row>
    <row r="673">
      <c r="A673" s="29"/>
      <c r="B673" s="29"/>
      <c r="C673" s="29"/>
      <c r="D673" s="29"/>
      <c r="E673" s="29"/>
      <c r="F673" s="29"/>
      <c r="G673" s="29"/>
      <c r="H673" s="29"/>
    </row>
    <row r="674">
      <c r="A674" s="29"/>
      <c r="B674" s="29"/>
      <c r="C674" s="29"/>
      <c r="D674" s="29"/>
      <c r="E674" s="29"/>
      <c r="F674" s="29"/>
      <c r="G674" s="29"/>
      <c r="H674" s="29"/>
    </row>
    <row r="675">
      <c r="A675" s="29"/>
      <c r="B675" s="29"/>
      <c r="C675" s="29"/>
      <c r="D675" s="29"/>
      <c r="E675" s="29"/>
      <c r="F675" s="29"/>
      <c r="G675" s="29"/>
      <c r="H675" s="29"/>
    </row>
    <row r="676">
      <c r="A676" s="29"/>
      <c r="B676" s="29"/>
      <c r="C676" s="29"/>
      <c r="D676" s="29"/>
      <c r="E676" s="29"/>
      <c r="F676" s="29"/>
      <c r="G676" s="29"/>
      <c r="H676" s="29"/>
    </row>
    <row r="677">
      <c r="A677" s="29"/>
      <c r="B677" s="29"/>
      <c r="C677" s="29"/>
      <c r="D677" s="29"/>
      <c r="E677" s="29"/>
      <c r="F677" s="29"/>
      <c r="G677" s="29"/>
      <c r="H677" s="29"/>
    </row>
    <row r="678">
      <c r="A678" s="29"/>
      <c r="B678" s="29"/>
      <c r="C678" s="29"/>
      <c r="D678" s="29"/>
      <c r="E678" s="29"/>
      <c r="F678" s="29"/>
      <c r="G678" s="29"/>
      <c r="H678" s="29"/>
    </row>
    <row r="679">
      <c r="A679" s="29"/>
      <c r="B679" s="29"/>
      <c r="C679" s="29"/>
      <c r="D679" s="29"/>
      <c r="E679" s="29"/>
      <c r="F679" s="29"/>
      <c r="G679" s="29"/>
      <c r="H679" s="29"/>
    </row>
    <row r="680">
      <c r="A680" s="29"/>
      <c r="B680" s="29"/>
      <c r="C680" s="29"/>
      <c r="D680" s="29"/>
      <c r="E680" s="29"/>
      <c r="F680" s="29"/>
      <c r="G680" s="29"/>
      <c r="H680" s="29"/>
    </row>
    <row r="681">
      <c r="A681" s="29"/>
      <c r="B681" s="29"/>
      <c r="C681" s="29"/>
      <c r="D681" s="29"/>
      <c r="E681" s="29"/>
      <c r="F681" s="29"/>
      <c r="G681" s="29"/>
      <c r="H681" s="29"/>
    </row>
    <row r="682">
      <c r="A682" s="29"/>
      <c r="B682" s="29"/>
      <c r="C682" s="29"/>
      <c r="D682" s="29"/>
      <c r="E682" s="29"/>
      <c r="F682" s="29"/>
      <c r="G682" s="29"/>
      <c r="H682" s="29"/>
    </row>
    <row r="683">
      <c r="A683" s="29"/>
      <c r="B683" s="29"/>
      <c r="C683" s="29"/>
      <c r="D683" s="29"/>
      <c r="E683" s="29"/>
      <c r="F683" s="29"/>
      <c r="G683" s="29"/>
      <c r="H683" s="29"/>
    </row>
    <row r="684">
      <c r="A684" s="29"/>
      <c r="B684" s="29"/>
      <c r="C684" s="29"/>
      <c r="D684" s="29"/>
      <c r="E684" s="29"/>
      <c r="F684" s="29"/>
      <c r="G684" s="29"/>
      <c r="H684" s="29"/>
    </row>
    <row r="685">
      <c r="A685" s="29"/>
      <c r="B685" s="29"/>
      <c r="C685" s="29"/>
      <c r="D685" s="29"/>
      <c r="E685" s="29"/>
      <c r="F685" s="29"/>
      <c r="G685" s="29"/>
      <c r="H685" s="29"/>
    </row>
    <row r="686">
      <c r="A686" s="29"/>
      <c r="B686" s="29"/>
      <c r="C686" s="29"/>
      <c r="D686" s="29"/>
      <c r="E686" s="29"/>
      <c r="F686" s="29"/>
      <c r="G686" s="29"/>
      <c r="H686" s="29"/>
    </row>
    <row r="687">
      <c r="A687" s="29"/>
      <c r="B687" s="29"/>
      <c r="C687" s="29"/>
      <c r="D687" s="29"/>
      <c r="E687" s="29"/>
      <c r="F687" s="29"/>
      <c r="G687" s="29"/>
      <c r="H687" s="29"/>
    </row>
    <row r="688">
      <c r="A688" s="29"/>
      <c r="B688" s="29"/>
      <c r="C688" s="29"/>
      <c r="D688" s="29"/>
      <c r="E688" s="29"/>
      <c r="F688" s="29"/>
      <c r="G688" s="29"/>
      <c r="H688" s="29"/>
    </row>
    <row r="689">
      <c r="A689" s="29"/>
      <c r="B689" s="29"/>
      <c r="C689" s="29"/>
      <c r="D689" s="29"/>
      <c r="E689" s="29"/>
      <c r="F689" s="29"/>
      <c r="G689" s="29"/>
      <c r="H689" s="29"/>
    </row>
    <row r="690">
      <c r="A690" s="29"/>
      <c r="B690" s="29"/>
      <c r="C690" s="29"/>
      <c r="D690" s="29"/>
      <c r="E690" s="29"/>
      <c r="F690" s="29"/>
      <c r="G690" s="29"/>
      <c r="H690" s="29"/>
    </row>
    <row r="691">
      <c r="A691" s="29"/>
      <c r="B691" s="29"/>
      <c r="C691" s="29"/>
      <c r="D691" s="29"/>
      <c r="E691" s="29"/>
      <c r="F691" s="29"/>
      <c r="G691" s="29"/>
      <c r="H691" s="29"/>
    </row>
    <row r="692">
      <c r="A692" s="29"/>
      <c r="B692" s="29"/>
      <c r="C692" s="29"/>
      <c r="D692" s="29"/>
      <c r="E692" s="29"/>
      <c r="F692" s="29"/>
      <c r="G692" s="29"/>
      <c r="H692" s="29"/>
    </row>
    <row r="693">
      <c r="A693" s="29"/>
      <c r="B693" s="29"/>
      <c r="C693" s="29"/>
      <c r="D693" s="29"/>
      <c r="E693" s="29"/>
      <c r="F693" s="29"/>
      <c r="G693" s="29"/>
      <c r="H693" s="29"/>
    </row>
    <row r="694">
      <c r="A694" s="29"/>
      <c r="B694" s="29"/>
      <c r="C694" s="29"/>
      <c r="D694" s="29"/>
      <c r="E694" s="29"/>
      <c r="F694" s="29"/>
      <c r="G694" s="29"/>
      <c r="H694" s="29"/>
    </row>
    <row r="695">
      <c r="A695" s="29"/>
      <c r="B695" s="29"/>
      <c r="C695" s="29"/>
      <c r="D695" s="29"/>
      <c r="E695" s="29"/>
      <c r="F695" s="29"/>
      <c r="G695" s="29"/>
      <c r="H695" s="29"/>
    </row>
    <row r="696">
      <c r="A696" s="29"/>
      <c r="B696" s="29"/>
      <c r="C696" s="29"/>
      <c r="D696" s="29"/>
      <c r="E696" s="29"/>
      <c r="F696" s="29"/>
      <c r="G696" s="29"/>
      <c r="H696" s="29"/>
    </row>
    <row r="697">
      <c r="A697" s="29"/>
      <c r="B697" s="29"/>
      <c r="C697" s="29"/>
      <c r="D697" s="29"/>
      <c r="E697" s="29"/>
      <c r="F697" s="29"/>
      <c r="G697" s="29"/>
      <c r="H697" s="29"/>
    </row>
    <row r="698">
      <c r="A698" s="29"/>
      <c r="B698" s="29"/>
      <c r="C698" s="29"/>
      <c r="D698" s="29"/>
      <c r="E698" s="29"/>
      <c r="F698" s="29"/>
      <c r="G698" s="29"/>
      <c r="H698" s="29"/>
    </row>
    <row r="699">
      <c r="A699" s="29"/>
      <c r="B699" s="29"/>
      <c r="C699" s="29"/>
      <c r="D699" s="29"/>
      <c r="E699" s="29"/>
      <c r="F699" s="29"/>
      <c r="G699" s="29"/>
      <c r="H699" s="29"/>
    </row>
    <row r="700">
      <c r="A700" s="29"/>
      <c r="B700" s="29"/>
      <c r="C700" s="29"/>
      <c r="D700" s="29"/>
      <c r="E700" s="29"/>
      <c r="F700" s="29"/>
      <c r="G700" s="29"/>
      <c r="H700" s="29"/>
    </row>
    <row r="701">
      <c r="A701" s="29"/>
      <c r="B701" s="29"/>
      <c r="C701" s="29"/>
      <c r="D701" s="29"/>
      <c r="E701" s="29"/>
      <c r="F701" s="29"/>
      <c r="G701" s="29"/>
      <c r="H701" s="29"/>
    </row>
    <row r="702">
      <c r="A702" s="29"/>
      <c r="B702" s="29"/>
      <c r="C702" s="29"/>
      <c r="D702" s="29"/>
      <c r="E702" s="29"/>
      <c r="F702" s="29"/>
      <c r="G702" s="29"/>
      <c r="H702" s="29"/>
    </row>
    <row r="703">
      <c r="A703" s="29"/>
      <c r="B703" s="29"/>
      <c r="C703" s="29"/>
      <c r="D703" s="29"/>
      <c r="E703" s="29"/>
      <c r="F703" s="29"/>
      <c r="G703" s="29"/>
      <c r="H703" s="29"/>
    </row>
    <row r="704">
      <c r="A704" s="29"/>
      <c r="B704" s="29"/>
      <c r="C704" s="29"/>
      <c r="D704" s="29"/>
      <c r="E704" s="29"/>
      <c r="F704" s="29"/>
      <c r="G704" s="29"/>
      <c r="H704" s="29"/>
    </row>
    <row r="705">
      <c r="A705" s="29"/>
      <c r="B705" s="29"/>
      <c r="C705" s="29"/>
      <c r="D705" s="29"/>
      <c r="E705" s="29"/>
      <c r="F705" s="29"/>
      <c r="G705" s="29"/>
      <c r="H705" s="29"/>
    </row>
    <row r="706">
      <c r="A706" s="29"/>
      <c r="B706" s="29"/>
      <c r="C706" s="29"/>
      <c r="D706" s="29"/>
      <c r="E706" s="29"/>
      <c r="F706" s="29"/>
      <c r="G706" s="29"/>
      <c r="H706" s="29"/>
    </row>
    <row r="707">
      <c r="A707" s="29"/>
      <c r="B707" s="29"/>
      <c r="C707" s="29"/>
      <c r="D707" s="29"/>
      <c r="E707" s="29"/>
      <c r="F707" s="29"/>
      <c r="G707" s="29"/>
      <c r="H707" s="29"/>
    </row>
    <row r="708">
      <c r="A708" s="29"/>
      <c r="B708" s="29"/>
      <c r="C708" s="29"/>
      <c r="D708" s="29"/>
      <c r="E708" s="29"/>
      <c r="F708" s="29"/>
      <c r="G708" s="29"/>
      <c r="H708" s="29"/>
    </row>
    <row r="709">
      <c r="A709" s="29"/>
      <c r="B709" s="29"/>
      <c r="C709" s="29"/>
      <c r="D709" s="29"/>
      <c r="E709" s="29"/>
      <c r="F709" s="29"/>
      <c r="G709" s="29"/>
      <c r="H709" s="29"/>
    </row>
    <row r="710">
      <c r="A710" s="29"/>
      <c r="B710" s="29"/>
      <c r="C710" s="29"/>
      <c r="D710" s="29"/>
      <c r="E710" s="29"/>
      <c r="F710" s="29"/>
      <c r="G710" s="29"/>
      <c r="H710" s="29"/>
    </row>
    <row r="711">
      <c r="A711" s="29"/>
      <c r="B711" s="29"/>
      <c r="C711" s="29"/>
      <c r="D711" s="29"/>
      <c r="E711" s="29"/>
      <c r="F711" s="29"/>
      <c r="G711" s="29"/>
      <c r="H711" s="29"/>
    </row>
    <row r="712">
      <c r="A712" s="29"/>
      <c r="B712" s="29"/>
      <c r="C712" s="29"/>
      <c r="D712" s="29"/>
      <c r="E712" s="29"/>
      <c r="F712" s="29"/>
      <c r="G712" s="29"/>
      <c r="H712" s="29"/>
    </row>
    <row r="713">
      <c r="A713" s="29"/>
      <c r="B713" s="29"/>
      <c r="C713" s="29"/>
      <c r="D713" s="29"/>
      <c r="E713" s="29"/>
      <c r="F713" s="29"/>
      <c r="G713" s="29"/>
      <c r="H713" s="29"/>
    </row>
    <row r="714">
      <c r="A714" s="29"/>
      <c r="B714" s="29"/>
      <c r="C714" s="29"/>
      <c r="D714" s="29"/>
      <c r="E714" s="29"/>
      <c r="F714" s="29"/>
      <c r="G714" s="29"/>
      <c r="H714" s="29"/>
    </row>
    <row r="715">
      <c r="A715" s="29"/>
      <c r="B715" s="29"/>
      <c r="C715" s="29"/>
      <c r="D715" s="29"/>
      <c r="E715" s="29"/>
      <c r="F715" s="29"/>
      <c r="G715" s="29"/>
      <c r="H715" s="29"/>
    </row>
    <row r="716">
      <c r="A716" s="29"/>
      <c r="B716" s="29"/>
      <c r="C716" s="29"/>
      <c r="D716" s="29"/>
      <c r="E716" s="29"/>
      <c r="F716" s="29"/>
      <c r="G716" s="29"/>
      <c r="H716" s="29"/>
    </row>
    <row r="717">
      <c r="A717" s="29"/>
      <c r="B717" s="29"/>
      <c r="C717" s="29"/>
      <c r="D717" s="29"/>
      <c r="E717" s="29"/>
      <c r="F717" s="29"/>
      <c r="G717" s="29"/>
      <c r="H717" s="29"/>
    </row>
    <row r="718">
      <c r="A718" s="29"/>
      <c r="B718" s="29"/>
      <c r="C718" s="29"/>
      <c r="D718" s="29"/>
      <c r="E718" s="29"/>
      <c r="F718" s="29"/>
      <c r="G718" s="29"/>
      <c r="H718" s="29"/>
    </row>
    <row r="719">
      <c r="A719" s="29"/>
      <c r="B719" s="29"/>
      <c r="C719" s="29"/>
      <c r="D719" s="29"/>
      <c r="E719" s="29"/>
      <c r="F719" s="29"/>
      <c r="G719" s="29"/>
      <c r="H719" s="29"/>
    </row>
    <row r="720">
      <c r="A720" s="29"/>
      <c r="B720" s="29"/>
      <c r="C720" s="29"/>
      <c r="D720" s="29"/>
      <c r="E720" s="29"/>
      <c r="F720" s="29"/>
      <c r="G720" s="29"/>
      <c r="H720" s="29"/>
    </row>
    <row r="721">
      <c r="A721" s="29"/>
      <c r="B721" s="29"/>
      <c r="C721" s="29"/>
      <c r="D721" s="29"/>
      <c r="E721" s="29"/>
      <c r="F721" s="29"/>
      <c r="G721" s="29"/>
      <c r="H721" s="29"/>
    </row>
    <row r="722">
      <c r="A722" s="29"/>
      <c r="B722" s="29"/>
      <c r="C722" s="29"/>
      <c r="D722" s="29"/>
      <c r="E722" s="29"/>
      <c r="F722" s="29"/>
      <c r="G722" s="29"/>
      <c r="H722" s="29"/>
    </row>
    <row r="723">
      <c r="A723" s="29"/>
      <c r="B723" s="29"/>
      <c r="C723" s="29"/>
      <c r="D723" s="29"/>
      <c r="E723" s="29"/>
      <c r="F723" s="29"/>
      <c r="G723" s="29"/>
      <c r="H723" s="29"/>
    </row>
    <row r="724">
      <c r="A724" s="29"/>
      <c r="B724" s="29"/>
      <c r="C724" s="29"/>
      <c r="D724" s="29"/>
      <c r="E724" s="29"/>
      <c r="F724" s="29"/>
      <c r="G724" s="29"/>
      <c r="H724" s="29"/>
    </row>
    <row r="725">
      <c r="A725" s="29"/>
      <c r="B725" s="29"/>
      <c r="C725" s="29"/>
      <c r="D725" s="29"/>
      <c r="E725" s="29"/>
      <c r="F725" s="29"/>
      <c r="G725" s="29"/>
      <c r="H725" s="29"/>
    </row>
    <row r="726">
      <c r="A726" s="29"/>
      <c r="B726" s="29"/>
      <c r="C726" s="29"/>
      <c r="D726" s="29"/>
      <c r="E726" s="29"/>
      <c r="F726" s="29"/>
      <c r="G726" s="29"/>
      <c r="H726" s="29"/>
    </row>
    <row r="727">
      <c r="A727" s="29"/>
      <c r="B727" s="29"/>
      <c r="C727" s="29"/>
      <c r="D727" s="29"/>
      <c r="E727" s="29"/>
      <c r="F727" s="29"/>
      <c r="G727" s="29"/>
      <c r="H727" s="29"/>
    </row>
    <row r="728">
      <c r="A728" s="29"/>
      <c r="B728" s="29"/>
      <c r="C728" s="29"/>
      <c r="D728" s="29"/>
      <c r="E728" s="29"/>
      <c r="F728" s="29"/>
      <c r="G728" s="29"/>
      <c r="H728" s="29"/>
    </row>
    <row r="729">
      <c r="A729" s="29"/>
      <c r="B729" s="29"/>
      <c r="C729" s="29"/>
      <c r="D729" s="29"/>
      <c r="E729" s="29"/>
      <c r="F729" s="29"/>
      <c r="G729" s="29"/>
      <c r="H729" s="29"/>
    </row>
    <row r="730">
      <c r="A730" s="29"/>
      <c r="B730" s="29"/>
      <c r="C730" s="29"/>
      <c r="D730" s="29"/>
      <c r="E730" s="29"/>
      <c r="F730" s="29"/>
      <c r="G730" s="29"/>
      <c r="H730" s="29"/>
    </row>
    <row r="731">
      <c r="A731" s="29"/>
      <c r="B731" s="29"/>
      <c r="C731" s="29"/>
      <c r="D731" s="29"/>
      <c r="E731" s="29"/>
      <c r="F731" s="29"/>
      <c r="G731" s="29"/>
      <c r="H731" s="29"/>
    </row>
    <row r="732">
      <c r="A732" s="29"/>
      <c r="B732" s="29"/>
      <c r="C732" s="29"/>
      <c r="D732" s="29"/>
      <c r="E732" s="29"/>
      <c r="F732" s="29"/>
      <c r="G732" s="29"/>
      <c r="H732" s="29"/>
    </row>
    <row r="733">
      <c r="A733" s="29"/>
      <c r="B733" s="29"/>
      <c r="C733" s="29"/>
      <c r="D733" s="29"/>
      <c r="E733" s="29"/>
      <c r="F733" s="29"/>
      <c r="G733" s="29"/>
      <c r="H733" s="29"/>
    </row>
    <row r="734">
      <c r="A734" s="29"/>
      <c r="B734" s="29"/>
      <c r="C734" s="29"/>
      <c r="D734" s="29"/>
      <c r="E734" s="29"/>
      <c r="F734" s="29"/>
      <c r="G734" s="29"/>
      <c r="H734" s="29"/>
    </row>
    <row r="735">
      <c r="A735" s="29"/>
      <c r="B735" s="29"/>
      <c r="C735" s="29"/>
      <c r="D735" s="29"/>
      <c r="E735" s="29"/>
      <c r="F735" s="29"/>
      <c r="G735" s="29"/>
      <c r="H735" s="29"/>
    </row>
    <row r="736">
      <c r="A736" s="29"/>
      <c r="B736" s="29"/>
      <c r="C736" s="29"/>
      <c r="D736" s="29"/>
      <c r="E736" s="29"/>
      <c r="F736" s="29"/>
      <c r="G736" s="29"/>
      <c r="H736" s="29"/>
    </row>
    <row r="737">
      <c r="A737" s="29"/>
      <c r="B737" s="29"/>
      <c r="C737" s="29"/>
      <c r="D737" s="29"/>
      <c r="E737" s="29"/>
      <c r="F737" s="29"/>
      <c r="G737" s="29"/>
      <c r="H737" s="29"/>
    </row>
    <row r="738">
      <c r="A738" s="29"/>
      <c r="B738" s="29"/>
      <c r="C738" s="29"/>
      <c r="D738" s="29"/>
      <c r="E738" s="29"/>
      <c r="F738" s="29"/>
      <c r="G738" s="29"/>
      <c r="H738" s="29"/>
    </row>
    <row r="739">
      <c r="A739" s="29"/>
      <c r="B739" s="29"/>
      <c r="C739" s="29"/>
      <c r="D739" s="29"/>
      <c r="E739" s="29"/>
      <c r="F739" s="29"/>
      <c r="G739" s="29"/>
      <c r="H739" s="29"/>
    </row>
    <row r="740">
      <c r="A740" s="29"/>
      <c r="B740" s="29"/>
      <c r="C740" s="29"/>
      <c r="D740" s="29"/>
      <c r="E740" s="29"/>
      <c r="F740" s="29"/>
      <c r="G740" s="29"/>
      <c r="H740" s="29"/>
    </row>
    <row r="741">
      <c r="A741" s="29"/>
      <c r="B741" s="29"/>
      <c r="C741" s="29"/>
      <c r="D741" s="29"/>
      <c r="E741" s="29"/>
      <c r="F741" s="29"/>
      <c r="G741" s="29"/>
      <c r="H741" s="29"/>
    </row>
    <row r="742">
      <c r="A742" s="29"/>
      <c r="B742" s="29"/>
      <c r="C742" s="29"/>
      <c r="D742" s="29"/>
      <c r="E742" s="29"/>
      <c r="F742" s="29"/>
      <c r="G742" s="29"/>
      <c r="H742" s="29"/>
    </row>
    <row r="743">
      <c r="A743" s="29"/>
      <c r="B743" s="29"/>
      <c r="C743" s="29"/>
      <c r="D743" s="29"/>
      <c r="E743" s="29"/>
      <c r="F743" s="29"/>
      <c r="G743" s="29"/>
      <c r="H743" s="29"/>
    </row>
    <row r="744">
      <c r="A744" s="29"/>
      <c r="B744" s="29"/>
      <c r="C744" s="29"/>
      <c r="D744" s="29"/>
      <c r="E744" s="29"/>
      <c r="F744" s="29"/>
      <c r="G744" s="29"/>
      <c r="H744" s="29"/>
    </row>
    <row r="745">
      <c r="A745" s="29"/>
      <c r="B745" s="29"/>
      <c r="C745" s="29"/>
      <c r="D745" s="29"/>
      <c r="E745" s="29"/>
      <c r="F745" s="29"/>
      <c r="G745" s="29"/>
      <c r="H745" s="29"/>
    </row>
    <row r="746">
      <c r="A746" s="29"/>
      <c r="B746" s="29"/>
      <c r="C746" s="29"/>
      <c r="D746" s="29"/>
      <c r="E746" s="29"/>
      <c r="F746" s="29"/>
      <c r="G746" s="29"/>
      <c r="H746" s="29"/>
    </row>
    <row r="747">
      <c r="A747" s="29"/>
      <c r="B747" s="29"/>
      <c r="C747" s="29"/>
      <c r="D747" s="29"/>
      <c r="E747" s="29"/>
      <c r="F747" s="29"/>
      <c r="G747" s="29"/>
      <c r="H747" s="29"/>
    </row>
    <row r="748">
      <c r="A748" s="29"/>
      <c r="B748" s="29"/>
      <c r="C748" s="29"/>
      <c r="D748" s="29"/>
      <c r="E748" s="29"/>
      <c r="F748" s="29"/>
      <c r="G748" s="29"/>
      <c r="H748" s="29"/>
    </row>
    <row r="749">
      <c r="A749" s="29"/>
      <c r="B749" s="29"/>
      <c r="C749" s="29"/>
      <c r="D749" s="29"/>
      <c r="E749" s="29"/>
      <c r="F749" s="29"/>
      <c r="G749" s="29"/>
      <c r="H749" s="29"/>
    </row>
    <row r="750">
      <c r="A750" s="29"/>
      <c r="B750" s="29"/>
      <c r="C750" s="29"/>
      <c r="D750" s="29"/>
      <c r="E750" s="29"/>
      <c r="F750" s="29"/>
      <c r="G750" s="29"/>
      <c r="H750" s="29"/>
    </row>
    <row r="751">
      <c r="A751" s="29"/>
      <c r="B751" s="29"/>
      <c r="C751" s="29"/>
      <c r="D751" s="29"/>
      <c r="E751" s="29"/>
      <c r="F751" s="29"/>
      <c r="G751" s="29"/>
      <c r="H751" s="29"/>
    </row>
    <row r="752">
      <c r="A752" s="29"/>
      <c r="B752" s="29"/>
      <c r="C752" s="29"/>
      <c r="D752" s="29"/>
      <c r="E752" s="29"/>
      <c r="F752" s="29"/>
      <c r="G752" s="29"/>
      <c r="H752" s="29"/>
    </row>
    <row r="753">
      <c r="A753" s="29"/>
      <c r="B753" s="29"/>
      <c r="C753" s="29"/>
      <c r="D753" s="29"/>
      <c r="E753" s="29"/>
      <c r="F753" s="29"/>
      <c r="G753" s="29"/>
      <c r="H753" s="29"/>
    </row>
    <row r="754">
      <c r="A754" s="29"/>
      <c r="B754" s="29"/>
      <c r="C754" s="29"/>
      <c r="D754" s="29"/>
      <c r="E754" s="29"/>
      <c r="F754" s="29"/>
      <c r="G754" s="29"/>
      <c r="H754" s="29"/>
    </row>
    <row r="755">
      <c r="A755" s="29"/>
      <c r="B755" s="29"/>
      <c r="C755" s="29"/>
      <c r="D755" s="29"/>
      <c r="E755" s="29"/>
      <c r="F755" s="29"/>
      <c r="G755" s="29"/>
      <c r="H755" s="29"/>
    </row>
    <row r="756">
      <c r="A756" s="29"/>
      <c r="B756" s="29"/>
      <c r="C756" s="29"/>
      <c r="D756" s="29"/>
      <c r="E756" s="29"/>
      <c r="F756" s="29"/>
      <c r="G756" s="29"/>
      <c r="H756" s="29"/>
    </row>
    <row r="757">
      <c r="A757" s="29"/>
      <c r="B757" s="29"/>
      <c r="C757" s="29"/>
      <c r="D757" s="29"/>
      <c r="E757" s="29"/>
      <c r="F757" s="29"/>
      <c r="G757" s="29"/>
      <c r="H757" s="29"/>
    </row>
    <row r="758">
      <c r="A758" s="29"/>
      <c r="B758" s="29"/>
      <c r="C758" s="29"/>
      <c r="D758" s="29"/>
      <c r="E758" s="29"/>
      <c r="F758" s="29"/>
      <c r="G758" s="29"/>
      <c r="H758" s="29"/>
    </row>
    <row r="759">
      <c r="A759" s="29"/>
      <c r="B759" s="29"/>
      <c r="C759" s="29"/>
      <c r="D759" s="29"/>
      <c r="E759" s="29"/>
      <c r="F759" s="29"/>
      <c r="G759" s="29"/>
      <c r="H759" s="29"/>
    </row>
    <row r="760">
      <c r="A760" s="29"/>
      <c r="B760" s="29"/>
      <c r="C760" s="29"/>
      <c r="D760" s="29"/>
      <c r="E760" s="29"/>
      <c r="F760" s="29"/>
      <c r="G760" s="29"/>
      <c r="H760" s="29"/>
    </row>
    <row r="761">
      <c r="A761" s="29"/>
      <c r="B761" s="29"/>
      <c r="C761" s="29"/>
      <c r="D761" s="29"/>
      <c r="E761" s="29"/>
      <c r="F761" s="29"/>
      <c r="G761" s="29"/>
      <c r="H761" s="29"/>
    </row>
    <row r="762">
      <c r="A762" s="29"/>
      <c r="B762" s="29"/>
      <c r="C762" s="29"/>
      <c r="D762" s="29"/>
      <c r="E762" s="29"/>
      <c r="F762" s="29"/>
      <c r="G762" s="29"/>
      <c r="H762" s="29"/>
    </row>
    <row r="763">
      <c r="A763" s="29"/>
      <c r="B763" s="29"/>
      <c r="C763" s="29"/>
      <c r="D763" s="29"/>
      <c r="E763" s="29"/>
      <c r="F763" s="29"/>
      <c r="G763" s="29"/>
      <c r="H763" s="29"/>
    </row>
    <row r="764">
      <c r="A764" s="29"/>
      <c r="B764" s="29"/>
      <c r="C764" s="29"/>
      <c r="D764" s="29"/>
      <c r="E764" s="29"/>
      <c r="F764" s="29"/>
      <c r="G764" s="29"/>
      <c r="H764" s="29"/>
    </row>
    <row r="765">
      <c r="A765" s="29"/>
      <c r="B765" s="29"/>
      <c r="C765" s="29"/>
      <c r="D765" s="29"/>
      <c r="E765" s="29"/>
      <c r="F765" s="29"/>
      <c r="G765" s="29"/>
      <c r="H765" s="29"/>
    </row>
    <row r="766">
      <c r="A766" s="29"/>
      <c r="B766" s="29"/>
      <c r="C766" s="29"/>
      <c r="D766" s="29"/>
      <c r="E766" s="29"/>
      <c r="F766" s="29"/>
      <c r="G766" s="29"/>
      <c r="H766" s="29"/>
    </row>
    <row r="767">
      <c r="A767" s="29"/>
      <c r="B767" s="29"/>
      <c r="C767" s="29"/>
      <c r="D767" s="29"/>
      <c r="E767" s="29"/>
      <c r="F767" s="29"/>
      <c r="G767" s="29"/>
      <c r="H767" s="29"/>
    </row>
    <row r="768">
      <c r="A768" s="29"/>
      <c r="B768" s="29"/>
      <c r="C768" s="29"/>
      <c r="D768" s="29"/>
      <c r="E768" s="29"/>
      <c r="F768" s="29"/>
      <c r="G768" s="29"/>
      <c r="H768" s="29"/>
    </row>
    <row r="769">
      <c r="A769" s="29"/>
      <c r="B769" s="29"/>
      <c r="C769" s="29"/>
      <c r="D769" s="29"/>
      <c r="E769" s="29"/>
      <c r="F769" s="29"/>
      <c r="G769" s="29"/>
      <c r="H769" s="29"/>
    </row>
    <row r="770">
      <c r="A770" s="29"/>
      <c r="B770" s="29"/>
      <c r="C770" s="29"/>
      <c r="D770" s="29"/>
      <c r="E770" s="29"/>
      <c r="F770" s="29"/>
      <c r="G770" s="29"/>
      <c r="H770" s="29"/>
    </row>
    <row r="771">
      <c r="A771" s="29"/>
      <c r="B771" s="29"/>
      <c r="C771" s="29"/>
      <c r="D771" s="29"/>
      <c r="E771" s="29"/>
      <c r="F771" s="29"/>
      <c r="G771" s="29"/>
      <c r="H771" s="29"/>
    </row>
    <row r="772">
      <c r="A772" s="29"/>
      <c r="B772" s="29"/>
      <c r="C772" s="29"/>
      <c r="D772" s="29"/>
      <c r="E772" s="29"/>
      <c r="F772" s="29"/>
      <c r="G772" s="29"/>
      <c r="H772" s="29"/>
    </row>
    <row r="773">
      <c r="A773" s="29"/>
      <c r="B773" s="29"/>
      <c r="C773" s="29"/>
      <c r="D773" s="29"/>
      <c r="E773" s="29"/>
      <c r="F773" s="29"/>
      <c r="G773" s="29"/>
      <c r="H773" s="29"/>
    </row>
    <row r="774">
      <c r="A774" s="29"/>
      <c r="B774" s="29"/>
      <c r="C774" s="29"/>
      <c r="D774" s="29"/>
      <c r="E774" s="29"/>
      <c r="F774" s="29"/>
      <c r="G774" s="29"/>
      <c r="H774" s="29"/>
    </row>
    <row r="775">
      <c r="A775" s="29"/>
      <c r="B775" s="29"/>
      <c r="C775" s="29"/>
      <c r="D775" s="29"/>
      <c r="E775" s="29"/>
      <c r="F775" s="29"/>
      <c r="G775" s="29"/>
      <c r="H775" s="29"/>
    </row>
    <row r="776">
      <c r="A776" s="29"/>
      <c r="B776" s="29"/>
      <c r="C776" s="29"/>
      <c r="D776" s="29"/>
      <c r="E776" s="29"/>
      <c r="F776" s="29"/>
      <c r="G776" s="29"/>
      <c r="H776" s="29"/>
    </row>
    <row r="777">
      <c r="A777" s="29"/>
      <c r="B777" s="29"/>
      <c r="C777" s="29"/>
      <c r="D777" s="29"/>
      <c r="E777" s="29"/>
      <c r="F777" s="29"/>
      <c r="G777" s="29"/>
      <c r="H777" s="29"/>
    </row>
    <row r="778">
      <c r="A778" s="29"/>
      <c r="B778" s="29"/>
      <c r="C778" s="29"/>
      <c r="D778" s="29"/>
      <c r="E778" s="29"/>
      <c r="F778" s="29"/>
      <c r="G778" s="29"/>
      <c r="H778" s="29"/>
    </row>
    <row r="779">
      <c r="A779" s="29"/>
      <c r="B779" s="29"/>
      <c r="C779" s="29"/>
      <c r="D779" s="29"/>
      <c r="E779" s="29"/>
      <c r="F779" s="29"/>
      <c r="G779" s="29"/>
      <c r="H779" s="29"/>
    </row>
    <row r="780">
      <c r="A780" s="29"/>
      <c r="B780" s="29"/>
      <c r="C780" s="29"/>
      <c r="D780" s="29"/>
      <c r="E780" s="29"/>
      <c r="F780" s="29"/>
      <c r="G780" s="29"/>
      <c r="H780" s="29"/>
    </row>
    <row r="781">
      <c r="A781" s="29"/>
      <c r="B781" s="29"/>
      <c r="C781" s="29"/>
      <c r="D781" s="29"/>
      <c r="E781" s="29"/>
      <c r="F781" s="29"/>
      <c r="G781" s="29"/>
      <c r="H781" s="29"/>
    </row>
    <row r="782">
      <c r="A782" s="29"/>
      <c r="B782" s="29"/>
      <c r="C782" s="29"/>
      <c r="D782" s="29"/>
      <c r="E782" s="29"/>
      <c r="F782" s="29"/>
      <c r="G782" s="29"/>
      <c r="H782" s="29"/>
    </row>
    <row r="783">
      <c r="A783" s="29"/>
      <c r="B783" s="29"/>
      <c r="C783" s="29"/>
      <c r="D783" s="29"/>
      <c r="E783" s="29"/>
      <c r="F783" s="29"/>
      <c r="G783" s="29"/>
      <c r="H783" s="29"/>
    </row>
    <row r="784">
      <c r="A784" s="29"/>
      <c r="B784" s="29"/>
      <c r="C784" s="29"/>
      <c r="D784" s="29"/>
      <c r="E784" s="29"/>
      <c r="F784" s="29"/>
      <c r="G784" s="29"/>
      <c r="H784" s="29"/>
    </row>
    <row r="785">
      <c r="A785" s="29"/>
      <c r="B785" s="29"/>
      <c r="C785" s="29"/>
      <c r="D785" s="29"/>
      <c r="E785" s="29"/>
      <c r="F785" s="29"/>
      <c r="G785" s="29"/>
      <c r="H785" s="29"/>
    </row>
    <row r="786">
      <c r="A786" s="29"/>
      <c r="B786" s="29"/>
      <c r="C786" s="29"/>
      <c r="D786" s="29"/>
      <c r="E786" s="29"/>
      <c r="F786" s="29"/>
      <c r="G786" s="29"/>
      <c r="H786" s="29"/>
    </row>
    <row r="787">
      <c r="A787" s="29"/>
      <c r="B787" s="29"/>
      <c r="C787" s="29"/>
      <c r="D787" s="29"/>
      <c r="E787" s="29"/>
      <c r="F787" s="29"/>
      <c r="G787" s="29"/>
      <c r="H787" s="29"/>
    </row>
    <row r="788">
      <c r="A788" s="29"/>
      <c r="B788" s="29"/>
      <c r="C788" s="29"/>
      <c r="D788" s="29"/>
      <c r="E788" s="29"/>
      <c r="F788" s="29"/>
      <c r="G788" s="29"/>
      <c r="H788" s="29"/>
    </row>
    <row r="789">
      <c r="A789" s="29"/>
      <c r="B789" s="29"/>
      <c r="C789" s="29"/>
      <c r="D789" s="29"/>
      <c r="E789" s="29"/>
      <c r="F789" s="29"/>
      <c r="G789" s="29"/>
      <c r="H789" s="29"/>
    </row>
    <row r="790">
      <c r="A790" s="29"/>
      <c r="B790" s="29"/>
      <c r="C790" s="29"/>
      <c r="D790" s="29"/>
      <c r="E790" s="29"/>
      <c r="F790" s="29"/>
      <c r="G790" s="29"/>
      <c r="H790" s="29"/>
    </row>
    <row r="791">
      <c r="A791" s="29"/>
      <c r="B791" s="29"/>
      <c r="C791" s="29"/>
      <c r="D791" s="29"/>
      <c r="E791" s="29"/>
      <c r="F791" s="29"/>
      <c r="G791" s="29"/>
      <c r="H791" s="29"/>
    </row>
    <row r="792">
      <c r="A792" s="29"/>
      <c r="B792" s="29"/>
      <c r="C792" s="29"/>
      <c r="D792" s="29"/>
      <c r="E792" s="29"/>
      <c r="F792" s="29"/>
      <c r="G792" s="29"/>
      <c r="H792" s="29"/>
    </row>
    <row r="793">
      <c r="A793" s="29"/>
      <c r="B793" s="29"/>
      <c r="C793" s="29"/>
      <c r="D793" s="29"/>
      <c r="E793" s="29"/>
      <c r="F793" s="29"/>
      <c r="G793" s="29"/>
      <c r="H793" s="29"/>
    </row>
    <row r="794">
      <c r="A794" s="29"/>
      <c r="B794" s="29"/>
      <c r="C794" s="29"/>
      <c r="D794" s="29"/>
      <c r="E794" s="29"/>
      <c r="F794" s="29"/>
      <c r="G794" s="29"/>
      <c r="H794" s="29"/>
    </row>
    <row r="795">
      <c r="A795" s="29"/>
      <c r="B795" s="29"/>
      <c r="C795" s="29"/>
      <c r="D795" s="29"/>
      <c r="E795" s="29"/>
      <c r="F795" s="29"/>
      <c r="G795" s="29"/>
      <c r="H795" s="29"/>
    </row>
    <row r="796">
      <c r="A796" s="29"/>
      <c r="B796" s="29"/>
      <c r="C796" s="29"/>
      <c r="D796" s="29"/>
      <c r="E796" s="29"/>
      <c r="F796" s="29"/>
      <c r="G796" s="29"/>
      <c r="H796" s="29"/>
    </row>
    <row r="797">
      <c r="A797" s="29"/>
      <c r="B797" s="29"/>
      <c r="C797" s="29"/>
      <c r="D797" s="29"/>
      <c r="E797" s="29"/>
      <c r="F797" s="29"/>
      <c r="G797" s="29"/>
      <c r="H797" s="29"/>
    </row>
    <row r="798">
      <c r="A798" s="29"/>
      <c r="B798" s="29"/>
      <c r="C798" s="29"/>
      <c r="D798" s="29"/>
      <c r="E798" s="29"/>
      <c r="F798" s="29"/>
      <c r="G798" s="29"/>
      <c r="H798" s="29"/>
    </row>
    <row r="799">
      <c r="A799" s="29"/>
      <c r="B799" s="29"/>
      <c r="C799" s="29"/>
      <c r="D799" s="29"/>
      <c r="E799" s="29"/>
      <c r="F799" s="29"/>
      <c r="G799" s="29"/>
      <c r="H799" s="29"/>
    </row>
    <row r="800">
      <c r="A800" s="29"/>
      <c r="B800" s="29"/>
      <c r="C800" s="29"/>
      <c r="D800" s="29"/>
      <c r="E800" s="29"/>
      <c r="F800" s="29"/>
      <c r="G800" s="29"/>
      <c r="H800" s="29"/>
    </row>
    <row r="801">
      <c r="A801" s="29"/>
      <c r="B801" s="29"/>
      <c r="C801" s="29"/>
      <c r="D801" s="29"/>
      <c r="E801" s="29"/>
      <c r="F801" s="29"/>
      <c r="G801" s="29"/>
      <c r="H801" s="29"/>
    </row>
    <row r="802">
      <c r="A802" s="29"/>
      <c r="B802" s="29"/>
      <c r="C802" s="29"/>
      <c r="D802" s="29"/>
      <c r="E802" s="29"/>
      <c r="F802" s="29"/>
      <c r="G802" s="29"/>
      <c r="H802" s="29"/>
    </row>
    <row r="803">
      <c r="A803" s="29"/>
      <c r="B803" s="29"/>
      <c r="C803" s="29"/>
      <c r="D803" s="29"/>
      <c r="E803" s="29"/>
      <c r="F803" s="29"/>
      <c r="G803" s="29"/>
      <c r="H803" s="29"/>
    </row>
    <row r="804">
      <c r="A804" s="29"/>
      <c r="B804" s="29"/>
      <c r="C804" s="29"/>
      <c r="D804" s="29"/>
      <c r="E804" s="29"/>
      <c r="F804" s="29"/>
      <c r="G804" s="29"/>
      <c r="H804" s="29"/>
    </row>
    <row r="805">
      <c r="A805" s="29"/>
      <c r="B805" s="29"/>
      <c r="C805" s="29"/>
      <c r="D805" s="29"/>
      <c r="E805" s="29"/>
      <c r="F805" s="29"/>
      <c r="G805" s="29"/>
      <c r="H805" s="29"/>
    </row>
    <row r="806">
      <c r="A806" s="29"/>
      <c r="B806" s="29"/>
      <c r="C806" s="29"/>
      <c r="D806" s="29"/>
      <c r="E806" s="29"/>
      <c r="F806" s="29"/>
      <c r="G806" s="29"/>
      <c r="H806" s="29"/>
    </row>
    <row r="807">
      <c r="A807" s="29"/>
      <c r="B807" s="29"/>
      <c r="C807" s="29"/>
      <c r="D807" s="29"/>
      <c r="E807" s="29"/>
      <c r="F807" s="29"/>
      <c r="G807" s="29"/>
      <c r="H807" s="29"/>
    </row>
    <row r="808">
      <c r="A808" s="29"/>
      <c r="B808" s="29"/>
      <c r="C808" s="29"/>
      <c r="D808" s="29"/>
      <c r="E808" s="29"/>
      <c r="F808" s="29"/>
      <c r="G808" s="29"/>
      <c r="H808" s="29"/>
    </row>
    <row r="809">
      <c r="A809" s="29"/>
      <c r="B809" s="29"/>
      <c r="C809" s="29"/>
      <c r="D809" s="29"/>
      <c r="E809" s="29"/>
      <c r="F809" s="29"/>
      <c r="G809" s="29"/>
      <c r="H809" s="29"/>
    </row>
    <row r="810">
      <c r="A810" s="29"/>
      <c r="B810" s="29"/>
      <c r="C810" s="29"/>
      <c r="D810" s="29"/>
      <c r="E810" s="29"/>
      <c r="F810" s="29"/>
      <c r="G810" s="29"/>
      <c r="H810" s="29"/>
    </row>
    <row r="811">
      <c r="A811" s="29"/>
      <c r="B811" s="29"/>
      <c r="C811" s="29"/>
      <c r="D811" s="29"/>
      <c r="E811" s="29"/>
      <c r="F811" s="29"/>
      <c r="G811" s="29"/>
      <c r="H811" s="29"/>
    </row>
    <row r="812">
      <c r="A812" s="29"/>
      <c r="B812" s="29"/>
      <c r="C812" s="29"/>
      <c r="D812" s="29"/>
      <c r="E812" s="29"/>
      <c r="F812" s="29"/>
      <c r="G812" s="29"/>
      <c r="H812" s="29"/>
    </row>
    <row r="813">
      <c r="A813" s="29"/>
      <c r="B813" s="29"/>
      <c r="C813" s="29"/>
      <c r="D813" s="29"/>
      <c r="E813" s="29"/>
      <c r="F813" s="29"/>
      <c r="G813" s="29"/>
      <c r="H813" s="29"/>
    </row>
    <row r="814">
      <c r="A814" s="29"/>
      <c r="B814" s="29"/>
      <c r="C814" s="29"/>
      <c r="D814" s="29"/>
      <c r="E814" s="29"/>
      <c r="F814" s="29"/>
      <c r="G814" s="29"/>
      <c r="H814" s="29"/>
    </row>
    <row r="815">
      <c r="A815" s="29"/>
      <c r="B815" s="29"/>
      <c r="C815" s="29"/>
      <c r="D815" s="29"/>
      <c r="E815" s="29"/>
      <c r="F815" s="29"/>
      <c r="G815" s="29"/>
      <c r="H815" s="29"/>
    </row>
    <row r="816">
      <c r="A816" s="29"/>
      <c r="B816" s="29"/>
      <c r="C816" s="29"/>
      <c r="D816" s="29"/>
      <c r="E816" s="29"/>
      <c r="F816" s="29"/>
      <c r="G816" s="29"/>
      <c r="H816" s="29"/>
    </row>
    <row r="817">
      <c r="A817" s="29"/>
      <c r="B817" s="29"/>
      <c r="C817" s="29"/>
      <c r="D817" s="29"/>
      <c r="E817" s="29"/>
      <c r="F817" s="29"/>
      <c r="G817" s="29"/>
      <c r="H817" s="29"/>
    </row>
    <row r="818">
      <c r="A818" s="29"/>
      <c r="B818" s="29"/>
      <c r="C818" s="29"/>
      <c r="D818" s="29"/>
      <c r="E818" s="29"/>
      <c r="F818" s="29"/>
      <c r="G818" s="29"/>
      <c r="H818" s="29"/>
    </row>
    <row r="819">
      <c r="A819" s="29"/>
      <c r="B819" s="29"/>
      <c r="C819" s="29"/>
      <c r="D819" s="29"/>
      <c r="E819" s="29"/>
      <c r="F819" s="29"/>
      <c r="G819" s="29"/>
      <c r="H819" s="29"/>
    </row>
    <row r="820">
      <c r="A820" s="29"/>
      <c r="B820" s="29"/>
      <c r="C820" s="29"/>
      <c r="D820" s="29"/>
      <c r="E820" s="29"/>
      <c r="F820" s="29"/>
      <c r="G820" s="29"/>
      <c r="H820" s="29"/>
    </row>
    <row r="821">
      <c r="A821" s="29"/>
      <c r="B821" s="29"/>
      <c r="C821" s="29"/>
      <c r="D821" s="29"/>
      <c r="E821" s="29"/>
      <c r="F821" s="29"/>
      <c r="G821" s="29"/>
      <c r="H821" s="29"/>
    </row>
    <row r="822">
      <c r="A822" s="29"/>
      <c r="B822" s="29"/>
      <c r="C822" s="29"/>
      <c r="D822" s="29"/>
      <c r="E822" s="29"/>
      <c r="F822" s="29"/>
      <c r="G822" s="29"/>
      <c r="H822" s="29"/>
    </row>
    <row r="823">
      <c r="A823" s="29"/>
      <c r="B823" s="29"/>
      <c r="C823" s="29"/>
      <c r="D823" s="29"/>
      <c r="E823" s="29"/>
      <c r="F823" s="29"/>
      <c r="G823" s="29"/>
      <c r="H823" s="29"/>
    </row>
    <row r="824">
      <c r="A824" s="29"/>
      <c r="B824" s="29"/>
      <c r="C824" s="29"/>
      <c r="D824" s="29"/>
      <c r="E824" s="29"/>
      <c r="F824" s="29"/>
      <c r="G824" s="29"/>
      <c r="H824" s="29"/>
    </row>
    <row r="825">
      <c r="A825" s="29"/>
      <c r="B825" s="29"/>
      <c r="C825" s="29"/>
      <c r="D825" s="29"/>
      <c r="E825" s="29"/>
      <c r="F825" s="29"/>
      <c r="G825" s="29"/>
      <c r="H825" s="29"/>
    </row>
    <row r="826">
      <c r="A826" s="29"/>
      <c r="B826" s="29"/>
      <c r="C826" s="29"/>
      <c r="D826" s="29"/>
      <c r="E826" s="29"/>
      <c r="F826" s="29"/>
      <c r="G826" s="29"/>
      <c r="H826" s="29"/>
    </row>
    <row r="827">
      <c r="A827" s="29"/>
      <c r="B827" s="29"/>
      <c r="C827" s="29"/>
      <c r="D827" s="29"/>
      <c r="E827" s="29"/>
      <c r="F827" s="29"/>
      <c r="G827" s="29"/>
      <c r="H827" s="29"/>
    </row>
    <row r="828">
      <c r="A828" s="29"/>
      <c r="B828" s="29"/>
      <c r="C828" s="29"/>
      <c r="D828" s="29"/>
      <c r="E828" s="29"/>
      <c r="F828" s="29"/>
      <c r="G828" s="29"/>
      <c r="H828" s="29"/>
    </row>
    <row r="829">
      <c r="A829" s="29"/>
      <c r="B829" s="29"/>
      <c r="C829" s="29"/>
      <c r="D829" s="29"/>
      <c r="E829" s="29"/>
      <c r="F829" s="29"/>
      <c r="G829" s="29"/>
      <c r="H829" s="29"/>
    </row>
    <row r="830">
      <c r="A830" s="29"/>
      <c r="B830" s="29"/>
      <c r="C830" s="29"/>
      <c r="D830" s="29"/>
      <c r="E830" s="29"/>
      <c r="F830" s="29"/>
      <c r="G830" s="29"/>
      <c r="H830" s="29"/>
    </row>
    <row r="831">
      <c r="A831" s="29"/>
      <c r="B831" s="29"/>
      <c r="C831" s="29"/>
      <c r="D831" s="29"/>
      <c r="E831" s="29"/>
      <c r="F831" s="29"/>
      <c r="G831" s="29"/>
      <c r="H831" s="29"/>
    </row>
    <row r="832">
      <c r="A832" s="29"/>
      <c r="B832" s="29"/>
      <c r="C832" s="29"/>
      <c r="D832" s="29"/>
      <c r="E832" s="29"/>
      <c r="F832" s="29"/>
      <c r="G832" s="29"/>
      <c r="H832" s="29"/>
    </row>
    <row r="833">
      <c r="A833" s="29"/>
      <c r="B833" s="29"/>
      <c r="C833" s="29"/>
      <c r="D833" s="29"/>
      <c r="E833" s="29"/>
      <c r="F833" s="29"/>
      <c r="G833" s="29"/>
      <c r="H833" s="29"/>
    </row>
    <row r="834">
      <c r="A834" s="29"/>
      <c r="B834" s="29"/>
      <c r="C834" s="29"/>
      <c r="D834" s="29"/>
      <c r="E834" s="29"/>
      <c r="F834" s="29"/>
      <c r="G834" s="29"/>
      <c r="H834" s="29"/>
    </row>
    <row r="835">
      <c r="A835" s="29"/>
      <c r="B835" s="29"/>
      <c r="C835" s="29"/>
      <c r="D835" s="29"/>
      <c r="E835" s="29"/>
      <c r="F835" s="29"/>
      <c r="G835" s="29"/>
      <c r="H835" s="29"/>
    </row>
    <row r="836">
      <c r="A836" s="29"/>
      <c r="B836" s="29"/>
      <c r="C836" s="29"/>
      <c r="D836" s="29"/>
      <c r="E836" s="29"/>
      <c r="F836" s="29"/>
      <c r="G836" s="29"/>
      <c r="H836" s="29"/>
    </row>
    <row r="837">
      <c r="A837" s="29"/>
      <c r="B837" s="29"/>
      <c r="C837" s="29"/>
      <c r="D837" s="29"/>
      <c r="E837" s="29"/>
      <c r="F837" s="29"/>
      <c r="G837" s="29"/>
      <c r="H837" s="29"/>
    </row>
    <row r="838">
      <c r="A838" s="29"/>
      <c r="B838" s="29"/>
      <c r="C838" s="29"/>
      <c r="D838" s="29"/>
      <c r="E838" s="29"/>
      <c r="F838" s="29"/>
      <c r="G838" s="29"/>
      <c r="H838" s="29"/>
    </row>
    <row r="839">
      <c r="A839" s="29"/>
      <c r="B839" s="29"/>
      <c r="C839" s="29"/>
      <c r="D839" s="29"/>
      <c r="E839" s="29"/>
      <c r="F839" s="29"/>
      <c r="G839" s="29"/>
      <c r="H839" s="29"/>
    </row>
    <row r="840">
      <c r="A840" s="29"/>
      <c r="B840" s="29"/>
      <c r="C840" s="29"/>
      <c r="D840" s="29"/>
      <c r="E840" s="29"/>
      <c r="F840" s="29"/>
      <c r="G840" s="29"/>
      <c r="H840" s="29"/>
    </row>
    <row r="841">
      <c r="A841" s="29"/>
      <c r="B841" s="29"/>
      <c r="C841" s="29"/>
      <c r="D841" s="29"/>
      <c r="E841" s="29"/>
      <c r="F841" s="29"/>
      <c r="G841" s="29"/>
      <c r="H841" s="29"/>
    </row>
    <row r="842">
      <c r="A842" s="29"/>
      <c r="B842" s="29"/>
      <c r="C842" s="29"/>
      <c r="D842" s="29"/>
      <c r="E842" s="29"/>
      <c r="F842" s="29"/>
      <c r="G842" s="29"/>
      <c r="H842" s="29"/>
    </row>
    <row r="843">
      <c r="A843" s="29"/>
      <c r="B843" s="29"/>
      <c r="C843" s="29"/>
      <c r="D843" s="29"/>
      <c r="E843" s="29"/>
      <c r="F843" s="29"/>
      <c r="G843" s="29"/>
      <c r="H843" s="29"/>
    </row>
    <row r="844">
      <c r="A844" s="29"/>
      <c r="B844" s="29"/>
      <c r="C844" s="29"/>
      <c r="D844" s="29"/>
      <c r="E844" s="29"/>
      <c r="F844" s="29"/>
      <c r="G844" s="29"/>
      <c r="H844" s="29"/>
    </row>
    <row r="845">
      <c r="A845" s="29"/>
      <c r="B845" s="29"/>
      <c r="C845" s="29"/>
      <c r="D845" s="29"/>
      <c r="E845" s="29"/>
      <c r="F845" s="29"/>
      <c r="G845" s="29"/>
      <c r="H845" s="29"/>
    </row>
    <row r="846">
      <c r="A846" s="29"/>
      <c r="B846" s="29"/>
      <c r="C846" s="29"/>
      <c r="D846" s="29"/>
      <c r="E846" s="29"/>
      <c r="F846" s="29"/>
      <c r="G846" s="29"/>
      <c r="H846" s="29"/>
    </row>
    <row r="847">
      <c r="A847" s="29"/>
      <c r="B847" s="29"/>
      <c r="C847" s="29"/>
      <c r="D847" s="29"/>
      <c r="E847" s="29"/>
      <c r="F847" s="29"/>
      <c r="G847" s="29"/>
      <c r="H847" s="29"/>
    </row>
    <row r="848">
      <c r="A848" s="29"/>
      <c r="B848" s="29"/>
      <c r="C848" s="29"/>
      <c r="D848" s="29"/>
      <c r="E848" s="29"/>
      <c r="F848" s="29"/>
      <c r="G848" s="29"/>
      <c r="H848" s="29"/>
    </row>
    <row r="849">
      <c r="A849" s="29"/>
      <c r="B849" s="29"/>
      <c r="C849" s="29"/>
      <c r="D849" s="29"/>
      <c r="E849" s="29"/>
      <c r="F849" s="29"/>
      <c r="G849" s="29"/>
      <c r="H849" s="29"/>
    </row>
    <row r="850">
      <c r="A850" s="29"/>
      <c r="B850" s="29"/>
      <c r="C850" s="29"/>
      <c r="D850" s="29"/>
      <c r="E850" s="29"/>
      <c r="F850" s="29"/>
      <c r="G850" s="29"/>
      <c r="H850" s="29"/>
    </row>
    <row r="851">
      <c r="A851" s="29"/>
      <c r="B851" s="29"/>
      <c r="C851" s="29"/>
      <c r="D851" s="29"/>
      <c r="E851" s="29"/>
      <c r="F851" s="29"/>
      <c r="G851" s="29"/>
      <c r="H851" s="29"/>
    </row>
    <row r="852">
      <c r="A852" s="29"/>
      <c r="B852" s="29"/>
      <c r="C852" s="29"/>
      <c r="D852" s="29"/>
      <c r="E852" s="29"/>
      <c r="F852" s="29"/>
      <c r="G852" s="29"/>
      <c r="H852" s="29"/>
    </row>
    <row r="853">
      <c r="A853" s="29"/>
      <c r="B853" s="29"/>
      <c r="C853" s="29"/>
      <c r="D853" s="29"/>
      <c r="E853" s="29"/>
      <c r="F853" s="29"/>
      <c r="G853" s="29"/>
      <c r="H853" s="29"/>
    </row>
    <row r="854">
      <c r="A854" s="29"/>
      <c r="B854" s="29"/>
      <c r="C854" s="29"/>
      <c r="D854" s="29"/>
      <c r="E854" s="29"/>
      <c r="F854" s="29"/>
      <c r="G854" s="29"/>
      <c r="H854" s="29"/>
    </row>
    <row r="855">
      <c r="A855" s="29"/>
      <c r="B855" s="29"/>
      <c r="C855" s="29"/>
      <c r="D855" s="29"/>
      <c r="E855" s="29"/>
      <c r="F855" s="29"/>
      <c r="G855" s="29"/>
      <c r="H855" s="29"/>
    </row>
    <row r="856">
      <c r="A856" s="29"/>
      <c r="B856" s="29"/>
      <c r="C856" s="29"/>
      <c r="D856" s="29"/>
      <c r="E856" s="29"/>
      <c r="F856" s="29"/>
      <c r="G856" s="29"/>
      <c r="H856" s="29"/>
    </row>
    <row r="857">
      <c r="A857" s="29"/>
      <c r="B857" s="29"/>
      <c r="C857" s="29"/>
      <c r="D857" s="29"/>
      <c r="E857" s="29"/>
      <c r="F857" s="29"/>
      <c r="G857" s="29"/>
      <c r="H857" s="29"/>
    </row>
    <row r="858">
      <c r="A858" s="29"/>
      <c r="B858" s="29"/>
      <c r="C858" s="29"/>
      <c r="D858" s="29"/>
      <c r="E858" s="29"/>
      <c r="F858" s="29"/>
      <c r="G858" s="29"/>
      <c r="H858" s="29"/>
    </row>
    <row r="859">
      <c r="A859" s="29"/>
      <c r="B859" s="29"/>
      <c r="C859" s="29"/>
      <c r="D859" s="29"/>
      <c r="E859" s="29"/>
      <c r="F859" s="29"/>
      <c r="G859" s="29"/>
      <c r="H859" s="29"/>
    </row>
    <row r="860">
      <c r="A860" s="29"/>
      <c r="B860" s="29"/>
      <c r="C860" s="29"/>
      <c r="D860" s="29"/>
      <c r="E860" s="29"/>
      <c r="F860" s="29"/>
      <c r="G860" s="29"/>
      <c r="H860" s="29"/>
    </row>
    <row r="861">
      <c r="A861" s="29"/>
      <c r="B861" s="29"/>
      <c r="C861" s="29"/>
      <c r="D861" s="29"/>
      <c r="E861" s="29"/>
      <c r="F861" s="29"/>
      <c r="G861" s="29"/>
      <c r="H861" s="29"/>
    </row>
    <row r="862">
      <c r="A862" s="29"/>
      <c r="B862" s="29"/>
      <c r="C862" s="29"/>
      <c r="D862" s="29"/>
      <c r="E862" s="29"/>
      <c r="F862" s="29"/>
      <c r="G862" s="29"/>
      <c r="H862" s="29"/>
    </row>
    <row r="863">
      <c r="A863" s="29"/>
      <c r="B863" s="29"/>
      <c r="C863" s="29"/>
      <c r="D863" s="29"/>
      <c r="E863" s="29"/>
      <c r="F863" s="29"/>
      <c r="G863" s="29"/>
      <c r="H863" s="29"/>
    </row>
    <row r="864">
      <c r="A864" s="29"/>
      <c r="B864" s="29"/>
      <c r="C864" s="29"/>
      <c r="D864" s="29"/>
      <c r="E864" s="29"/>
      <c r="F864" s="29"/>
      <c r="G864" s="29"/>
      <c r="H864" s="29"/>
    </row>
    <row r="865">
      <c r="A865" s="29"/>
      <c r="B865" s="29"/>
      <c r="C865" s="29"/>
      <c r="D865" s="29"/>
      <c r="E865" s="29"/>
      <c r="F865" s="29"/>
      <c r="G865" s="29"/>
      <c r="H865" s="29"/>
    </row>
    <row r="866">
      <c r="A866" s="29"/>
      <c r="B866" s="29"/>
      <c r="C866" s="29"/>
      <c r="D866" s="29"/>
      <c r="E866" s="29"/>
      <c r="F866" s="29"/>
      <c r="G866" s="29"/>
      <c r="H866" s="29"/>
    </row>
    <row r="867">
      <c r="A867" s="29"/>
      <c r="B867" s="29"/>
      <c r="C867" s="29"/>
      <c r="D867" s="29"/>
      <c r="E867" s="29"/>
      <c r="F867" s="29"/>
      <c r="G867" s="29"/>
      <c r="H867" s="29"/>
    </row>
    <row r="868">
      <c r="A868" s="29"/>
      <c r="B868" s="29"/>
      <c r="C868" s="29"/>
      <c r="D868" s="29"/>
      <c r="E868" s="29"/>
      <c r="F868" s="29"/>
      <c r="G868" s="29"/>
      <c r="H868" s="29"/>
    </row>
    <row r="869">
      <c r="A869" s="29"/>
      <c r="B869" s="29"/>
      <c r="C869" s="29"/>
      <c r="D869" s="29"/>
      <c r="E869" s="29"/>
      <c r="F869" s="29"/>
      <c r="G869" s="29"/>
      <c r="H869" s="29"/>
    </row>
    <row r="870">
      <c r="A870" s="29"/>
      <c r="B870" s="29"/>
      <c r="C870" s="29"/>
      <c r="D870" s="29"/>
      <c r="E870" s="29"/>
      <c r="F870" s="29"/>
      <c r="G870" s="29"/>
      <c r="H870" s="29"/>
    </row>
    <row r="871">
      <c r="A871" s="29"/>
      <c r="B871" s="29"/>
      <c r="C871" s="29"/>
      <c r="D871" s="29"/>
      <c r="E871" s="29"/>
      <c r="F871" s="29"/>
      <c r="G871" s="29"/>
      <c r="H871" s="29"/>
    </row>
    <row r="872">
      <c r="A872" s="29"/>
      <c r="B872" s="29"/>
      <c r="C872" s="29"/>
      <c r="D872" s="29"/>
      <c r="E872" s="29"/>
      <c r="F872" s="29"/>
      <c r="G872" s="29"/>
      <c r="H872" s="29"/>
    </row>
    <row r="873">
      <c r="A873" s="29"/>
      <c r="B873" s="29"/>
      <c r="C873" s="29"/>
      <c r="D873" s="29"/>
      <c r="E873" s="29"/>
      <c r="F873" s="29"/>
      <c r="G873" s="29"/>
      <c r="H873" s="29"/>
    </row>
    <row r="874">
      <c r="A874" s="29"/>
      <c r="B874" s="29"/>
      <c r="C874" s="29"/>
      <c r="D874" s="29"/>
      <c r="E874" s="29"/>
      <c r="F874" s="29"/>
      <c r="G874" s="29"/>
      <c r="H874" s="29"/>
    </row>
    <row r="875">
      <c r="A875" s="29"/>
      <c r="B875" s="29"/>
      <c r="C875" s="29"/>
      <c r="D875" s="29"/>
      <c r="E875" s="29"/>
      <c r="F875" s="29"/>
      <c r="G875" s="29"/>
      <c r="H875" s="29"/>
    </row>
    <row r="876">
      <c r="A876" s="29"/>
      <c r="B876" s="29"/>
      <c r="C876" s="29"/>
      <c r="D876" s="29"/>
      <c r="E876" s="29"/>
      <c r="F876" s="29"/>
      <c r="G876" s="29"/>
      <c r="H876" s="29"/>
    </row>
    <row r="877">
      <c r="A877" s="29"/>
      <c r="B877" s="29"/>
      <c r="C877" s="29"/>
      <c r="D877" s="29"/>
      <c r="E877" s="29"/>
      <c r="F877" s="29"/>
      <c r="G877" s="29"/>
      <c r="H877" s="29"/>
    </row>
    <row r="878">
      <c r="A878" s="29"/>
      <c r="B878" s="29"/>
      <c r="C878" s="29"/>
      <c r="D878" s="29"/>
      <c r="E878" s="29"/>
      <c r="F878" s="29"/>
      <c r="G878" s="29"/>
      <c r="H878" s="29"/>
    </row>
    <row r="879">
      <c r="A879" s="29"/>
      <c r="B879" s="29"/>
      <c r="C879" s="29"/>
      <c r="D879" s="29"/>
      <c r="E879" s="29"/>
      <c r="F879" s="29"/>
      <c r="G879" s="29"/>
      <c r="H879" s="29"/>
    </row>
    <row r="880">
      <c r="A880" s="29"/>
      <c r="B880" s="29"/>
      <c r="C880" s="29"/>
      <c r="D880" s="29"/>
      <c r="E880" s="29"/>
      <c r="F880" s="29"/>
      <c r="G880" s="29"/>
      <c r="H880" s="29"/>
    </row>
    <row r="881">
      <c r="A881" s="29"/>
      <c r="B881" s="29"/>
      <c r="C881" s="29"/>
      <c r="D881" s="29"/>
      <c r="E881" s="29"/>
      <c r="F881" s="29"/>
      <c r="G881" s="29"/>
      <c r="H881" s="29"/>
    </row>
    <row r="882">
      <c r="A882" s="29"/>
      <c r="B882" s="29"/>
      <c r="C882" s="29"/>
      <c r="D882" s="29"/>
      <c r="E882" s="29"/>
      <c r="F882" s="29"/>
      <c r="G882" s="29"/>
      <c r="H882" s="29"/>
    </row>
    <row r="883">
      <c r="A883" s="29"/>
      <c r="B883" s="29"/>
      <c r="C883" s="29"/>
      <c r="D883" s="29"/>
      <c r="E883" s="29"/>
      <c r="F883" s="29"/>
      <c r="G883" s="29"/>
      <c r="H883" s="29"/>
    </row>
    <row r="884">
      <c r="A884" s="29"/>
      <c r="B884" s="29"/>
      <c r="C884" s="29"/>
      <c r="D884" s="29"/>
      <c r="E884" s="29"/>
      <c r="F884" s="29"/>
      <c r="G884" s="29"/>
      <c r="H884" s="29"/>
    </row>
    <row r="885">
      <c r="A885" s="29"/>
      <c r="B885" s="29"/>
      <c r="C885" s="29"/>
      <c r="D885" s="29"/>
      <c r="E885" s="29"/>
      <c r="F885" s="29"/>
      <c r="G885" s="29"/>
      <c r="H885" s="29"/>
    </row>
    <row r="886">
      <c r="A886" s="29"/>
      <c r="B886" s="29"/>
      <c r="C886" s="29"/>
      <c r="D886" s="29"/>
      <c r="E886" s="29"/>
      <c r="F886" s="29"/>
      <c r="G886" s="29"/>
      <c r="H886" s="29"/>
    </row>
    <row r="887">
      <c r="A887" s="29"/>
      <c r="B887" s="29"/>
      <c r="C887" s="29"/>
      <c r="D887" s="29"/>
      <c r="E887" s="29"/>
      <c r="F887" s="29"/>
      <c r="G887" s="29"/>
      <c r="H887" s="29"/>
    </row>
    <row r="888">
      <c r="A888" s="29"/>
      <c r="B888" s="29"/>
      <c r="C888" s="29"/>
      <c r="D888" s="29"/>
      <c r="E888" s="29"/>
      <c r="F888" s="29"/>
      <c r="G888" s="29"/>
      <c r="H888" s="29"/>
    </row>
    <row r="889">
      <c r="A889" s="29"/>
      <c r="B889" s="29"/>
      <c r="C889" s="29"/>
      <c r="D889" s="29"/>
      <c r="E889" s="29"/>
      <c r="F889" s="29"/>
      <c r="G889" s="29"/>
      <c r="H889" s="29"/>
    </row>
    <row r="890">
      <c r="A890" s="29"/>
      <c r="B890" s="29"/>
      <c r="C890" s="29"/>
      <c r="D890" s="29"/>
      <c r="E890" s="29"/>
      <c r="F890" s="29"/>
      <c r="G890" s="29"/>
      <c r="H890" s="29"/>
    </row>
    <row r="891">
      <c r="A891" s="29"/>
      <c r="B891" s="29"/>
      <c r="C891" s="29"/>
      <c r="D891" s="29"/>
      <c r="E891" s="29"/>
      <c r="F891" s="29"/>
      <c r="G891" s="29"/>
      <c r="H891" s="29"/>
    </row>
    <row r="892">
      <c r="A892" s="29"/>
      <c r="B892" s="29"/>
      <c r="C892" s="29"/>
      <c r="D892" s="29"/>
      <c r="E892" s="29"/>
      <c r="F892" s="29"/>
      <c r="G892" s="29"/>
      <c r="H892" s="29"/>
    </row>
    <row r="893">
      <c r="A893" s="29"/>
      <c r="B893" s="29"/>
      <c r="C893" s="29"/>
      <c r="D893" s="29"/>
      <c r="E893" s="29"/>
      <c r="F893" s="29"/>
      <c r="G893" s="29"/>
      <c r="H893" s="29"/>
    </row>
    <row r="894">
      <c r="A894" s="29"/>
      <c r="B894" s="29"/>
      <c r="C894" s="29"/>
      <c r="D894" s="29"/>
      <c r="E894" s="29"/>
      <c r="F894" s="29"/>
      <c r="G894" s="29"/>
      <c r="H894" s="29"/>
    </row>
    <row r="895">
      <c r="A895" s="29"/>
      <c r="B895" s="29"/>
      <c r="C895" s="29"/>
      <c r="D895" s="29"/>
      <c r="E895" s="29"/>
      <c r="F895" s="29"/>
      <c r="G895" s="29"/>
      <c r="H895" s="29"/>
    </row>
    <row r="896">
      <c r="A896" s="29"/>
      <c r="B896" s="29"/>
      <c r="C896" s="29"/>
      <c r="D896" s="29"/>
      <c r="E896" s="29"/>
      <c r="F896" s="29"/>
      <c r="G896" s="29"/>
      <c r="H896" s="29"/>
    </row>
    <row r="897">
      <c r="A897" s="29"/>
      <c r="B897" s="29"/>
      <c r="C897" s="29"/>
      <c r="D897" s="29"/>
      <c r="E897" s="29"/>
      <c r="F897" s="29"/>
      <c r="G897" s="29"/>
      <c r="H897" s="29"/>
    </row>
    <row r="898">
      <c r="A898" s="29"/>
      <c r="B898" s="29"/>
      <c r="C898" s="29"/>
      <c r="D898" s="29"/>
      <c r="E898" s="29"/>
      <c r="F898" s="29"/>
      <c r="G898" s="29"/>
      <c r="H898" s="29"/>
    </row>
    <row r="899">
      <c r="A899" s="29"/>
      <c r="B899" s="29"/>
      <c r="C899" s="29"/>
      <c r="D899" s="29"/>
      <c r="E899" s="29"/>
      <c r="F899" s="29"/>
      <c r="G899" s="29"/>
      <c r="H899" s="29"/>
    </row>
    <row r="900">
      <c r="A900" s="29"/>
      <c r="B900" s="29"/>
      <c r="C900" s="29"/>
      <c r="D900" s="29"/>
      <c r="E900" s="29"/>
      <c r="F900" s="29"/>
      <c r="G900" s="29"/>
      <c r="H900" s="29"/>
    </row>
    <row r="901">
      <c r="A901" s="29"/>
      <c r="B901" s="29"/>
      <c r="C901" s="29"/>
      <c r="D901" s="29"/>
      <c r="E901" s="29"/>
      <c r="F901" s="29"/>
      <c r="G901" s="29"/>
      <c r="H901" s="29"/>
    </row>
    <row r="902">
      <c r="A902" s="29"/>
      <c r="B902" s="29"/>
      <c r="C902" s="29"/>
      <c r="D902" s="29"/>
      <c r="E902" s="29"/>
      <c r="F902" s="29"/>
      <c r="G902" s="29"/>
      <c r="H902" s="29"/>
    </row>
    <row r="903">
      <c r="A903" s="29"/>
      <c r="B903" s="29"/>
      <c r="C903" s="29"/>
      <c r="D903" s="29"/>
      <c r="E903" s="29"/>
      <c r="F903" s="29"/>
      <c r="G903" s="29"/>
      <c r="H903" s="29"/>
    </row>
    <row r="904">
      <c r="A904" s="29"/>
      <c r="B904" s="29"/>
      <c r="C904" s="29"/>
      <c r="D904" s="29"/>
      <c r="E904" s="29"/>
      <c r="F904" s="29"/>
      <c r="G904" s="29"/>
      <c r="H904" s="29"/>
    </row>
    <row r="905">
      <c r="A905" s="29"/>
      <c r="B905" s="29"/>
      <c r="C905" s="29"/>
      <c r="D905" s="29"/>
      <c r="E905" s="29"/>
      <c r="F905" s="29"/>
      <c r="G905" s="29"/>
      <c r="H905" s="29"/>
    </row>
    <row r="906">
      <c r="A906" s="29"/>
      <c r="B906" s="29"/>
      <c r="C906" s="29"/>
      <c r="D906" s="29"/>
      <c r="E906" s="29"/>
      <c r="F906" s="29"/>
      <c r="G906" s="29"/>
      <c r="H906" s="29"/>
    </row>
    <row r="907">
      <c r="A907" s="29"/>
      <c r="B907" s="29"/>
      <c r="C907" s="29"/>
      <c r="D907" s="29"/>
      <c r="E907" s="29"/>
      <c r="F907" s="29"/>
      <c r="G907" s="29"/>
      <c r="H907" s="29"/>
    </row>
    <row r="908">
      <c r="A908" s="29"/>
      <c r="B908" s="29"/>
      <c r="C908" s="29"/>
      <c r="D908" s="29"/>
      <c r="E908" s="29"/>
      <c r="F908" s="29"/>
      <c r="G908" s="29"/>
      <c r="H908" s="29"/>
    </row>
    <row r="909">
      <c r="A909" s="29"/>
      <c r="B909" s="29"/>
      <c r="C909" s="29"/>
      <c r="D909" s="29"/>
      <c r="E909" s="29"/>
      <c r="F909" s="29"/>
      <c r="G909" s="29"/>
      <c r="H909" s="29"/>
    </row>
    <row r="910">
      <c r="A910" s="29"/>
      <c r="B910" s="29"/>
      <c r="C910" s="29"/>
      <c r="D910" s="29"/>
      <c r="E910" s="29"/>
      <c r="F910" s="29"/>
      <c r="G910" s="29"/>
      <c r="H910" s="29"/>
    </row>
    <row r="911">
      <c r="A911" s="29"/>
      <c r="B911" s="29"/>
      <c r="C911" s="29"/>
      <c r="D911" s="29"/>
      <c r="E911" s="29"/>
      <c r="F911" s="29"/>
      <c r="G911" s="29"/>
      <c r="H911" s="29"/>
    </row>
    <row r="912">
      <c r="A912" s="29"/>
      <c r="B912" s="29"/>
      <c r="C912" s="29"/>
      <c r="D912" s="29"/>
      <c r="E912" s="29"/>
      <c r="F912" s="29"/>
      <c r="G912" s="29"/>
      <c r="H912" s="29"/>
    </row>
    <row r="913">
      <c r="A913" s="29"/>
      <c r="B913" s="29"/>
      <c r="C913" s="29"/>
      <c r="D913" s="29"/>
      <c r="E913" s="29"/>
      <c r="F913" s="29"/>
      <c r="G913" s="29"/>
      <c r="H913" s="29"/>
    </row>
    <row r="914">
      <c r="A914" s="29"/>
      <c r="B914" s="29"/>
      <c r="C914" s="29"/>
      <c r="D914" s="29"/>
      <c r="E914" s="29"/>
      <c r="F914" s="29"/>
      <c r="G914" s="29"/>
      <c r="H914" s="29"/>
    </row>
    <row r="915">
      <c r="A915" s="29"/>
      <c r="B915" s="29"/>
      <c r="C915" s="29"/>
      <c r="D915" s="29"/>
      <c r="E915" s="29"/>
      <c r="F915" s="29"/>
      <c r="G915" s="29"/>
      <c r="H915" s="29"/>
    </row>
    <row r="916">
      <c r="A916" s="29"/>
      <c r="B916" s="29"/>
      <c r="C916" s="29"/>
      <c r="D916" s="29"/>
      <c r="E916" s="29"/>
      <c r="F916" s="29"/>
      <c r="G916" s="29"/>
      <c r="H916" s="29"/>
    </row>
    <row r="917">
      <c r="A917" s="29"/>
      <c r="B917" s="29"/>
      <c r="C917" s="29"/>
      <c r="D917" s="29"/>
      <c r="E917" s="29"/>
      <c r="F917" s="29"/>
      <c r="G917" s="29"/>
      <c r="H917" s="29"/>
    </row>
    <row r="918">
      <c r="A918" s="29"/>
      <c r="B918" s="29"/>
      <c r="C918" s="29"/>
      <c r="D918" s="29"/>
      <c r="E918" s="29"/>
      <c r="F918" s="29"/>
      <c r="G918" s="29"/>
      <c r="H918" s="29"/>
    </row>
    <row r="919">
      <c r="A919" s="29"/>
      <c r="B919" s="29"/>
      <c r="C919" s="29"/>
      <c r="D919" s="29"/>
      <c r="E919" s="29"/>
      <c r="F919" s="29"/>
      <c r="G919" s="29"/>
      <c r="H919" s="29"/>
    </row>
    <row r="920">
      <c r="A920" s="29"/>
      <c r="B920" s="29"/>
      <c r="C920" s="29"/>
      <c r="D920" s="29"/>
      <c r="E920" s="29"/>
      <c r="F920" s="29"/>
      <c r="G920" s="29"/>
      <c r="H920" s="29"/>
    </row>
    <row r="921">
      <c r="A921" s="29"/>
      <c r="B921" s="29"/>
      <c r="C921" s="29"/>
      <c r="D921" s="29"/>
      <c r="E921" s="29"/>
      <c r="F921" s="29"/>
      <c r="G921" s="29"/>
      <c r="H921" s="29"/>
    </row>
    <row r="922">
      <c r="A922" s="29"/>
      <c r="B922" s="29"/>
      <c r="C922" s="29"/>
      <c r="D922" s="29"/>
      <c r="E922" s="29"/>
      <c r="F922" s="29"/>
      <c r="G922" s="29"/>
      <c r="H922" s="29"/>
    </row>
    <row r="923">
      <c r="A923" s="29"/>
      <c r="B923" s="29"/>
      <c r="C923" s="29"/>
      <c r="D923" s="29"/>
      <c r="E923" s="29"/>
      <c r="F923" s="29"/>
      <c r="G923" s="29"/>
      <c r="H923" s="29"/>
    </row>
    <row r="924">
      <c r="A924" s="29"/>
      <c r="B924" s="29"/>
      <c r="C924" s="29"/>
      <c r="D924" s="29"/>
      <c r="E924" s="29"/>
      <c r="F924" s="29"/>
      <c r="G924" s="29"/>
      <c r="H924" s="29"/>
    </row>
    <row r="925">
      <c r="A925" s="29"/>
      <c r="B925" s="29"/>
      <c r="C925" s="29"/>
      <c r="D925" s="29"/>
      <c r="E925" s="29"/>
      <c r="F925" s="29"/>
      <c r="G925" s="29"/>
      <c r="H925" s="29"/>
    </row>
    <row r="926">
      <c r="A926" s="29"/>
      <c r="B926" s="29"/>
      <c r="C926" s="29"/>
      <c r="D926" s="29"/>
      <c r="E926" s="29"/>
      <c r="F926" s="29"/>
      <c r="G926" s="29"/>
      <c r="H926" s="29"/>
    </row>
    <row r="927">
      <c r="A927" s="29"/>
      <c r="B927" s="29"/>
      <c r="C927" s="29"/>
      <c r="D927" s="29"/>
      <c r="E927" s="29"/>
      <c r="F927" s="29"/>
      <c r="G927" s="29"/>
      <c r="H927" s="29"/>
    </row>
    <row r="928">
      <c r="A928" s="29"/>
      <c r="B928" s="29"/>
      <c r="C928" s="29"/>
      <c r="D928" s="29"/>
      <c r="E928" s="29"/>
      <c r="F928" s="29"/>
      <c r="G928" s="29"/>
      <c r="H928" s="29"/>
    </row>
    <row r="929">
      <c r="A929" s="29"/>
      <c r="B929" s="29"/>
      <c r="C929" s="29"/>
      <c r="D929" s="29"/>
      <c r="E929" s="29"/>
      <c r="F929" s="29"/>
      <c r="G929" s="29"/>
      <c r="H929" s="29"/>
    </row>
    <row r="930">
      <c r="A930" s="29"/>
      <c r="B930" s="29"/>
      <c r="C930" s="29"/>
      <c r="D930" s="29"/>
      <c r="E930" s="29"/>
      <c r="F930" s="29"/>
      <c r="G930" s="29"/>
      <c r="H930" s="29"/>
    </row>
    <row r="931">
      <c r="A931" s="29"/>
      <c r="B931" s="29"/>
      <c r="C931" s="29"/>
      <c r="D931" s="29"/>
      <c r="E931" s="29"/>
      <c r="F931" s="29"/>
      <c r="G931" s="29"/>
      <c r="H931" s="29"/>
    </row>
    <row r="932">
      <c r="A932" s="29"/>
      <c r="B932" s="29"/>
      <c r="C932" s="29"/>
      <c r="D932" s="29"/>
      <c r="E932" s="29"/>
      <c r="F932" s="29"/>
      <c r="G932" s="29"/>
      <c r="H932" s="29"/>
    </row>
    <row r="933">
      <c r="A933" s="29"/>
      <c r="B933" s="29"/>
      <c r="C933" s="29"/>
      <c r="D933" s="29"/>
      <c r="E933" s="29"/>
      <c r="F933" s="29"/>
      <c r="G933" s="29"/>
      <c r="H933" s="29"/>
    </row>
    <row r="934">
      <c r="A934" s="29"/>
      <c r="B934" s="29"/>
      <c r="C934" s="29"/>
      <c r="D934" s="29"/>
      <c r="E934" s="29"/>
      <c r="F934" s="29"/>
      <c r="G934" s="29"/>
      <c r="H934" s="29"/>
    </row>
    <row r="935">
      <c r="A935" s="29"/>
      <c r="B935" s="29"/>
      <c r="C935" s="29"/>
      <c r="D935" s="29"/>
      <c r="E935" s="29"/>
      <c r="F935" s="29"/>
      <c r="G935" s="29"/>
      <c r="H935" s="29"/>
    </row>
    <row r="936">
      <c r="A936" s="29"/>
      <c r="B936" s="29"/>
      <c r="C936" s="29"/>
      <c r="D936" s="29"/>
      <c r="E936" s="29"/>
      <c r="F936" s="29"/>
      <c r="G936" s="29"/>
      <c r="H936" s="29"/>
    </row>
    <row r="937">
      <c r="A937" s="29"/>
      <c r="B937" s="29"/>
      <c r="C937" s="29"/>
      <c r="D937" s="29"/>
      <c r="E937" s="29"/>
      <c r="F937" s="29"/>
      <c r="G937" s="29"/>
      <c r="H937" s="29"/>
    </row>
    <row r="938">
      <c r="A938" s="29"/>
      <c r="B938" s="29"/>
      <c r="C938" s="29"/>
      <c r="D938" s="29"/>
      <c r="E938" s="29"/>
      <c r="F938" s="29"/>
      <c r="G938" s="29"/>
      <c r="H938" s="29"/>
    </row>
    <row r="939">
      <c r="A939" s="29"/>
      <c r="B939" s="29"/>
      <c r="C939" s="29"/>
      <c r="D939" s="29"/>
      <c r="E939" s="29"/>
      <c r="F939" s="29"/>
      <c r="G939" s="29"/>
      <c r="H939" s="29"/>
    </row>
    <row r="940">
      <c r="A940" s="29"/>
      <c r="B940" s="29"/>
      <c r="C940" s="29"/>
      <c r="D940" s="29"/>
      <c r="E940" s="29"/>
      <c r="F940" s="29"/>
      <c r="G940" s="29"/>
      <c r="H940" s="29"/>
    </row>
    <row r="941">
      <c r="A941" s="29"/>
      <c r="B941" s="29"/>
      <c r="C941" s="29"/>
      <c r="D941" s="29"/>
      <c r="E941" s="29"/>
      <c r="F941" s="29"/>
      <c r="G941" s="29"/>
      <c r="H941" s="29"/>
    </row>
    <row r="942">
      <c r="A942" s="29"/>
      <c r="B942" s="29"/>
      <c r="C942" s="29"/>
      <c r="D942" s="29"/>
      <c r="E942" s="29"/>
      <c r="F942" s="29"/>
      <c r="G942" s="29"/>
      <c r="H942" s="29"/>
    </row>
    <row r="943">
      <c r="A943" s="29"/>
      <c r="B943" s="29"/>
      <c r="C943" s="29"/>
      <c r="D943" s="29"/>
      <c r="E943" s="29"/>
      <c r="F943" s="29"/>
      <c r="G943" s="29"/>
      <c r="H943" s="29"/>
    </row>
    <row r="944">
      <c r="A944" s="29"/>
      <c r="B944" s="29"/>
      <c r="C944" s="29"/>
      <c r="D944" s="29"/>
      <c r="E944" s="29"/>
      <c r="F944" s="29"/>
      <c r="G944" s="29"/>
      <c r="H944" s="29"/>
    </row>
    <row r="945">
      <c r="A945" s="29"/>
      <c r="B945" s="29"/>
      <c r="C945" s="29"/>
      <c r="D945" s="29"/>
      <c r="E945" s="29"/>
      <c r="F945" s="29"/>
      <c r="G945" s="29"/>
      <c r="H945" s="29"/>
    </row>
    <row r="946">
      <c r="A946" s="29"/>
      <c r="B946" s="29"/>
      <c r="C946" s="29"/>
      <c r="D946" s="29"/>
      <c r="E946" s="29"/>
      <c r="F946" s="29"/>
      <c r="G946" s="29"/>
      <c r="H946" s="29"/>
    </row>
    <row r="947">
      <c r="A947" s="29"/>
      <c r="B947" s="29"/>
      <c r="C947" s="29"/>
      <c r="D947" s="29"/>
      <c r="E947" s="29"/>
      <c r="F947" s="29"/>
      <c r="G947" s="29"/>
      <c r="H947" s="29"/>
    </row>
    <row r="948">
      <c r="A948" s="29"/>
      <c r="B948" s="29"/>
      <c r="C948" s="29"/>
      <c r="D948" s="29"/>
      <c r="E948" s="29"/>
      <c r="F948" s="29"/>
      <c r="G948" s="29"/>
      <c r="H948" s="29"/>
    </row>
    <row r="949">
      <c r="A949" s="29"/>
      <c r="B949" s="29"/>
      <c r="C949" s="29"/>
      <c r="D949" s="29"/>
      <c r="E949" s="29"/>
      <c r="F949" s="29"/>
      <c r="G949" s="29"/>
      <c r="H949" s="29"/>
    </row>
    <row r="950">
      <c r="A950" s="29"/>
      <c r="B950" s="29"/>
      <c r="C950" s="29"/>
      <c r="D950" s="29"/>
      <c r="E950" s="29"/>
      <c r="F950" s="29"/>
      <c r="G950" s="29"/>
      <c r="H950" s="29"/>
    </row>
    <row r="951">
      <c r="A951" s="29"/>
      <c r="B951" s="29"/>
      <c r="C951" s="29"/>
      <c r="D951" s="29"/>
      <c r="E951" s="29"/>
      <c r="F951" s="29"/>
      <c r="G951" s="29"/>
      <c r="H951" s="29"/>
    </row>
    <row r="952">
      <c r="A952" s="29"/>
      <c r="B952" s="29"/>
      <c r="C952" s="29"/>
      <c r="D952" s="29"/>
      <c r="E952" s="29"/>
      <c r="F952" s="29"/>
      <c r="G952" s="29"/>
      <c r="H952" s="29"/>
    </row>
    <row r="953">
      <c r="A953" s="29"/>
      <c r="B953" s="29"/>
      <c r="C953" s="29"/>
      <c r="D953" s="29"/>
      <c r="E953" s="29"/>
      <c r="F953" s="29"/>
      <c r="G953" s="29"/>
      <c r="H953" s="29"/>
    </row>
    <row r="954">
      <c r="A954" s="29"/>
      <c r="B954" s="29"/>
      <c r="C954" s="29"/>
      <c r="D954" s="29"/>
      <c r="E954" s="29"/>
      <c r="F954" s="29"/>
      <c r="G954" s="29"/>
      <c r="H954" s="29"/>
    </row>
    <row r="955">
      <c r="A955" s="29"/>
      <c r="B955" s="29"/>
      <c r="C955" s="29"/>
      <c r="D955" s="29"/>
      <c r="E955" s="29"/>
      <c r="F955" s="29"/>
      <c r="G955" s="29"/>
      <c r="H955" s="29"/>
    </row>
    <row r="956">
      <c r="A956" s="29"/>
      <c r="B956" s="29"/>
      <c r="C956" s="29"/>
      <c r="D956" s="29"/>
      <c r="E956" s="29"/>
      <c r="F956" s="29"/>
      <c r="G956" s="29"/>
      <c r="H956" s="29"/>
    </row>
    <row r="957">
      <c r="A957" s="29"/>
      <c r="B957" s="29"/>
      <c r="C957" s="29"/>
      <c r="D957" s="29"/>
      <c r="E957" s="29"/>
      <c r="F957" s="29"/>
      <c r="G957" s="29"/>
      <c r="H957" s="29"/>
    </row>
    <row r="958">
      <c r="A958" s="29"/>
      <c r="B958" s="29"/>
      <c r="C958" s="29"/>
      <c r="D958" s="29"/>
      <c r="E958" s="29"/>
      <c r="F958" s="29"/>
      <c r="G958" s="29"/>
      <c r="H958" s="29"/>
    </row>
    <row r="959">
      <c r="A959" s="29"/>
      <c r="B959" s="29"/>
      <c r="C959" s="29"/>
      <c r="D959" s="29"/>
      <c r="E959" s="29"/>
      <c r="F959" s="29"/>
      <c r="G959" s="29"/>
      <c r="H959" s="29"/>
    </row>
    <row r="960">
      <c r="A960" s="29"/>
      <c r="B960" s="29"/>
      <c r="C960" s="29"/>
      <c r="D960" s="29"/>
      <c r="E960" s="29"/>
      <c r="F960" s="29"/>
      <c r="G960" s="29"/>
      <c r="H960" s="29"/>
    </row>
    <row r="961">
      <c r="A961" s="29"/>
      <c r="B961" s="29"/>
      <c r="C961" s="29"/>
      <c r="D961" s="29"/>
      <c r="E961" s="29"/>
      <c r="F961" s="29"/>
      <c r="G961" s="29"/>
      <c r="H961" s="29"/>
    </row>
    <row r="962">
      <c r="A962" s="29"/>
      <c r="B962" s="29"/>
      <c r="C962" s="29"/>
      <c r="D962" s="29"/>
      <c r="E962" s="29"/>
      <c r="F962" s="29"/>
      <c r="G962" s="29"/>
      <c r="H962" s="29"/>
    </row>
    <row r="963">
      <c r="A963" s="29"/>
      <c r="B963" s="29"/>
      <c r="C963" s="29"/>
      <c r="D963" s="29"/>
      <c r="E963" s="29"/>
      <c r="F963" s="29"/>
      <c r="G963" s="29"/>
      <c r="H963" s="29"/>
    </row>
    <row r="964">
      <c r="A964" s="29"/>
      <c r="B964" s="29"/>
      <c r="C964" s="29"/>
      <c r="D964" s="29"/>
      <c r="E964" s="29"/>
      <c r="F964" s="29"/>
      <c r="G964" s="29"/>
      <c r="H964" s="29"/>
    </row>
    <row r="965">
      <c r="A965" s="29"/>
      <c r="B965" s="29"/>
      <c r="C965" s="29"/>
      <c r="D965" s="29"/>
      <c r="E965" s="29"/>
      <c r="F965" s="29"/>
      <c r="G965" s="29"/>
      <c r="H965" s="29"/>
    </row>
    <row r="966">
      <c r="A966" s="29"/>
      <c r="B966" s="29"/>
      <c r="C966" s="29"/>
      <c r="D966" s="29"/>
      <c r="E966" s="29"/>
      <c r="F966" s="29"/>
      <c r="G966" s="29"/>
      <c r="H966" s="29"/>
    </row>
    <row r="967">
      <c r="A967" s="29"/>
      <c r="B967" s="29"/>
      <c r="C967" s="29"/>
      <c r="D967" s="29"/>
      <c r="E967" s="29"/>
      <c r="F967" s="29"/>
      <c r="G967" s="29"/>
      <c r="H967" s="29"/>
    </row>
    <row r="968">
      <c r="A968" s="29"/>
      <c r="B968" s="29"/>
      <c r="C968" s="29"/>
      <c r="D968" s="29"/>
      <c r="E968" s="29"/>
      <c r="F968" s="29"/>
      <c r="G968" s="29"/>
      <c r="H968" s="29"/>
    </row>
    <row r="969">
      <c r="A969" s="29"/>
      <c r="B969" s="29"/>
      <c r="C969" s="29"/>
      <c r="D969" s="29"/>
      <c r="E969" s="29"/>
      <c r="F969" s="29"/>
      <c r="G969" s="29"/>
      <c r="H969" s="29"/>
    </row>
    <row r="970">
      <c r="A970" s="29"/>
      <c r="B970" s="29"/>
      <c r="C970" s="29"/>
      <c r="D970" s="29"/>
      <c r="E970" s="29"/>
      <c r="F970" s="29"/>
      <c r="G970" s="29"/>
      <c r="H970" s="29"/>
    </row>
    <row r="971">
      <c r="A971" s="29"/>
      <c r="B971" s="29"/>
      <c r="C971" s="29"/>
      <c r="D971" s="29"/>
      <c r="E971" s="29"/>
      <c r="F971" s="29"/>
      <c r="G971" s="29"/>
      <c r="H971" s="29"/>
    </row>
    <row r="972">
      <c r="A972" s="29"/>
      <c r="B972" s="29"/>
      <c r="C972" s="29"/>
      <c r="D972" s="29"/>
      <c r="E972" s="29"/>
      <c r="F972" s="29"/>
      <c r="G972" s="29"/>
      <c r="H972" s="29"/>
    </row>
    <row r="973">
      <c r="A973" s="29"/>
      <c r="B973" s="29"/>
      <c r="C973" s="29"/>
      <c r="D973" s="29"/>
      <c r="E973" s="29"/>
      <c r="F973" s="29"/>
      <c r="G973" s="29"/>
      <c r="H973" s="29"/>
    </row>
    <row r="974">
      <c r="A974" s="29"/>
      <c r="B974" s="29"/>
      <c r="C974" s="29"/>
      <c r="D974" s="29"/>
      <c r="E974" s="29"/>
      <c r="F974" s="29"/>
      <c r="G974" s="29"/>
      <c r="H974" s="29"/>
    </row>
    <row r="975">
      <c r="A975" s="29"/>
      <c r="B975" s="29"/>
      <c r="C975" s="29"/>
      <c r="D975" s="29"/>
      <c r="E975" s="29"/>
      <c r="F975" s="29"/>
      <c r="G975" s="29"/>
      <c r="H975" s="29"/>
    </row>
    <row r="976">
      <c r="A976" s="29"/>
      <c r="B976" s="29"/>
      <c r="C976" s="29"/>
      <c r="D976" s="29"/>
      <c r="E976" s="29"/>
      <c r="F976" s="29"/>
      <c r="G976" s="29"/>
      <c r="H976" s="29"/>
    </row>
    <row r="977">
      <c r="A977" s="29"/>
      <c r="B977" s="29"/>
      <c r="C977" s="29"/>
      <c r="D977" s="29"/>
      <c r="E977" s="29"/>
      <c r="F977" s="29"/>
      <c r="G977" s="29"/>
      <c r="H977" s="29"/>
    </row>
    <row r="978">
      <c r="A978" s="29"/>
      <c r="B978" s="29"/>
      <c r="C978" s="29"/>
      <c r="D978" s="29"/>
      <c r="E978" s="29"/>
      <c r="F978" s="29"/>
      <c r="G978" s="29"/>
      <c r="H978" s="29"/>
    </row>
    <row r="979">
      <c r="A979" s="29"/>
      <c r="B979" s="29"/>
      <c r="C979" s="29"/>
      <c r="D979" s="29"/>
      <c r="E979" s="29"/>
      <c r="F979" s="29"/>
      <c r="G979" s="29"/>
      <c r="H979" s="29"/>
    </row>
    <row r="980">
      <c r="A980" s="29"/>
      <c r="B980" s="29"/>
      <c r="C980" s="29"/>
      <c r="D980" s="29"/>
      <c r="E980" s="29"/>
      <c r="F980" s="29"/>
      <c r="G980" s="29"/>
      <c r="H980" s="29"/>
    </row>
    <row r="981">
      <c r="A981" s="29"/>
      <c r="B981" s="29"/>
      <c r="C981" s="29"/>
      <c r="D981" s="29"/>
      <c r="E981" s="29"/>
      <c r="F981" s="29"/>
      <c r="G981" s="29"/>
      <c r="H981" s="29"/>
    </row>
    <row r="982">
      <c r="A982" s="29"/>
      <c r="B982" s="29"/>
      <c r="C982" s="29"/>
      <c r="D982" s="29"/>
      <c r="E982" s="29"/>
      <c r="F982" s="29"/>
      <c r="G982" s="29"/>
      <c r="H982" s="29"/>
    </row>
    <row r="983">
      <c r="A983" s="29"/>
      <c r="B983" s="29"/>
      <c r="C983" s="29"/>
      <c r="D983" s="29"/>
      <c r="E983" s="29"/>
      <c r="F983" s="29"/>
      <c r="G983" s="29"/>
      <c r="H983" s="29"/>
    </row>
    <row r="984">
      <c r="A984" s="29"/>
      <c r="B984" s="29"/>
      <c r="C984" s="29"/>
      <c r="D984" s="29"/>
      <c r="E984" s="29"/>
      <c r="F984" s="29"/>
      <c r="G984" s="29"/>
      <c r="H984" s="29"/>
    </row>
    <row r="985">
      <c r="A985" s="29"/>
      <c r="B985" s="29"/>
      <c r="C985" s="29"/>
      <c r="D985" s="29"/>
      <c r="E985" s="29"/>
      <c r="F985" s="29"/>
      <c r="G985" s="29"/>
      <c r="H985" s="29"/>
    </row>
    <row r="986">
      <c r="A986" s="29"/>
      <c r="B986" s="29"/>
      <c r="C986" s="29"/>
      <c r="D986" s="29"/>
      <c r="E986" s="29"/>
      <c r="F986" s="29"/>
      <c r="G986" s="29"/>
      <c r="H986" s="29"/>
    </row>
    <row r="987">
      <c r="A987" s="29"/>
      <c r="B987" s="29"/>
      <c r="C987" s="29"/>
      <c r="D987" s="29"/>
      <c r="E987" s="29"/>
      <c r="F987" s="29"/>
      <c r="G987" s="29"/>
      <c r="H987" s="29"/>
    </row>
    <row r="988">
      <c r="A988" s="29"/>
      <c r="B988" s="29"/>
      <c r="C988" s="29"/>
      <c r="D988" s="29"/>
      <c r="E988" s="29"/>
      <c r="F988" s="29"/>
      <c r="G988" s="29"/>
      <c r="H988" s="29"/>
    </row>
    <row r="989">
      <c r="A989" s="29"/>
      <c r="B989" s="29"/>
      <c r="C989" s="29"/>
      <c r="D989" s="29"/>
      <c r="E989" s="29"/>
      <c r="F989" s="29"/>
      <c r="G989" s="29"/>
      <c r="H989" s="29"/>
    </row>
    <row r="990">
      <c r="A990" s="29"/>
      <c r="B990" s="29"/>
      <c r="C990" s="29"/>
      <c r="D990" s="29"/>
      <c r="E990" s="29"/>
      <c r="F990" s="29"/>
      <c r="G990" s="29"/>
      <c r="H990" s="29"/>
    </row>
    <row r="991">
      <c r="A991" s="29"/>
      <c r="B991" s="29"/>
      <c r="C991" s="29"/>
      <c r="D991" s="29"/>
      <c r="E991" s="29"/>
      <c r="F991" s="29"/>
      <c r="G991" s="29"/>
      <c r="H991" s="29"/>
    </row>
    <row r="992">
      <c r="A992" s="29"/>
      <c r="B992" s="29"/>
      <c r="C992" s="29"/>
      <c r="D992" s="29"/>
      <c r="E992" s="29"/>
      <c r="F992" s="29"/>
      <c r="G992" s="29"/>
      <c r="H992" s="29"/>
    </row>
    <row r="993">
      <c r="A993" s="29"/>
      <c r="B993" s="29"/>
      <c r="C993" s="29"/>
      <c r="D993" s="29"/>
      <c r="E993" s="29"/>
      <c r="F993" s="29"/>
      <c r="G993" s="29"/>
      <c r="H993" s="29"/>
    </row>
    <row r="994">
      <c r="A994" s="29"/>
      <c r="B994" s="29"/>
      <c r="C994" s="29"/>
      <c r="D994" s="29"/>
      <c r="E994" s="29"/>
      <c r="F994" s="29"/>
      <c r="G994" s="29"/>
      <c r="H994" s="29"/>
    </row>
    <row r="995">
      <c r="A995" s="29"/>
      <c r="B995" s="29"/>
      <c r="C995" s="29"/>
      <c r="D995" s="29"/>
      <c r="E995" s="29"/>
      <c r="F995" s="29"/>
      <c r="G995" s="29"/>
      <c r="H995" s="29"/>
    </row>
    <row r="996">
      <c r="A996" s="29"/>
      <c r="B996" s="29"/>
      <c r="C996" s="29"/>
      <c r="D996" s="29"/>
      <c r="E996" s="29"/>
      <c r="F996" s="29"/>
      <c r="G996" s="29"/>
      <c r="H996" s="29"/>
    </row>
    <row r="997">
      <c r="A997" s="29"/>
      <c r="B997" s="29"/>
      <c r="C997" s="29"/>
      <c r="D997" s="29"/>
      <c r="E997" s="29"/>
      <c r="F997" s="29"/>
      <c r="G997" s="29"/>
      <c r="H997" s="29"/>
    </row>
    <row r="998">
      <c r="A998" s="29"/>
      <c r="B998" s="29"/>
      <c r="C998" s="29"/>
      <c r="D998" s="29"/>
      <c r="E998" s="29"/>
      <c r="F998" s="29"/>
      <c r="G998" s="29"/>
      <c r="H998" s="29"/>
    </row>
    <row r="999">
      <c r="A999" s="29"/>
      <c r="B999" s="29"/>
      <c r="C999" s="29"/>
      <c r="D999" s="29"/>
      <c r="E999" s="29"/>
      <c r="F999" s="29"/>
      <c r="G999" s="29"/>
      <c r="H999" s="29"/>
    </row>
    <row r="1000">
      <c r="A1000" s="29"/>
      <c r="B1000" s="29"/>
      <c r="C1000" s="29"/>
      <c r="D1000" s="29"/>
      <c r="E1000" s="29"/>
      <c r="F1000" s="29"/>
      <c r="G1000" s="29"/>
      <c r="H1000" s="29"/>
    </row>
  </sheetData>
  <mergeCells count="1">
    <mergeCell ref="A1:E1"/>
  </mergeCells>
  <conditionalFormatting sqref="A2:H1000">
    <cfRule type="expression" dxfId="9" priority="1" stopIfTrue="1">
      <formula>ISODD(ROW())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2" max="2" width="20.5"/>
    <col customWidth="1" min="6" max="6" width="5.63"/>
    <col hidden="1" min="9" max="14" width="12.63"/>
  </cols>
  <sheetData>
    <row r="1">
      <c r="A1" s="1" t="s">
        <v>236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</row>
    <row r="3">
      <c r="A3" s="68" t="s">
        <v>18</v>
      </c>
      <c r="B3" s="68" t="s">
        <v>17</v>
      </c>
      <c r="C3" s="68" t="s">
        <v>208</v>
      </c>
      <c r="D3" s="68" t="s">
        <v>237</v>
      </c>
      <c r="E3" s="68" t="s">
        <v>238</v>
      </c>
      <c r="F3" s="68" t="s">
        <v>239</v>
      </c>
      <c r="G3" s="68" t="s">
        <v>189</v>
      </c>
      <c r="H3" s="68" t="s">
        <v>213</v>
      </c>
      <c r="I3" s="68" t="s">
        <v>240</v>
      </c>
      <c r="J3" s="68" t="s">
        <v>241</v>
      </c>
      <c r="K3" s="68" t="s">
        <v>242</v>
      </c>
      <c r="L3" s="68" t="s">
        <v>243</v>
      </c>
      <c r="M3" s="68" t="s">
        <v>244</v>
      </c>
      <c r="N3" s="68" t="s">
        <v>245</v>
      </c>
      <c r="O3" s="68" t="s">
        <v>246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</row>
    <row r="4">
      <c r="A4" s="68" t="s">
        <v>247</v>
      </c>
      <c r="B4" s="71"/>
      <c r="C4" s="71">
        <f t="array" ref="C4:N4">BYCOL(C5:N1002, LAMBDA(c, SUM(c)))</f>
        <v>41100</v>
      </c>
      <c r="D4" s="71">
        <v>41100.0</v>
      </c>
      <c r="E4" s="71">
        <v>41100.0</v>
      </c>
      <c r="F4" s="71">
        <v>41100.0</v>
      </c>
      <c r="G4" s="71">
        <v>41100.0</v>
      </c>
      <c r="H4" s="71">
        <v>39300.0</v>
      </c>
      <c r="I4" s="71">
        <v>38100.0</v>
      </c>
      <c r="J4" s="71">
        <v>31750.0</v>
      </c>
      <c r="K4" s="71">
        <v>9500.0</v>
      </c>
      <c r="L4" s="71">
        <v>0.0</v>
      </c>
      <c r="M4" s="71">
        <v>0.0</v>
      </c>
      <c r="N4" s="71">
        <v>0.0</v>
      </c>
      <c r="O4" s="71">
        <f>SUM(C4:N4)</f>
        <v>324150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68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</row>
    <row r="5">
      <c r="A5" s="177" t="str">
        <f>IFERROR(__xludf.DUMMYFUNCTION("FILTER('Master Roster'!A4:A1002, 'Master Roster'!A4:A1002&lt;&gt;"""")"),"BBH-1-A")</f>
        <v>BBH-1-A</v>
      </c>
      <c r="B5" s="71" t="str">
        <f>IFERROR(VLOOKUP($A5, 'Master Roster'!$A:$E, 5, FALSE), "")</f>
        <v>Adrian mulale</v>
      </c>
      <c r="C5" s="29">
        <f t="array" ref="C5:N58">MAKEARRAY(COUNTA(A5:A1002), 12, LAMBDA(r, c, LET(tenant, INDEX(B5:B1002, r, 1), id, INDEX(A5:A1002, r, 1), target, IFERROR(VLOOKUP(id, 'Monthly Billing Tab'!$B$4:$J$48, 9, FALSE), ""), rent, IFERROR(VLOOKUP(id, 'Monthly Billing Tab'!$B$4:$F$48, 5, FALSE), ""), IF(tenant="Vacant", "", IF(target="", "", IF(MONTH(INDEX($C$3:$N$3, 1, c)&amp;" 1") &lt;= IFERROR(MONTH(target&amp;" 1"), 0), rent, ""))))))</f>
        <v>950</v>
      </c>
      <c r="D5" s="29">
        <v>950.0</v>
      </c>
      <c r="E5" s="29">
        <v>950.0</v>
      </c>
      <c r="F5" s="29">
        <v>950.0</v>
      </c>
      <c r="G5" s="29">
        <v>950.0</v>
      </c>
      <c r="H5" s="29">
        <v>950.0</v>
      </c>
      <c r="I5" s="29">
        <v>950.0</v>
      </c>
      <c r="J5" s="29">
        <v>950.0</v>
      </c>
      <c r="K5" s="29" t="s">
        <v>175</v>
      </c>
      <c r="L5" s="29" t="s">
        <v>175</v>
      </c>
      <c r="M5" s="29" t="s">
        <v>175</v>
      </c>
      <c r="N5" s="29" t="s">
        <v>175</v>
      </c>
      <c r="O5" s="29">
        <f t="array" ref="O5:O56">BYROW(C5:INDIRECT("N" &amp; (COUNTA(A5:A1002)+2)), LAMBDA(r, SUM(r)))</f>
        <v>7600</v>
      </c>
    </row>
    <row r="6">
      <c r="A6" s="177" t="str">
        <f>IFERROR(__xludf.DUMMYFUNCTION("""COMPUTED_VALUE"""),"BBH-2-A")</f>
        <v>BBH-2-A</v>
      </c>
      <c r="B6" s="71" t="str">
        <f>IFERROR(VLOOKUP($A6, 'Master Roster'!$A:$E, 5, FALSE), "")</f>
        <v>Wisdom Bwani</v>
      </c>
      <c r="C6" s="29">
        <v>900.0</v>
      </c>
      <c r="D6" s="29">
        <v>900.0</v>
      </c>
      <c r="E6" s="29">
        <v>900.0</v>
      </c>
      <c r="F6" s="29">
        <v>900.0</v>
      </c>
      <c r="G6" s="29">
        <v>900.0</v>
      </c>
      <c r="H6" s="29">
        <v>900.0</v>
      </c>
      <c r="I6" s="29">
        <v>900.0</v>
      </c>
      <c r="J6" s="29">
        <v>900.0</v>
      </c>
      <c r="K6" s="29" t="s">
        <v>175</v>
      </c>
      <c r="L6" s="29" t="s">
        <v>175</v>
      </c>
      <c r="M6" s="29" t="s">
        <v>175</v>
      </c>
      <c r="N6" s="29" t="s">
        <v>175</v>
      </c>
      <c r="O6" s="29">
        <v>7200.0</v>
      </c>
    </row>
    <row r="7">
      <c r="A7" s="177" t="str">
        <f>IFERROR(__xludf.DUMMYFUNCTION("""COMPUTED_VALUE"""),"BBH-2-B")</f>
        <v>BBH-2-B</v>
      </c>
      <c r="B7" s="71" t="str">
        <f>IFERROR(VLOOKUP($A7, 'Master Roster'!$A:$E, 5, FALSE), "")</f>
        <v>Jackson Mwanza</v>
      </c>
      <c r="C7" s="29">
        <v>900.0</v>
      </c>
      <c r="D7" s="29">
        <v>900.0</v>
      </c>
      <c r="E7" s="29">
        <v>900.0</v>
      </c>
      <c r="F7" s="29">
        <v>900.0</v>
      </c>
      <c r="G7" s="29">
        <v>900.0</v>
      </c>
      <c r="H7" s="29">
        <v>900.0</v>
      </c>
      <c r="I7" s="29">
        <v>900.0</v>
      </c>
      <c r="J7" s="29" t="s">
        <v>175</v>
      </c>
      <c r="K7" s="29" t="s">
        <v>175</v>
      </c>
      <c r="L7" s="29" t="s">
        <v>175</v>
      </c>
      <c r="M7" s="29" t="s">
        <v>175</v>
      </c>
      <c r="N7" s="29" t="s">
        <v>175</v>
      </c>
      <c r="O7" s="29">
        <v>6300.0</v>
      </c>
    </row>
    <row r="8">
      <c r="A8" s="177" t="str">
        <f>IFERROR(__xludf.DUMMYFUNCTION("""COMPUTED_VALUE"""),"BBH-3-A")</f>
        <v>BBH-3-A</v>
      </c>
      <c r="B8" s="71" t="str">
        <f>IFERROR(VLOOKUP($A8, 'Master Roster'!$A:$E, 5, FALSE), "")</f>
        <v>Prosper Kalayi</v>
      </c>
      <c r="C8" s="29">
        <v>900.0</v>
      </c>
      <c r="D8" s="29">
        <v>900.0</v>
      </c>
      <c r="E8" s="29">
        <v>900.0</v>
      </c>
      <c r="F8" s="29">
        <v>900.0</v>
      </c>
      <c r="G8" s="29">
        <v>900.0</v>
      </c>
      <c r="H8" s="29">
        <v>900.0</v>
      </c>
      <c r="I8" s="29">
        <v>900.0</v>
      </c>
      <c r="J8" s="29">
        <v>900.0</v>
      </c>
      <c r="K8" s="29" t="s">
        <v>175</v>
      </c>
      <c r="L8" s="29" t="s">
        <v>175</v>
      </c>
      <c r="M8" s="29" t="s">
        <v>175</v>
      </c>
      <c r="N8" s="29" t="s">
        <v>175</v>
      </c>
      <c r="O8" s="29">
        <v>7200.0</v>
      </c>
    </row>
    <row r="9">
      <c r="A9" s="177" t="str">
        <f>IFERROR(__xludf.DUMMYFUNCTION("""COMPUTED_VALUE"""),"BBH-3-B")</f>
        <v>BBH-3-B</v>
      </c>
      <c r="B9" s="71" t="str">
        <f>IFERROR(VLOOKUP($A9, 'Master Roster'!$A:$E, 5, FALSE), "")</f>
        <v>Shadrach Munganini</v>
      </c>
      <c r="C9" s="29">
        <v>900.0</v>
      </c>
      <c r="D9" s="29">
        <v>900.0</v>
      </c>
      <c r="E9" s="29">
        <v>900.0</v>
      </c>
      <c r="F9" s="29">
        <v>900.0</v>
      </c>
      <c r="G9" s="29">
        <v>900.0</v>
      </c>
      <c r="H9" s="29">
        <v>900.0</v>
      </c>
      <c r="I9" s="29">
        <v>900.0</v>
      </c>
      <c r="J9" s="29">
        <v>900.0</v>
      </c>
      <c r="K9" s="29" t="s">
        <v>175</v>
      </c>
      <c r="L9" s="29" t="s">
        <v>175</v>
      </c>
      <c r="M9" s="29" t="s">
        <v>175</v>
      </c>
      <c r="N9" s="29" t="s">
        <v>175</v>
      </c>
      <c r="O9" s="29">
        <v>7200.0</v>
      </c>
    </row>
    <row r="10">
      <c r="A10" s="177" t="str">
        <f>IFERROR(__xludf.DUMMYFUNCTION("""COMPUTED_VALUE"""),"BBH-3-C")</f>
        <v>BBH-3-C</v>
      </c>
      <c r="B10" s="71" t="str">
        <f>IFERROR(VLOOKUP($A10, 'Master Roster'!$A:$E, 5, FALSE), "")</f>
        <v>Collins Mubanga</v>
      </c>
      <c r="C10" s="29">
        <v>900.0</v>
      </c>
      <c r="D10" s="29">
        <v>900.0</v>
      </c>
      <c r="E10" s="29">
        <v>900.0</v>
      </c>
      <c r="F10" s="29">
        <v>900.0</v>
      </c>
      <c r="G10" s="29">
        <v>900.0</v>
      </c>
      <c r="H10" s="29">
        <v>900.0</v>
      </c>
      <c r="I10" s="29">
        <v>900.0</v>
      </c>
      <c r="J10" s="29">
        <v>900.0</v>
      </c>
      <c r="K10" s="29" t="s">
        <v>175</v>
      </c>
      <c r="L10" s="29" t="s">
        <v>175</v>
      </c>
      <c r="M10" s="29" t="s">
        <v>175</v>
      </c>
      <c r="N10" s="29" t="s">
        <v>175</v>
      </c>
      <c r="O10" s="29">
        <v>7200.0</v>
      </c>
    </row>
    <row r="11">
      <c r="A11" s="177" t="str">
        <f>IFERROR(__xludf.DUMMYFUNCTION("""COMPUTED_VALUE"""),"BBH-4-A")</f>
        <v>BBH-4-A</v>
      </c>
      <c r="B11" s="71" t="str">
        <f>IFERROR(VLOOKUP($A11, 'Master Roster'!$A:$E, 5, FALSE), "")</f>
        <v>Himalikiti Saviour</v>
      </c>
      <c r="C11" s="29">
        <v>950.0</v>
      </c>
      <c r="D11" s="29">
        <v>950.0</v>
      </c>
      <c r="E11" s="29">
        <v>950.0</v>
      </c>
      <c r="F11" s="29">
        <v>950.0</v>
      </c>
      <c r="G11" s="29">
        <v>950.0</v>
      </c>
      <c r="H11" s="29">
        <v>950.0</v>
      </c>
      <c r="I11" s="29">
        <v>950.0</v>
      </c>
      <c r="J11" s="29" t="s">
        <v>175</v>
      </c>
      <c r="K11" s="29" t="s">
        <v>175</v>
      </c>
      <c r="L11" s="29" t="s">
        <v>175</v>
      </c>
      <c r="M11" s="29" t="s">
        <v>175</v>
      </c>
      <c r="N11" s="29" t="s">
        <v>175</v>
      </c>
      <c r="O11" s="29">
        <v>6650.0</v>
      </c>
    </row>
    <row r="12" hidden="1">
      <c r="A12" s="177" t="str">
        <f>IFERROR(__xludf.DUMMYFUNCTION("""COMPUTED_VALUE"""),"BBH-5-A")</f>
        <v>BBH-5-A</v>
      </c>
      <c r="B12" s="71" t="str">
        <f>IFERROR(VLOOKUP($A12, 'Master Roster'!$A:$E, 5, FALSE), "")</f>
        <v>Wampa </v>
      </c>
      <c r="C12" s="29">
        <v>0.0</v>
      </c>
      <c r="D12" s="29">
        <v>0.0</v>
      </c>
      <c r="E12" s="29">
        <v>0.0</v>
      </c>
      <c r="F12" s="29">
        <v>0.0</v>
      </c>
      <c r="G12" s="29">
        <v>0.0</v>
      </c>
      <c r="H12" s="29">
        <v>0.0</v>
      </c>
      <c r="I12" s="29">
        <v>0.0</v>
      </c>
      <c r="J12" s="29" t="s">
        <v>175</v>
      </c>
      <c r="K12" s="29" t="s">
        <v>175</v>
      </c>
      <c r="L12" s="29" t="s">
        <v>175</v>
      </c>
      <c r="M12" s="29" t="s">
        <v>175</v>
      </c>
      <c r="N12" s="29" t="s">
        <v>175</v>
      </c>
      <c r="O12" s="29">
        <v>0.0</v>
      </c>
    </row>
    <row r="13">
      <c r="A13" s="177" t="str">
        <f>IFERROR(__xludf.DUMMYFUNCTION("""COMPUTED_VALUE"""),"BBH-6-A")</f>
        <v>BBH-6-A</v>
      </c>
      <c r="B13" s="71" t="str">
        <f>IFERROR(VLOOKUP($A13, 'Master Roster'!$A:$E, 5, FALSE), "")</f>
        <v>McDonald</v>
      </c>
      <c r="C13" s="29">
        <v>900.0</v>
      </c>
      <c r="D13" s="29">
        <v>900.0</v>
      </c>
      <c r="E13" s="29">
        <v>900.0</v>
      </c>
      <c r="F13" s="29">
        <v>900.0</v>
      </c>
      <c r="G13" s="29">
        <v>900.0</v>
      </c>
      <c r="H13" s="29" t="s">
        <v>175</v>
      </c>
      <c r="I13" s="29" t="s">
        <v>175</v>
      </c>
      <c r="J13" s="29" t="s">
        <v>175</v>
      </c>
      <c r="K13" s="29" t="s">
        <v>175</v>
      </c>
      <c r="L13" s="29" t="s">
        <v>175</v>
      </c>
      <c r="M13" s="29" t="s">
        <v>175</v>
      </c>
      <c r="N13" s="29" t="s">
        <v>175</v>
      </c>
      <c r="O13" s="29">
        <v>4500.0</v>
      </c>
    </row>
    <row r="14">
      <c r="A14" s="177" t="str">
        <f>IFERROR(__xludf.DUMMYFUNCTION("""COMPUTED_VALUE"""),"BBH-6-B")</f>
        <v>BBH-6-B</v>
      </c>
      <c r="B14" s="71" t="str">
        <f>IFERROR(VLOOKUP($A14, 'Master Roster'!$A:$E, 5, FALSE), "")</f>
        <v>Nanga Obrien</v>
      </c>
      <c r="C14" s="29">
        <v>900.0</v>
      </c>
      <c r="D14" s="29">
        <v>900.0</v>
      </c>
      <c r="E14" s="29">
        <v>900.0</v>
      </c>
      <c r="F14" s="29">
        <v>900.0</v>
      </c>
      <c r="G14" s="29">
        <v>900.0</v>
      </c>
      <c r="H14" s="29" t="s">
        <v>175</v>
      </c>
      <c r="I14" s="29" t="s">
        <v>175</v>
      </c>
      <c r="J14" s="29" t="s">
        <v>175</v>
      </c>
      <c r="K14" s="29" t="s">
        <v>175</v>
      </c>
      <c r="L14" s="29" t="s">
        <v>175</v>
      </c>
      <c r="M14" s="29" t="s">
        <v>175</v>
      </c>
      <c r="N14" s="29" t="s">
        <v>175</v>
      </c>
      <c r="O14" s="29">
        <v>4500.0</v>
      </c>
    </row>
    <row r="15">
      <c r="A15" s="177" t="str">
        <f>IFERROR(__xludf.DUMMYFUNCTION("""COMPUTED_VALUE"""),"BBH-6-C")</f>
        <v>BBH-6-C</v>
      </c>
      <c r="B15" s="71" t="str">
        <f>IFERROR(VLOOKUP($A15, 'Master Roster'!$A:$E, 5, FALSE), "")</f>
        <v>Zick Phiri</v>
      </c>
      <c r="C15" s="29">
        <v>900.0</v>
      </c>
      <c r="D15" s="29">
        <v>900.0</v>
      </c>
      <c r="E15" s="29">
        <v>900.0</v>
      </c>
      <c r="F15" s="29">
        <v>900.0</v>
      </c>
      <c r="G15" s="29">
        <v>900.0</v>
      </c>
      <c r="H15" s="29">
        <v>900.0</v>
      </c>
      <c r="I15" s="29">
        <v>900.0</v>
      </c>
      <c r="J15" s="29">
        <v>900.0</v>
      </c>
      <c r="K15" s="29" t="s">
        <v>175</v>
      </c>
      <c r="L15" s="29" t="s">
        <v>175</v>
      </c>
      <c r="M15" s="29" t="s">
        <v>175</v>
      </c>
      <c r="N15" s="29" t="s">
        <v>175</v>
      </c>
      <c r="O15" s="29">
        <v>7200.0</v>
      </c>
    </row>
    <row r="16">
      <c r="A16" s="177" t="str">
        <f>IFERROR(__xludf.DUMMYFUNCTION("""COMPUTED_VALUE"""),"BBH-7-A")</f>
        <v>BBH-7-A</v>
      </c>
      <c r="B16" s="71" t="str">
        <f>IFERROR(VLOOKUP($A16, 'Master Roster'!$A:$E, 5, FALSE), "")</f>
        <v>Funny Muyamina</v>
      </c>
      <c r="C16" s="29">
        <v>900.0</v>
      </c>
      <c r="D16" s="29">
        <v>900.0</v>
      </c>
      <c r="E16" s="29">
        <v>900.0</v>
      </c>
      <c r="F16" s="29">
        <v>900.0</v>
      </c>
      <c r="G16" s="29">
        <v>900.0</v>
      </c>
      <c r="H16" s="29">
        <v>900.0</v>
      </c>
      <c r="I16" s="29">
        <v>900.0</v>
      </c>
      <c r="J16" s="29">
        <v>900.0</v>
      </c>
      <c r="K16" s="29" t="s">
        <v>175</v>
      </c>
      <c r="L16" s="29" t="s">
        <v>175</v>
      </c>
      <c r="M16" s="29" t="s">
        <v>175</v>
      </c>
      <c r="N16" s="29" t="s">
        <v>175</v>
      </c>
      <c r="O16" s="29">
        <v>7200.0</v>
      </c>
    </row>
    <row r="17">
      <c r="A17" s="71" t="str">
        <f>IFERROR(__xludf.DUMMYFUNCTION("""COMPUTED_VALUE"""),"BBH-7-B")</f>
        <v>BBH-7-B</v>
      </c>
      <c r="B17" s="71" t="str">
        <f>IFERROR(VLOOKUP($A17, 'Master Roster'!$A:$E, 5, FALSE), "")</f>
        <v>Treasure Simeenda</v>
      </c>
      <c r="C17" s="29">
        <v>900.0</v>
      </c>
      <c r="D17" s="29">
        <v>900.0</v>
      </c>
      <c r="E17" s="29">
        <v>900.0</v>
      </c>
      <c r="F17" s="29">
        <v>900.0</v>
      </c>
      <c r="G17" s="29">
        <v>900.0</v>
      </c>
      <c r="H17" s="29">
        <v>900.0</v>
      </c>
      <c r="I17" s="29">
        <v>900.0</v>
      </c>
      <c r="J17" s="29">
        <v>900.0</v>
      </c>
      <c r="K17" s="29" t="s">
        <v>175</v>
      </c>
      <c r="L17" s="29" t="s">
        <v>175</v>
      </c>
      <c r="M17" s="29" t="s">
        <v>175</v>
      </c>
      <c r="N17" s="29" t="s">
        <v>175</v>
      </c>
      <c r="O17" s="29">
        <v>7200.0</v>
      </c>
    </row>
    <row r="18" hidden="1">
      <c r="A18" s="68" t="str">
        <f>IFERROR(__xludf.DUMMYFUNCTION("""COMPUTED_VALUE"""),"BBH-7-C")</f>
        <v>BBH-7-C</v>
      </c>
      <c r="B18" s="71" t="str">
        <f>IFERROR(VLOOKUP($A18, 'Master Roster'!$A:$E, 5, FALSE), "")</f>
        <v>Vacant</v>
      </c>
      <c r="C18" s="71" t="s">
        <v>175</v>
      </c>
      <c r="D18" s="71" t="s">
        <v>175</v>
      </c>
      <c r="E18" s="71" t="s">
        <v>175</v>
      </c>
      <c r="F18" s="71" t="s">
        <v>175</v>
      </c>
      <c r="G18" s="71" t="s">
        <v>175</v>
      </c>
      <c r="H18" s="71" t="s">
        <v>175</v>
      </c>
      <c r="I18" s="71" t="s">
        <v>175</v>
      </c>
      <c r="J18" s="71" t="s">
        <v>175</v>
      </c>
      <c r="K18" s="71" t="s">
        <v>175</v>
      </c>
      <c r="L18" s="71" t="s">
        <v>175</v>
      </c>
      <c r="M18" s="71" t="s">
        <v>175</v>
      </c>
      <c r="N18" s="71" t="s">
        <v>175</v>
      </c>
      <c r="O18" s="71">
        <v>0.0</v>
      </c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</row>
    <row r="19">
      <c r="A19" s="71" t="str">
        <f>IFERROR(__xludf.DUMMYFUNCTION("""COMPUTED_VALUE"""),"BBH-8-A")</f>
        <v>BBH-8-A</v>
      </c>
      <c r="B19" s="71" t="str">
        <f>IFERROR(VLOOKUP($A19, 'Master Roster'!$A:$E, 5, FALSE), "")</f>
        <v>Kangwa Kunda</v>
      </c>
      <c r="C19" s="29">
        <v>900.0</v>
      </c>
      <c r="D19" s="29">
        <v>900.0</v>
      </c>
      <c r="E19" s="29">
        <v>900.0</v>
      </c>
      <c r="F19" s="29">
        <v>900.0</v>
      </c>
      <c r="G19" s="29">
        <v>900.0</v>
      </c>
      <c r="H19" s="29">
        <v>900.0</v>
      </c>
      <c r="I19" s="29">
        <v>900.0</v>
      </c>
      <c r="J19" s="29">
        <v>900.0</v>
      </c>
      <c r="K19" s="29" t="s">
        <v>175</v>
      </c>
      <c r="L19" s="29" t="s">
        <v>175</v>
      </c>
      <c r="M19" s="29" t="s">
        <v>175</v>
      </c>
      <c r="N19" s="29" t="s">
        <v>175</v>
      </c>
      <c r="O19" s="29">
        <v>7200.0</v>
      </c>
    </row>
    <row r="20">
      <c r="A20" s="71" t="str">
        <f>IFERROR(__xludf.DUMMYFUNCTION("""COMPUTED_VALUE"""),"BBH-8-B")</f>
        <v>BBH-8-B</v>
      </c>
      <c r="B20" s="71" t="str">
        <f>IFERROR(VLOOKUP($A20, 'Master Roster'!$A:$E, 5, FALSE), "")</f>
        <v>Vacant</v>
      </c>
      <c r="C20" s="29" t="s">
        <v>175</v>
      </c>
      <c r="D20" s="29" t="s">
        <v>175</v>
      </c>
      <c r="E20" s="29" t="s">
        <v>175</v>
      </c>
      <c r="F20" s="29" t="s">
        <v>175</v>
      </c>
      <c r="G20" s="29" t="s">
        <v>175</v>
      </c>
      <c r="H20" s="29" t="s">
        <v>175</v>
      </c>
      <c r="I20" s="29" t="s">
        <v>175</v>
      </c>
      <c r="J20" s="29" t="s">
        <v>175</v>
      </c>
      <c r="K20" s="29" t="s">
        <v>175</v>
      </c>
      <c r="L20" s="29" t="s">
        <v>175</v>
      </c>
      <c r="M20" s="29" t="s">
        <v>175</v>
      </c>
      <c r="N20" s="29" t="s">
        <v>175</v>
      </c>
      <c r="O20" s="29">
        <v>0.0</v>
      </c>
    </row>
    <row r="21">
      <c r="A21" s="71" t="str">
        <f>IFERROR(__xludf.DUMMYFUNCTION("""COMPUTED_VALUE"""),"BBH-9-A")</f>
        <v>BBH-9-A</v>
      </c>
      <c r="B21" s="71" t="str">
        <f>IFERROR(VLOOKUP($A21, 'Master Roster'!$A:$E, 5, FALSE), "")</f>
        <v>Felistus Mweemba</v>
      </c>
      <c r="C21" s="29">
        <v>900.0</v>
      </c>
      <c r="D21" s="29">
        <v>900.0</v>
      </c>
      <c r="E21" s="29">
        <v>900.0</v>
      </c>
      <c r="F21" s="29">
        <v>900.0</v>
      </c>
      <c r="G21" s="29">
        <v>900.0</v>
      </c>
      <c r="H21" s="29">
        <v>900.0</v>
      </c>
      <c r="I21" s="29">
        <v>900.0</v>
      </c>
      <c r="J21" s="29">
        <v>900.0</v>
      </c>
      <c r="K21" s="29" t="s">
        <v>175</v>
      </c>
      <c r="L21" s="29" t="s">
        <v>175</v>
      </c>
      <c r="M21" s="29" t="s">
        <v>175</v>
      </c>
      <c r="N21" s="29" t="s">
        <v>175</v>
      </c>
      <c r="O21" s="29">
        <v>7200.0</v>
      </c>
    </row>
    <row r="22">
      <c r="A22" s="71" t="str">
        <f>IFERROR(__xludf.DUMMYFUNCTION("""COMPUTED_VALUE"""),"BBH-9-B")</f>
        <v>BBH-9-B</v>
      </c>
      <c r="B22" s="71" t="str">
        <f>IFERROR(VLOOKUP($A22, 'Master Roster'!$A:$E, 5, FALSE), "")</f>
        <v>Wendy Mpakise</v>
      </c>
      <c r="C22" s="29">
        <v>900.0</v>
      </c>
      <c r="D22" s="29">
        <v>900.0</v>
      </c>
      <c r="E22" s="29">
        <v>900.0</v>
      </c>
      <c r="F22" s="29">
        <v>900.0</v>
      </c>
      <c r="G22" s="29">
        <v>900.0</v>
      </c>
      <c r="H22" s="29">
        <v>900.0</v>
      </c>
      <c r="I22" s="29">
        <v>900.0</v>
      </c>
      <c r="J22" s="29" t="s">
        <v>175</v>
      </c>
      <c r="K22" s="29" t="s">
        <v>175</v>
      </c>
      <c r="L22" s="29" t="s">
        <v>175</v>
      </c>
      <c r="M22" s="29" t="s">
        <v>175</v>
      </c>
      <c r="N22" s="29" t="s">
        <v>175</v>
      </c>
      <c r="O22" s="29">
        <v>6300.0</v>
      </c>
    </row>
    <row r="23">
      <c r="A23" s="71" t="str">
        <f>IFERROR(__xludf.DUMMYFUNCTION("""COMPUTED_VALUE"""),"BBH-9-C")</f>
        <v>BBH-9-C</v>
      </c>
      <c r="B23" s="71" t="str">
        <f>IFERROR(VLOOKUP($A23, 'Master Roster'!$A:$E, 5, FALSE), "")</f>
        <v>Vacant</v>
      </c>
      <c r="C23" s="29" t="s">
        <v>175</v>
      </c>
      <c r="D23" s="29" t="s">
        <v>175</v>
      </c>
      <c r="E23" s="29" t="s">
        <v>175</v>
      </c>
      <c r="F23" s="29" t="s">
        <v>175</v>
      </c>
      <c r="G23" s="29" t="s">
        <v>175</v>
      </c>
      <c r="H23" s="29" t="s">
        <v>175</v>
      </c>
      <c r="I23" s="29" t="s">
        <v>175</v>
      </c>
      <c r="J23" s="29" t="s">
        <v>175</v>
      </c>
      <c r="K23" s="29" t="s">
        <v>175</v>
      </c>
      <c r="L23" s="29" t="s">
        <v>175</v>
      </c>
      <c r="M23" s="29" t="s">
        <v>175</v>
      </c>
      <c r="N23" s="29" t="s">
        <v>175</v>
      </c>
      <c r="O23" s="29">
        <v>0.0</v>
      </c>
    </row>
    <row r="24">
      <c r="A24" s="71" t="str">
        <f>IFERROR(__xludf.DUMMYFUNCTION("""COMPUTED_VALUE"""),"UPV-10-A")</f>
        <v>UPV-10-A</v>
      </c>
      <c r="B24" s="71" t="str">
        <f>IFERROR(VLOOKUP($A24, 'Master Roster'!$A:$E, 5, FALSE), "")</f>
        <v>Emely Mwale</v>
      </c>
      <c r="C24" s="29" t="s">
        <v>175</v>
      </c>
      <c r="D24" s="29" t="s">
        <v>175</v>
      </c>
      <c r="E24" s="29" t="s">
        <v>175</v>
      </c>
      <c r="F24" s="29" t="s">
        <v>175</v>
      </c>
      <c r="G24" s="29" t="s">
        <v>175</v>
      </c>
      <c r="H24" s="29" t="s">
        <v>175</v>
      </c>
      <c r="I24" s="29" t="s">
        <v>175</v>
      </c>
      <c r="J24" s="29" t="s">
        <v>175</v>
      </c>
      <c r="K24" s="29" t="s">
        <v>175</v>
      </c>
      <c r="L24" s="29" t="s">
        <v>175</v>
      </c>
      <c r="M24" s="29" t="s">
        <v>175</v>
      </c>
      <c r="N24" s="29" t="s">
        <v>175</v>
      </c>
      <c r="O24" s="29">
        <v>0.0</v>
      </c>
    </row>
    <row r="25">
      <c r="A25" s="71" t="str">
        <f>IFERROR(__xludf.DUMMYFUNCTION("""COMPUTED_VALUE"""),"UPV-10-B")</f>
        <v>UPV-10-B</v>
      </c>
      <c r="B25" s="71" t="str">
        <f>IFERROR(VLOOKUP($A25, 'Master Roster'!$A:$E, 5, FALSE), "")</f>
        <v>Melody Mumba</v>
      </c>
      <c r="C25" s="29" t="s">
        <v>175</v>
      </c>
      <c r="D25" s="29" t="s">
        <v>175</v>
      </c>
      <c r="E25" s="29" t="s">
        <v>175</v>
      </c>
      <c r="F25" s="29" t="s">
        <v>175</v>
      </c>
      <c r="G25" s="29" t="s">
        <v>175</v>
      </c>
      <c r="H25" s="29" t="s">
        <v>175</v>
      </c>
      <c r="I25" s="29" t="s">
        <v>175</v>
      </c>
      <c r="J25" s="29" t="s">
        <v>175</v>
      </c>
      <c r="K25" s="29" t="s">
        <v>175</v>
      </c>
      <c r="L25" s="29" t="s">
        <v>175</v>
      </c>
      <c r="M25" s="29" t="s">
        <v>175</v>
      </c>
      <c r="N25" s="29" t="s">
        <v>175</v>
      </c>
      <c r="O25" s="29">
        <v>0.0</v>
      </c>
    </row>
    <row r="26">
      <c r="A26" s="71" t="str">
        <f>IFERROR(__xludf.DUMMYFUNCTION("""COMPUTED_VALUE"""),"UPV-10-C")</f>
        <v>UPV-10-C</v>
      </c>
      <c r="B26" s="71" t="str">
        <f>IFERROR(VLOOKUP($A26, 'Master Roster'!$A:$E, 5, FALSE), "")</f>
        <v>Sara Matakala</v>
      </c>
      <c r="C26" s="29" t="s">
        <v>175</v>
      </c>
      <c r="D26" s="29" t="s">
        <v>175</v>
      </c>
      <c r="E26" s="29" t="s">
        <v>175</v>
      </c>
      <c r="F26" s="29" t="s">
        <v>175</v>
      </c>
      <c r="G26" s="29" t="s">
        <v>175</v>
      </c>
      <c r="H26" s="29" t="s">
        <v>175</v>
      </c>
      <c r="I26" s="29" t="s">
        <v>175</v>
      </c>
      <c r="J26" s="29" t="s">
        <v>175</v>
      </c>
      <c r="K26" s="29" t="s">
        <v>175</v>
      </c>
      <c r="L26" s="29" t="s">
        <v>175</v>
      </c>
      <c r="M26" s="29" t="s">
        <v>175</v>
      </c>
      <c r="N26" s="29" t="s">
        <v>175</v>
      </c>
      <c r="O26" s="29">
        <v>0.0</v>
      </c>
    </row>
    <row r="27" hidden="1">
      <c r="A27" s="71" t="str">
        <f>IFERROR(__xludf.DUMMYFUNCTION("""COMPUTED_VALUE"""),"UPV-10-D")</f>
        <v>UPV-10-D</v>
      </c>
      <c r="B27" s="71" t="str">
        <f>IFERROR(VLOOKUP($A27, 'Master Roster'!$A:$E, 5, FALSE), "")</f>
        <v>Vacant</v>
      </c>
      <c r="C27" s="29" t="s">
        <v>175</v>
      </c>
      <c r="D27" s="29" t="s">
        <v>175</v>
      </c>
      <c r="E27" s="29" t="s">
        <v>175</v>
      </c>
      <c r="F27" s="29" t="s">
        <v>175</v>
      </c>
      <c r="G27" s="29" t="s">
        <v>175</v>
      </c>
      <c r="H27" s="29" t="s">
        <v>175</v>
      </c>
      <c r="I27" s="29" t="s">
        <v>175</v>
      </c>
      <c r="J27" s="29" t="s">
        <v>175</v>
      </c>
      <c r="K27" s="29" t="s">
        <v>175</v>
      </c>
      <c r="L27" s="29" t="s">
        <v>175</v>
      </c>
      <c r="M27" s="29" t="s">
        <v>175</v>
      </c>
      <c r="N27" s="29" t="s">
        <v>175</v>
      </c>
      <c r="O27" s="29">
        <v>0.0</v>
      </c>
    </row>
    <row r="28">
      <c r="A28" s="71" t="str">
        <f>IFERROR(__xludf.DUMMYFUNCTION("""COMPUTED_VALUE"""),"UPV-11-A")</f>
        <v>UPV-11-A</v>
      </c>
      <c r="B28" s="71" t="str">
        <f>IFERROR(VLOOKUP($A28, 'Master Roster'!$A:$E, 5, FALSE), "")</f>
        <v>Gift Nankamba</v>
      </c>
      <c r="C28" s="29" t="s">
        <v>175</v>
      </c>
      <c r="D28" s="29" t="s">
        <v>175</v>
      </c>
      <c r="E28" s="29" t="s">
        <v>175</v>
      </c>
      <c r="F28" s="29" t="s">
        <v>175</v>
      </c>
      <c r="G28" s="29" t="s">
        <v>175</v>
      </c>
      <c r="H28" s="29" t="s">
        <v>175</v>
      </c>
      <c r="I28" s="29" t="s">
        <v>175</v>
      </c>
      <c r="J28" s="29" t="s">
        <v>175</v>
      </c>
      <c r="K28" s="29" t="s">
        <v>175</v>
      </c>
      <c r="L28" s="29" t="s">
        <v>175</v>
      </c>
      <c r="M28" s="29" t="s">
        <v>175</v>
      </c>
      <c r="N28" s="29" t="s">
        <v>175</v>
      </c>
      <c r="O28" s="29">
        <v>0.0</v>
      </c>
    </row>
    <row r="29">
      <c r="A29" s="71" t="str">
        <f>IFERROR(__xludf.DUMMYFUNCTION("""COMPUTED_VALUE"""),"UPV-12-A")</f>
        <v>UPV-12-A</v>
      </c>
      <c r="B29" s="71" t="str">
        <f>IFERROR(VLOOKUP($A29, 'Master Roster'!$A:$E, 5, FALSE), "")</f>
        <v>chilulu chiliulu</v>
      </c>
      <c r="C29" s="29" t="s">
        <v>175</v>
      </c>
      <c r="D29" s="29" t="s">
        <v>175</v>
      </c>
      <c r="E29" s="29" t="s">
        <v>175</v>
      </c>
      <c r="F29" s="29" t="s">
        <v>175</v>
      </c>
      <c r="G29" s="29" t="s">
        <v>175</v>
      </c>
      <c r="H29" s="29" t="s">
        <v>175</v>
      </c>
      <c r="I29" s="29" t="s">
        <v>175</v>
      </c>
      <c r="J29" s="29" t="s">
        <v>175</v>
      </c>
      <c r="K29" s="29" t="s">
        <v>175</v>
      </c>
      <c r="L29" s="29" t="s">
        <v>175</v>
      </c>
      <c r="M29" s="29" t="s">
        <v>175</v>
      </c>
      <c r="N29" s="29" t="s">
        <v>175</v>
      </c>
      <c r="O29" s="29">
        <v>0.0</v>
      </c>
    </row>
    <row r="30">
      <c r="A30" s="71" t="str">
        <f>IFERROR(__xludf.DUMMYFUNCTION("""COMPUTED_VALUE"""),"UPV-13-A")</f>
        <v>UPV-13-A</v>
      </c>
      <c r="B30" s="71" t="str">
        <f>IFERROR(VLOOKUP($A30, 'Master Roster'!$A:$E, 5, FALSE), "")</f>
        <v>Chibesa Chisembe</v>
      </c>
      <c r="C30" s="29" t="s">
        <v>175</v>
      </c>
      <c r="D30" s="29" t="s">
        <v>175</v>
      </c>
      <c r="E30" s="29" t="s">
        <v>175</v>
      </c>
      <c r="F30" s="29" t="s">
        <v>175</v>
      </c>
      <c r="G30" s="29" t="s">
        <v>175</v>
      </c>
      <c r="H30" s="29" t="s">
        <v>175</v>
      </c>
      <c r="I30" s="29" t="s">
        <v>175</v>
      </c>
      <c r="J30" s="29" t="s">
        <v>175</v>
      </c>
      <c r="K30" s="29" t="s">
        <v>175</v>
      </c>
      <c r="L30" s="29" t="s">
        <v>175</v>
      </c>
      <c r="M30" s="29" t="s">
        <v>175</v>
      </c>
      <c r="N30" s="29" t="s">
        <v>175</v>
      </c>
      <c r="O30" s="29">
        <v>0.0</v>
      </c>
    </row>
    <row r="31">
      <c r="A31" s="71" t="str">
        <f>IFERROR(__xludf.DUMMYFUNCTION("""COMPUTED_VALUE"""),"UPV-14-A")</f>
        <v>UPV-14-A</v>
      </c>
      <c r="B31" s="71" t="str">
        <f>IFERROR(VLOOKUP($A31, 'Master Roster'!$A:$E, 5, FALSE), "")</f>
        <v>Reuben Ngusulu</v>
      </c>
      <c r="C31" s="29" t="s">
        <v>175</v>
      </c>
      <c r="D31" s="29" t="s">
        <v>175</v>
      </c>
      <c r="E31" s="29" t="s">
        <v>175</v>
      </c>
      <c r="F31" s="29" t="s">
        <v>175</v>
      </c>
      <c r="G31" s="29" t="s">
        <v>175</v>
      </c>
      <c r="H31" s="29" t="s">
        <v>175</v>
      </c>
      <c r="I31" s="29" t="s">
        <v>175</v>
      </c>
      <c r="J31" s="29" t="s">
        <v>175</v>
      </c>
      <c r="K31" s="29" t="s">
        <v>175</v>
      </c>
      <c r="L31" s="29" t="s">
        <v>175</v>
      </c>
      <c r="M31" s="29" t="s">
        <v>175</v>
      </c>
      <c r="N31" s="29" t="s">
        <v>175</v>
      </c>
      <c r="O31" s="29">
        <v>0.0</v>
      </c>
    </row>
    <row r="32">
      <c r="A32" s="71" t="str">
        <f>IFERROR(__xludf.DUMMYFUNCTION("""COMPUTED_VALUE"""),"UPV-15-A")</f>
        <v>UPV-15-A</v>
      </c>
      <c r="B32" s="71" t="str">
        <f>IFERROR(VLOOKUP($A32, 'Master Roster'!$A:$E, 5, FALSE), "")</f>
        <v>Harriet nanyangwe</v>
      </c>
      <c r="C32" s="29" t="s">
        <v>175</v>
      </c>
      <c r="D32" s="29" t="s">
        <v>175</v>
      </c>
      <c r="E32" s="29" t="s">
        <v>175</v>
      </c>
      <c r="F32" s="29" t="s">
        <v>175</v>
      </c>
      <c r="G32" s="29" t="s">
        <v>175</v>
      </c>
      <c r="H32" s="29" t="s">
        <v>175</v>
      </c>
      <c r="I32" s="29" t="s">
        <v>175</v>
      </c>
      <c r="J32" s="29" t="s">
        <v>175</v>
      </c>
      <c r="K32" s="29" t="s">
        <v>175</v>
      </c>
      <c r="L32" s="29" t="s">
        <v>175</v>
      </c>
      <c r="M32" s="29" t="s">
        <v>175</v>
      </c>
      <c r="N32" s="29" t="s">
        <v>175</v>
      </c>
      <c r="O32" s="29">
        <v>0.0</v>
      </c>
    </row>
    <row r="33" hidden="1">
      <c r="A33" s="71" t="str">
        <f>IFERROR(__xludf.DUMMYFUNCTION("""COMPUTED_VALUE"""),"CRV-16-A")</f>
        <v>CRV-16-A</v>
      </c>
      <c r="B33" s="71" t="str">
        <f>IFERROR(VLOOKUP($A33, 'Master Roster'!$A:$E, 5, FALSE), "")</f>
        <v>Vacant</v>
      </c>
      <c r="C33" s="29" t="s">
        <v>175</v>
      </c>
      <c r="D33" s="29" t="s">
        <v>175</v>
      </c>
      <c r="E33" s="29" t="s">
        <v>175</v>
      </c>
      <c r="F33" s="29" t="s">
        <v>175</v>
      </c>
      <c r="G33" s="29" t="s">
        <v>175</v>
      </c>
      <c r="H33" s="29" t="s">
        <v>175</v>
      </c>
      <c r="I33" s="29" t="s">
        <v>175</v>
      </c>
      <c r="J33" s="29" t="s">
        <v>175</v>
      </c>
      <c r="K33" s="29" t="s">
        <v>175</v>
      </c>
      <c r="L33" s="29" t="s">
        <v>175</v>
      </c>
      <c r="M33" s="29" t="s">
        <v>175</v>
      </c>
      <c r="N33" s="29" t="s">
        <v>175</v>
      </c>
      <c r="O33" s="29">
        <v>0.0</v>
      </c>
    </row>
    <row r="34" hidden="1">
      <c r="A34" s="71" t="str">
        <f>IFERROR(__xludf.DUMMYFUNCTION("""COMPUTED_VALUE"""),"CRV-16-B")</f>
        <v>CRV-16-B</v>
      </c>
      <c r="B34" s="71" t="str">
        <f>IFERROR(VLOOKUP($A34, 'Master Roster'!$A:$E, 5, FALSE), "")</f>
        <v>Ackim Siamafuko</v>
      </c>
      <c r="C34" s="29">
        <v>1200.0</v>
      </c>
      <c r="D34" s="29">
        <v>1200.0</v>
      </c>
      <c r="E34" s="29">
        <v>1200.0</v>
      </c>
      <c r="F34" s="29">
        <v>1200.0</v>
      </c>
      <c r="G34" s="29">
        <v>1200.0</v>
      </c>
      <c r="H34" s="29">
        <v>1200.0</v>
      </c>
      <c r="I34" s="29">
        <v>1200.0</v>
      </c>
      <c r="J34" s="29">
        <v>1200.0</v>
      </c>
      <c r="K34" s="29" t="s">
        <v>175</v>
      </c>
      <c r="L34" s="29" t="s">
        <v>175</v>
      </c>
      <c r="M34" s="29" t="s">
        <v>175</v>
      </c>
      <c r="N34" s="29" t="s">
        <v>175</v>
      </c>
      <c r="O34" s="29">
        <v>9600.0</v>
      </c>
    </row>
    <row r="35">
      <c r="A35" s="71" t="str">
        <f>IFERROR(__xludf.DUMMYFUNCTION("""COMPUTED_VALUE"""),"CRV-17-A")</f>
        <v>CRV-17-A</v>
      </c>
      <c r="B35" s="71" t="str">
        <f>IFERROR(VLOOKUP($A35, 'Master Roster'!$A:$E, 5, FALSE), "")</f>
        <v>Kwitu Khalu</v>
      </c>
      <c r="C35" s="29">
        <v>900.0</v>
      </c>
      <c r="D35" s="29">
        <v>900.0</v>
      </c>
      <c r="E35" s="29">
        <v>900.0</v>
      </c>
      <c r="F35" s="29">
        <v>900.0</v>
      </c>
      <c r="G35" s="29">
        <v>900.0</v>
      </c>
      <c r="H35" s="29">
        <v>900.0</v>
      </c>
      <c r="I35" s="29">
        <v>900.0</v>
      </c>
      <c r="J35" s="29">
        <v>900.0</v>
      </c>
      <c r="K35" s="29">
        <v>900.0</v>
      </c>
      <c r="L35" s="29" t="s">
        <v>175</v>
      </c>
      <c r="M35" s="29" t="s">
        <v>175</v>
      </c>
      <c r="N35" s="29" t="s">
        <v>175</v>
      </c>
      <c r="O35" s="29">
        <v>8100.0</v>
      </c>
    </row>
    <row r="36">
      <c r="A36" s="71" t="str">
        <f>IFERROR(__xludf.DUMMYFUNCTION("""COMPUTED_VALUE"""),"CRV-18-A")</f>
        <v>CRV-18-A</v>
      </c>
      <c r="B36" s="71" t="str">
        <f>IFERROR(VLOOKUP($A36, 'Master Roster'!$A:$E, 5, FALSE), "")</f>
        <v>Christopher Tambule</v>
      </c>
      <c r="C36" s="29">
        <v>1200.0</v>
      </c>
      <c r="D36" s="29">
        <v>1200.0</v>
      </c>
      <c r="E36" s="29">
        <v>1200.0</v>
      </c>
      <c r="F36" s="29">
        <v>1200.0</v>
      </c>
      <c r="G36" s="29">
        <v>1200.0</v>
      </c>
      <c r="H36" s="29">
        <v>1200.0</v>
      </c>
      <c r="I36" s="29">
        <v>1200.0</v>
      </c>
      <c r="J36" s="29">
        <v>1200.0</v>
      </c>
      <c r="K36" s="29" t="s">
        <v>175</v>
      </c>
      <c r="L36" s="29" t="s">
        <v>175</v>
      </c>
      <c r="M36" s="29" t="s">
        <v>175</v>
      </c>
      <c r="N36" s="29" t="s">
        <v>175</v>
      </c>
      <c r="O36" s="29">
        <v>9600.0</v>
      </c>
    </row>
    <row r="37">
      <c r="A37" s="71" t="str">
        <f>IFERROR(__xludf.DUMMYFUNCTION("""COMPUTED_VALUE"""),"ANX-19-A")</f>
        <v>ANX-19-A</v>
      </c>
      <c r="B37" s="71" t="str">
        <f>IFERROR(VLOOKUP($A37, 'Master Roster'!$A:$E, 5, FALSE), "")</f>
        <v>Samantha Musako (Kakompe)</v>
      </c>
      <c r="C37" s="29">
        <v>1200.0</v>
      </c>
      <c r="D37" s="29">
        <v>1200.0</v>
      </c>
      <c r="E37" s="29">
        <v>1200.0</v>
      </c>
      <c r="F37" s="29">
        <v>1200.0</v>
      </c>
      <c r="G37" s="29">
        <v>1200.0</v>
      </c>
      <c r="H37" s="29">
        <v>1200.0</v>
      </c>
      <c r="I37" s="29">
        <v>1200.0</v>
      </c>
      <c r="J37" s="29">
        <v>1200.0</v>
      </c>
      <c r="K37" s="29" t="s">
        <v>175</v>
      </c>
      <c r="L37" s="29" t="s">
        <v>175</v>
      </c>
      <c r="M37" s="29" t="s">
        <v>175</v>
      </c>
      <c r="N37" s="29" t="s">
        <v>175</v>
      </c>
      <c r="O37" s="29">
        <v>9600.0</v>
      </c>
    </row>
    <row r="38">
      <c r="A38" s="71" t="str">
        <f>IFERROR(__xludf.DUMMYFUNCTION("""COMPUTED_VALUE"""),"ANX-19-B")</f>
        <v>ANX-19-B</v>
      </c>
      <c r="B38" s="71" t="str">
        <f>IFERROR(VLOOKUP($A38, 'Master Roster'!$A:$E, 5, FALSE), "")</f>
        <v>Chanda Lutashima</v>
      </c>
      <c r="C38" s="29">
        <v>1200.0</v>
      </c>
      <c r="D38" s="29">
        <v>1200.0</v>
      </c>
      <c r="E38" s="29">
        <v>1200.0</v>
      </c>
      <c r="F38" s="29">
        <v>1200.0</v>
      </c>
      <c r="G38" s="29">
        <v>1200.0</v>
      </c>
      <c r="H38" s="29">
        <v>1200.0</v>
      </c>
      <c r="I38" s="29">
        <v>1200.0</v>
      </c>
      <c r="J38" s="29">
        <v>1200.0</v>
      </c>
      <c r="K38" s="29">
        <v>1200.0</v>
      </c>
      <c r="L38" s="29" t="s">
        <v>175</v>
      </c>
      <c r="M38" s="29" t="s">
        <v>175</v>
      </c>
      <c r="N38" s="29" t="s">
        <v>175</v>
      </c>
      <c r="O38" s="29">
        <v>10800.0</v>
      </c>
    </row>
    <row r="39" hidden="1">
      <c r="A39" s="71" t="str">
        <f>IFERROR(__xludf.DUMMYFUNCTION("""COMPUTED_VALUE"""),"ANX-19-C")</f>
        <v>ANX-19-C</v>
      </c>
      <c r="B39" s="71" t="str">
        <f>IFERROR(VLOOKUP($A39, 'Master Roster'!$A:$E, 5, FALSE), "")</f>
        <v>Josephine Nyirenda </v>
      </c>
      <c r="C39" s="29">
        <v>1200.0</v>
      </c>
      <c r="D39" s="29">
        <v>1200.0</v>
      </c>
      <c r="E39" s="29">
        <v>1200.0</v>
      </c>
      <c r="F39" s="29">
        <v>1200.0</v>
      </c>
      <c r="G39" s="29">
        <v>1200.0</v>
      </c>
      <c r="H39" s="29">
        <v>1200.0</v>
      </c>
      <c r="I39" s="29">
        <v>1200.0</v>
      </c>
      <c r="J39" s="29">
        <v>1200.0</v>
      </c>
      <c r="K39" s="29" t="s">
        <v>175</v>
      </c>
      <c r="L39" s="29" t="s">
        <v>175</v>
      </c>
      <c r="M39" s="29" t="s">
        <v>175</v>
      </c>
      <c r="N39" s="29" t="s">
        <v>175</v>
      </c>
      <c r="O39" s="29">
        <v>9600.0</v>
      </c>
    </row>
    <row r="40">
      <c r="A40" s="71" t="str">
        <f>IFERROR(__xludf.DUMMYFUNCTION("""COMPUTED_VALUE"""),"ANX-19-D")</f>
        <v>ANX-19-D</v>
      </c>
      <c r="B40" s="71" t="str">
        <f>IFERROR(VLOOKUP($A40, 'Master Roster'!$A:$E, 5, FALSE), "")</f>
        <v>Lubono Ruthendo</v>
      </c>
      <c r="C40" s="29">
        <v>1200.0</v>
      </c>
      <c r="D40" s="29">
        <v>1200.0</v>
      </c>
      <c r="E40" s="29">
        <v>1200.0</v>
      </c>
      <c r="F40" s="29">
        <v>1200.0</v>
      </c>
      <c r="G40" s="29">
        <v>1200.0</v>
      </c>
      <c r="H40" s="29">
        <v>1200.0</v>
      </c>
      <c r="I40" s="29">
        <v>1200.0</v>
      </c>
      <c r="J40" s="29">
        <v>1200.0</v>
      </c>
      <c r="K40" s="29">
        <v>1200.0</v>
      </c>
      <c r="L40" s="29" t="s">
        <v>175</v>
      </c>
      <c r="M40" s="29" t="s">
        <v>175</v>
      </c>
      <c r="N40" s="29" t="s">
        <v>175</v>
      </c>
      <c r="O40" s="29">
        <v>10800.0</v>
      </c>
    </row>
    <row r="41">
      <c r="A41" s="71" t="str">
        <f>IFERROR(__xludf.DUMMYFUNCTION("""COMPUTED_VALUE"""),"ANX-20-A")</f>
        <v>ANX-20-A</v>
      </c>
      <c r="B41" s="71" t="str">
        <f>IFERROR(VLOOKUP($A41, 'Master Roster'!$A:$E, 5, FALSE), "")</f>
        <v>Steven Musonda</v>
      </c>
      <c r="C41" s="29">
        <v>1400.0</v>
      </c>
      <c r="D41" s="29">
        <v>1400.0</v>
      </c>
      <c r="E41" s="29">
        <v>1400.0</v>
      </c>
      <c r="F41" s="29">
        <v>1400.0</v>
      </c>
      <c r="G41" s="29">
        <v>1400.0</v>
      </c>
      <c r="H41" s="29">
        <v>1400.0</v>
      </c>
      <c r="I41" s="29">
        <v>1400.0</v>
      </c>
      <c r="J41" s="29">
        <v>1400.0</v>
      </c>
      <c r="K41" s="29">
        <v>1400.0</v>
      </c>
      <c r="L41" s="29" t="s">
        <v>175</v>
      </c>
      <c r="M41" s="29" t="s">
        <v>175</v>
      </c>
      <c r="N41" s="29" t="s">
        <v>175</v>
      </c>
      <c r="O41" s="29">
        <v>12600.0</v>
      </c>
    </row>
    <row r="42">
      <c r="A42" s="71" t="str">
        <f>IFERROR(__xludf.DUMMYFUNCTION("""COMPUTED_VALUE"""),"NWG-21-A")</f>
        <v>NWG-21-A</v>
      </c>
      <c r="B42" s="71" t="str">
        <f>IFERROR(VLOOKUP($A42, 'Master Roster'!$A:$E, 5, FALSE), "")</f>
        <v>Lukundo Siame</v>
      </c>
      <c r="C42" s="29">
        <v>1200.0</v>
      </c>
      <c r="D42" s="29">
        <v>1200.0</v>
      </c>
      <c r="E42" s="29">
        <v>1200.0</v>
      </c>
      <c r="F42" s="29">
        <v>1200.0</v>
      </c>
      <c r="G42" s="29">
        <v>1200.0</v>
      </c>
      <c r="H42" s="29">
        <v>1200.0</v>
      </c>
      <c r="I42" s="29">
        <v>1200.0</v>
      </c>
      <c r="J42" s="29" t="s">
        <v>175</v>
      </c>
      <c r="K42" s="29" t="s">
        <v>175</v>
      </c>
      <c r="L42" s="29" t="s">
        <v>175</v>
      </c>
      <c r="M42" s="29" t="s">
        <v>175</v>
      </c>
      <c r="N42" s="29" t="s">
        <v>175</v>
      </c>
      <c r="O42" s="29">
        <v>8400.0</v>
      </c>
    </row>
    <row r="43">
      <c r="A43" s="71" t="str">
        <f>IFERROR(__xludf.DUMMYFUNCTION("""COMPUTED_VALUE"""),"NWG-21-B")</f>
        <v>NWG-21-B</v>
      </c>
      <c r="B43" s="71" t="str">
        <f>IFERROR(VLOOKUP($A43, 'Master Roster'!$A:$E, 5, FALSE), "")</f>
        <v>Gabirel Kabwe</v>
      </c>
      <c r="C43" s="29">
        <v>1200.0</v>
      </c>
      <c r="D43" s="29">
        <v>1200.0</v>
      </c>
      <c r="E43" s="29">
        <v>1200.0</v>
      </c>
      <c r="F43" s="29">
        <v>1200.0</v>
      </c>
      <c r="G43" s="29">
        <v>1200.0</v>
      </c>
      <c r="H43" s="29">
        <v>1200.0</v>
      </c>
      <c r="I43" s="29">
        <v>1200.0</v>
      </c>
      <c r="J43" s="29">
        <v>1200.0</v>
      </c>
      <c r="K43" s="29" t="s">
        <v>175</v>
      </c>
      <c r="L43" s="29" t="s">
        <v>175</v>
      </c>
      <c r="M43" s="29" t="s">
        <v>175</v>
      </c>
      <c r="N43" s="29" t="s">
        <v>175</v>
      </c>
      <c r="O43" s="29">
        <v>9600.0</v>
      </c>
    </row>
    <row r="44" hidden="1">
      <c r="A44" s="71" t="str">
        <f>IFERROR(__xludf.DUMMYFUNCTION("""COMPUTED_VALUE"""),"NWG-21-C")</f>
        <v>NWG-21-C</v>
      </c>
      <c r="B44" s="71" t="str">
        <f>IFERROR(VLOOKUP($A44, 'Master Roster'!$A:$E, 5, FALSE), "")</f>
        <v>Chama Kampamba</v>
      </c>
      <c r="C44" s="29">
        <v>1200.0</v>
      </c>
      <c r="D44" s="29">
        <v>1200.0</v>
      </c>
      <c r="E44" s="29">
        <v>1200.0</v>
      </c>
      <c r="F44" s="29">
        <v>1200.0</v>
      </c>
      <c r="G44" s="29">
        <v>1200.0</v>
      </c>
      <c r="H44" s="29">
        <v>1200.0</v>
      </c>
      <c r="I44" s="29">
        <v>1200.0</v>
      </c>
      <c r="J44" s="29" t="s">
        <v>175</v>
      </c>
      <c r="K44" s="29" t="s">
        <v>175</v>
      </c>
      <c r="L44" s="29" t="s">
        <v>175</v>
      </c>
      <c r="M44" s="29" t="s">
        <v>175</v>
      </c>
      <c r="N44" s="29" t="s">
        <v>175</v>
      </c>
      <c r="O44" s="29">
        <v>8400.0</v>
      </c>
    </row>
    <row r="45">
      <c r="A45" s="71" t="str">
        <f>IFERROR(__xludf.DUMMYFUNCTION("""COMPUTED_VALUE"""),"NWG-21-D")</f>
        <v>NWG-21-D</v>
      </c>
      <c r="B45" s="71" t="str">
        <f>IFERROR(VLOOKUP($A45, 'Master Roster'!$A:$E, 5, FALSE), "")</f>
        <v>Jairos Banda</v>
      </c>
      <c r="C45" s="29">
        <v>1200.0</v>
      </c>
      <c r="D45" s="29">
        <v>1200.0</v>
      </c>
      <c r="E45" s="29">
        <v>1200.0</v>
      </c>
      <c r="F45" s="29">
        <v>1200.0</v>
      </c>
      <c r="G45" s="29">
        <v>1200.0</v>
      </c>
      <c r="H45" s="29">
        <v>1200.0</v>
      </c>
      <c r="I45" s="29">
        <v>1200.0</v>
      </c>
      <c r="J45" s="29">
        <v>1200.0</v>
      </c>
      <c r="K45" s="29">
        <v>1200.0</v>
      </c>
      <c r="L45" s="29" t="s">
        <v>175</v>
      </c>
      <c r="M45" s="29" t="s">
        <v>175</v>
      </c>
      <c r="N45" s="29" t="s">
        <v>175</v>
      </c>
      <c r="O45" s="29">
        <v>10800.0</v>
      </c>
    </row>
    <row r="46">
      <c r="A46" s="71" t="str">
        <f>IFERROR(__xludf.DUMMYFUNCTION("""COMPUTED_VALUE"""),"NWG-22-A")</f>
        <v>NWG-22-A</v>
      </c>
      <c r="B46" s="71" t="str">
        <f>IFERROR(VLOOKUP($A46, 'Master Roster'!$A:$E, 5, FALSE), "")</f>
        <v>Vacant</v>
      </c>
      <c r="C46" s="29" t="s">
        <v>175</v>
      </c>
      <c r="D46" s="29" t="s">
        <v>175</v>
      </c>
      <c r="E46" s="29" t="s">
        <v>175</v>
      </c>
      <c r="F46" s="29" t="s">
        <v>175</v>
      </c>
      <c r="G46" s="29" t="s">
        <v>175</v>
      </c>
      <c r="H46" s="29" t="s">
        <v>175</v>
      </c>
      <c r="I46" s="29" t="s">
        <v>175</v>
      </c>
      <c r="J46" s="29" t="s">
        <v>175</v>
      </c>
      <c r="K46" s="29" t="s">
        <v>175</v>
      </c>
      <c r="L46" s="29" t="s">
        <v>175</v>
      </c>
      <c r="M46" s="29" t="s">
        <v>175</v>
      </c>
      <c r="N46" s="29" t="s">
        <v>175</v>
      </c>
      <c r="O46" s="29">
        <v>0.0</v>
      </c>
    </row>
    <row r="47">
      <c r="A47" s="71" t="str">
        <f>IFERROR(__xludf.DUMMYFUNCTION("""COMPUTED_VALUE"""),"NWG-22-B")</f>
        <v>NWG-22-B</v>
      </c>
      <c r="B47" s="71" t="str">
        <f>IFERROR(VLOOKUP($A47, 'Master Roster'!$A:$E, 5, FALSE), "")</f>
        <v>David Mulila</v>
      </c>
      <c r="C47" s="29">
        <v>1200.0</v>
      </c>
      <c r="D47" s="29">
        <v>1200.0</v>
      </c>
      <c r="E47" s="29">
        <v>1200.0</v>
      </c>
      <c r="F47" s="29">
        <v>1200.0</v>
      </c>
      <c r="G47" s="29">
        <v>1200.0</v>
      </c>
      <c r="H47" s="29">
        <v>1200.0</v>
      </c>
      <c r="I47" s="29">
        <v>1200.0</v>
      </c>
      <c r="J47" s="29">
        <v>1200.0</v>
      </c>
      <c r="K47" s="29" t="s">
        <v>175</v>
      </c>
      <c r="L47" s="29" t="s">
        <v>175</v>
      </c>
      <c r="M47" s="29" t="s">
        <v>175</v>
      </c>
      <c r="N47" s="29" t="s">
        <v>175</v>
      </c>
      <c r="O47" s="29">
        <v>9600.0</v>
      </c>
    </row>
    <row r="48" hidden="1">
      <c r="A48" s="71" t="str">
        <f>IFERROR(__xludf.DUMMYFUNCTION("""COMPUTED_VALUE"""),"NWG-22-C")</f>
        <v>NWG-22-C</v>
      </c>
      <c r="B48" s="71" t="str">
        <f>IFERROR(VLOOKUP($A48, 'Master Roster'!$A:$E, 5, FALSE), "")</f>
        <v>Ongani Madaliso Gabriel </v>
      </c>
      <c r="C48" s="29">
        <v>1200.0</v>
      </c>
      <c r="D48" s="29">
        <v>1200.0</v>
      </c>
      <c r="E48" s="29">
        <v>1200.0</v>
      </c>
      <c r="F48" s="29">
        <v>1200.0</v>
      </c>
      <c r="G48" s="29">
        <v>1200.0</v>
      </c>
      <c r="H48" s="29">
        <v>1200.0</v>
      </c>
      <c r="I48" s="29">
        <v>1200.0</v>
      </c>
      <c r="J48" s="29">
        <v>1200.0</v>
      </c>
      <c r="K48" s="29">
        <v>1200.0</v>
      </c>
      <c r="L48" s="29" t="s">
        <v>175</v>
      </c>
      <c r="M48" s="29" t="s">
        <v>175</v>
      </c>
      <c r="N48" s="29" t="s">
        <v>175</v>
      </c>
      <c r="O48" s="29">
        <v>10800.0</v>
      </c>
    </row>
    <row r="49">
      <c r="A49" s="71" t="str">
        <f>IFERROR(__xludf.DUMMYFUNCTION("""COMPUTED_VALUE"""),"NWG-22-D")</f>
        <v>NWG-22-D</v>
      </c>
      <c r="B49" s="71" t="str">
        <f>IFERROR(VLOOKUP($A49, 'Master Roster'!$A:$E, 5, FALSE), "")</f>
        <v>Christopher Phiri</v>
      </c>
      <c r="C49" s="29">
        <v>1200.0</v>
      </c>
      <c r="D49" s="29">
        <v>1200.0</v>
      </c>
      <c r="E49" s="29">
        <v>1200.0</v>
      </c>
      <c r="F49" s="29">
        <v>1200.0</v>
      </c>
      <c r="G49" s="29">
        <v>1200.0</v>
      </c>
      <c r="H49" s="29">
        <v>1200.0</v>
      </c>
      <c r="I49" s="29">
        <v>1200.0</v>
      </c>
      <c r="J49" s="29">
        <v>1200.0</v>
      </c>
      <c r="K49" s="29">
        <v>1200.0</v>
      </c>
      <c r="L49" s="29" t="s">
        <v>175</v>
      </c>
      <c r="M49" s="29" t="s">
        <v>175</v>
      </c>
      <c r="N49" s="29" t="s">
        <v>175</v>
      </c>
      <c r="O49" s="29">
        <v>10800.0</v>
      </c>
    </row>
    <row r="50">
      <c r="A50" s="71" t="str">
        <f>IFERROR(__xludf.DUMMYFUNCTION("""COMPUTED_VALUE"""),"NWG-23-A")</f>
        <v>NWG-23-A</v>
      </c>
      <c r="B50" s="71" t="str">
        <f>IFERROR(VLOOKUP($A50, 'Master Roster'!$A:$E, 5, FALSE), "")</f>
        <v>Vacant</v>
      </c>
      <c r="C50" s="29" t="s">
        <v>175</v>
      </c>
      <c r="D50" s="29" t="s">
        <v>175</v>
      </c>
      <c r="E50" s="29" t="s">
        <v>175</v>
      </c>
      <c r="F50" s="29" t="s">
        <v>175</v>
      </c>
      <c r="G50" s="29" t="s">
        <v>175</v>
      </c>
      <c r="H50" s="29" t="s">
        <v>175</v>
      </c>
      <c r="I50" s="29" t="s">
        <v>175</v>
      </c>
      <c r="J50" s="29" t="s">
        <v>175</v>
      </c>
      <c r="K50" s="29" t="s">
        <v>175</v>
      </c>
      <c r="L50" s="29" t="s">
        <v>175</v>
      </c>
      <c r="M50" s="29" t="s">
        <v>175</v>
      </c>
      <c r="N50" s="29" t="s">
        <v>175</v>
      </c>
      <c r="O50" s="29">
        <v>0.0</v>
      </c>
    </row>
    <row r="51" hidden="1">
      <c r="A51" s="71" t="str">
        <f>IFERROR(__xludf.DUMMYFUNCTION("""COMPUTED_VALUE"""),"NWG-23-B")</f>
        <v>NWG-23-B</v>
      </c>
      <c r="B51" s="71" t="str">
        <f>IFERROR(VLOOKUP($A51, 'Master Roster'!$A:$E, 5, FALSE), "")</f>
        <v>Catherine Mphande</v>
      </c>
      <c r="C51" s="29">
        <v>1200.0</v>
      </c>
      <c r="D51" s="29">
        <v>1200.0</v>
      </c>
      <c r="E51" s="29">
        <v>1200.0</v>
      </c>
      <c r="F51" s="29">
        <v>1200.0</v>
      </c>
      <c r="G51" s="29">
        <v>1200.0</v>
      </c>
      <c r="H51" s="29">
        <v>1200.0</v>
      </c>
      <c r="I51" s="29">
        <v>1200.0</v>
      </c>
      <c r="J51" s="29">
        <v>1200.0</v>
      </c>
      <c r="K51" s="29" t="s">
        <v>175</v>
      </c>
      <c r="L51" s="29" t="s">
        <v>175</v>
      </c>
      <c r="M51" s="29" t="s">
        <v>175</v>
      </c>
      <c r="N51" s="29" t="s">
        <v>175</v>
      </c>
      <c r="O51" s="29">
        <v>9600.0</v>
      </c>
    </row>
    <row r="52">
      <c r="A52" s="71" t="str">
        <f>IFERROR(__xludf.DUMMYFUNCTION("""COMPUTED_VALUE"""),"NWG-23-C")</f>
        <v>NWG-23-C</v>
      </c>
      <c r="B52" s="71" t="str">
        <f>IFERROR(VLOOKUP($A52, 'Master Roster'!$A:$E, 5, FALSE), "")</f>
        <v>Grace Mwamba</v>
      </c>
      <c r="C52" s="29">
        <v>1200.0</v>
      </c>
      <c r="D52" s="29">
        <v>1200.0</v>
      </c>
      <c r="E52" s="29">
        <v>1200.0</v>
      </c>
      <c r="F52" s="29">
        <v>1200.0</v>
      </c>
      <c r="G52" s="29">
        <v>1200.0</v>
      </c>
      <c r="H52" s="29">
        <v>1200.0</v>
      </c>
      <c r="I52" s="29">
        <v>1200.0</v>
      </c>
      <c r="J52" s="29">
        <v>1200.0</v>
      </c>
      <c r="K52" s="29" t="s">
        <v>175</v>
      </c>
      <c r="L52" s="29" t="s">
        <v>175</v>
      </c>
      <c r="M52" s="29" t="s">
        <v>175</v>
      </c>
      <c r="N52" s="29" t="s">
        <v>175</v>
      </c>
      <c r="O52" s="29">
        <v>9600.0</v>
      </c>
    </row>
    <row r="53">
      <c r="A53" s="71" t="str">
        <f>IFERROR(__xludf.DUMMYFUNCTION("""COMPUTED_VALUE"""),"NWG-23-D")</f>
        <v>NWG-23-D</v>
      </c>
      <c r="B53" s="71" t="str">
        <f>IFERROR(VLOOKUP($A53, 'Master Roster'!$A:$E, 5, FALSE), "")</f>
        <v>Lushomo gambwe</v>
      </c>
      <c r="C53" s="29">
        <v>1200.0</v>
      </c>
      <c r="D53" s="29">
        <v>1200.0</v>
      </c>
      <c r="E53" s="29">
        <v>1200.0</v>
      </c>
      <c r="F53" s="29">
        <v>1200.0</v>
      </c>
      <c r="G53" s="29">
        <v>1200.0</v>
      </c>
      <c r="H53" s="29">
        <v>1200.0</v>
      </c>
      <c r="I53" s="29">
        <v>1200.0</v>
      </c>
      <c r="J53" s="29">
        <v>1200.0</v>
      </c>
      <c r="K53" s="29" t="s">
        <v>175</v>
      </c>
      <c r="L53" s="29" t="s">
        <v>175</v>
      </c>
      <c r="M53" s="29" t="s">
        <v>175</v>
      </c>
      <c r="N53" s="29" t="s">
        <v>175</v>
      </c>
      <c r="O53" s="29">
        <v>9600.0</v>
      </c>
    </row>
    <row r="54">
      <c r="A54" s="71" t="str">
        <f>IFERROR(__xludf.DUMMYFUNCTION("""COMPUTED_VALUE"""),"NWG-23-E")</f>
        <v>NWG-23-E</v>
      </c>
      <c r="B54" s="71" t="str">
        <f>IFERROR(VLOOKUP($A54, 'Master Roster'!$A:$E, 5, FALSE), "")</f>
        <v>Jacqueline Mwape</v>
      </c>
      <c r="C54" s="29">
        <v>1200.0</v>
      </c>
      <c r="D54" s="29">
        <v>1200.0</v>
      </c>
      <c r="E54" s="29">
        <v>1200.0</v>
      </c>
      <c r="F54" s="29">
        <v>1200.0</v>
      </c>
      <c r="G54" s="29">
        <v>1200.0</v>
      </c>
      <c r="H54" s="29">
        <v>1200.0</v>
      </c>
      <c r="I54" s="29">
        <v>1200.0</v>
      </c>
      <c r="J54" s="29">
        <v>1200.0</v>
      </c>
      <c r="K54" s="29" t="s">
        <v>175</v>
      </c>
      <c r="L54" s="29" t="s">
        <v>175</v>
      </c>
      <c r="M54" s="29" t="s">
        <v>175</v>
      </c>
      <c r="N54" s="29" t="s">
        <v>175</v>
      </c>
      <c r="O54" s="29">
        <v>9600.0</v>
      </c>
    </row>
    <row r="55">
      <c r="A55" s="71" t="str">
        <f>IFERROR(__xludf.DUMMYFUNCTION("""COMPUTED_VALUE"""),"NWG-24-A")</f>
        <v>NWG-24-A</v>
      </c>
      <c r="B55" s="71" t="str">
        <f>IFERROR(VLOOKUP($A55, 'Master Roster'!$A:$E, 5, FALSE), "")</f>
        <v>Chami Soneka</v>
      </c>
      <c r="C55" s="29">
        <v>1200.0</v>
      </c>
      <c r="D55" s="29">
        <v>1200.0</v>
      </c>
      <c r="E55" s="29">
        <v>1200.0</v>
      </c>
      <c r="F55" s="29">
        <v>1200.0</v>
      </c>
      <c r="G55" s="29">
        <v>1200.0</v>
      </c>
      <c r="H55" s="29">
        <v>1200.0</v>
      </c>
      <c r="I55" s="29">
        <v>1200.0</v>
      </c>
      <c r="J55" s="29">
        <v>1200.0</v>
      </c>
      <c r="K55" s="29">
        <v>1200.0</v>
      </c>
      <c r="L55" s="29" t="s">
        <v>175</v>
      </c>
      <c r="M55" s="29" t="s">
        <v>175</v>
      </c>
      <c r="N55" s="29" t="s">
        <v>175</v>
      </c>
      <c r="O55" s="29">
        <v>10800.0</v>
      </c>
    </row>
    <row r="56">
      <c r="A56" s="71" t="str">
        <f>IFERROR(__xludf.DUMMYFUNCTION("""COMPUTED_VALUE"""),"NWG-24-B")</f>
        <v>NWG-24-B</v>
      </c>
      <c r="B56" s="71" t="str">
        <f>IFERROR(VLOOKUP($A56, 'Master Roster'!$A:$E, 5, FALSE), "")</f>
        <v>Kuwunda Makondo</v>
      </c>
      <c r="C56" s="29">
        <v>1200.0</v>
      </c>
      <c r="D56" s="29">
        <v>1200.0</v>
      </c>
      <c r="E56" s="29">
        <v>1200.0</v>
      </c>
      <c r="F56" s="29">
        <v>1200.0</v>
      </c>
      <c r="G56" s="29">
        <v>1200.0</v>
      </c>
      <c r="H56" s="29">
        <v>1200.0</v>
      </c>
      <c r="I56" s="29">
        <v>1200.0</v>
      </c>
      <c r="J56" s="29">
        <v>1200.0</v>
      </c>
      <c r="K56" s="29" t="s">
        <v>175</v>
      </c>
      <c r="L56" s="29" t="s">
        <v>175</v>
      </c>
      <c r="M56" s="29" t="s">
        <v>175</v>
      </c>
      <c r="N56" s="29" t="s">
        <v>175</v>
      </c>
      <c r="O56" s="29">
        <v>9600.0</v>
      </c>
    </row>
    <row r="57">
      <c r="A57" s="71" t="str">
        <f>IFERROR(__xludf.DUMMYFUNCTION("""COMPUTED_VALUE"""),"NWG-24-C")</f>
        <v>NWG-24-C</v>
      </c>
      <c r="B57" s="71" t="str">
        <f>IFERROR(VLOOKUP($A57, 'Master Roster'!$A:$E, 5, FALSE), "")</f>
        <v>Chansa Chinyama</v>
      </c>
      <c r="C57" s="29">
        <v>1200.0</v>
      </c>
      <c r="D57" s="29">
        <v>1200.0</v>
      </c>
      <c r="E57" s="29">
        <v>1200.0</v>
      </c>
      <c r="F57" s="29">
        <v>1200.0</v>
      </c>
      <c r="G57" s="29">
        <v>1200.0</v>
      </c>
      <c r="H57" s="29">
        <v>1200.0</v>
      </c>
      <c r="I57" s="29">
        <v>1200.0</v>
      </c>
      <c r="J57" s="29" t="s">
        <v>175</v>
      </c>
      <c r="K57" s="29" t="s">
        <v>175</v>
      </c>
      <c r="L57" s="29" t="s">
        <v>175</v>
      </c>
      <c r="M57" s="29" t="s">
        <v>175</v>
      </c>
      <c r="N57" s="29" t="s">
        <v>175</v>
      </c>
      <c r="O57" s="29"/>
    </row>
    <row r="58">
      <c r="A58" s="71" t="str">
        <f>IFERROR(__xludf.DUMMYFUNCTION("""COMPUTED_VALUE"""),"NWG-24-D")</f>
        <v>NWG-24-D</v>
      </c>
      <c r="B58" s="71" t="str">
        <f>IFERROR(VLOOKUP($A58, 'Master Roster'!$A:$E, 5, FALSE), "")</f>
        <v>Kawina Florence</v>
      </c>
      <c r="C58" s="29">
        <v>1200.0</v>
      </c>
      <c r="D58" s="29">
        <v>1200.0</v>
      </c>
      <c r="E58" s="29">
        <v>1200.0</v>
      </c>
      <c r="F58" s="29">
        <v>1200.0</v>
      </c>
      <c r="G58" s="29">
        <v>1200.0</v>
      </c>
      <c r="H58" s="29">
        <v>1200.0</v>
      </c>
      <c r="I58" s="29" t="s">
        <v>175</v>
      </c>
      <c r="J58" s="29" t="s">
        <v>175</v>
      </c>
      <c r="K58" s="29" t="s">
        <v>175</v>
      </c>
      <c r="L58" s="29" t="s">
        <v>175</v>
      </c>
      <c r="M58" s="29" t="s">
        <v>175</v>
      </c>
      <c r="N58" s="29" t="s">
        <v>175</v>
      </c>
      <c r="O58" s="29"/>
    </row>
    <row r="59">
      <c r="A59" s="71"/>
      <c r="B59" s="71" t="str">
        <f>IFERROR(VLOOKUP($A59, 'Master Roster'!$A:$E, 5, FALSE), "")</f>
        <v/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</row>
    <row r="60">
      <c r="A60" s="71"/>
      <c r="B60" s="71" t="str">
        <f>IFERROR(VLOOKUP($A60, 'Master Roster'!$A:$E, 5, FALSE), "")</f>
        <v/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>
      <c r="A61" s="71"/>
      <c r="B61" s="71" t="str">
        <f>IFERROR(VLOOKUP($A61, 'Master Roster'!$A:$E, 5, FALSE), "")</f>
        <v/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>
      <c r="A62" s="71"/>
      <c r="B62" s="71" t="str">
        <f>IFERROR(VLOOKUP($A62, 'Master Roster'!$A:$E, 5, FALSE), "")</f>
        <v/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>
      <c r="A63" s="71"/>
      <c r="B63" s="71" t="str">
        <f>IFERROR(VLOOKUP($A63, 'Master Roster'!$A:$E, 5, FALSE), "")</f>
        <v/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>
      <c r="A64" s="71"/>
      <c r="B64" s="71" t="str">
        <f>IFERROR(VLOOKUP($A64, 'Master Roster'!$A:$E, 5, FALSE), "")</f>
        <v/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>
      <c r="A65" s="71"/>
      <c r="B65" s="71" t="str">
        <f>IFERROR(VLOOKUP($A65, 'Master Roster'!$A:$E, 5, FALSE), "")</f>
        <v/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</row>
    <row r="66">
      <c r="A66" s="71"/>
      <c r="B66" s="71" t="str">
        <f>IFERROR(VLOOKUP($A66, 'Master Roster'!$A:$E, 5, FALSE), "")</f>
        <v/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</row>
    <row r="67">
      <c r="A67" s="71"/>
      <c r="B67" s="71" t="str">
        <f>IFERROR(VLOOKUP($A67, 'Master Roster'!$A:$E, 5, FALSE), "")</f>
        <v/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</row>
    <row r="68">
      <c r="A68" s="71"/>
      <c r="B68" s="71" t="str">
        <f>IFERROR(VLOOKUP($A68, 'Master Roster'!$A:$E, 5, FALSE), "")</f>
        <v/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</row>
    <row r="69">
      <c r="A69" s="71"/>
      <c r="B69" s="71" t="str">
        <f>IFERROR(VLOOKUP($A69, 'Master Roster'!$A:$E, 5, FALSE), "")</f>
        <v/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>
      <c r="A70" s="71"/>
      <c r="B70" s="71" t="str">
        <f>IFERROR(VLOOKUP($A70, 'Master Roster'!$A:$E, 5, FALSE), "")</f>
        <v/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</row>
    <row r="71">
      <c r="A71" s="71"/>
      <c r="B71" s="71" t="str">
        <f>IFERROR(VLOOKUP($A71, 'Master Roster'!$A:$E, 5, FALSE), "")</f>
        <v/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</row>
    <row r="72">
      <c r="A72" s="71"/>
      <c r="B72" s="71" t="str">
        <f>IFERROR(VLOOKUP($A72, 'Master Roster'!$A:$E, 5, FALSE), "")</f>
        <v/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>
      <c r="A73" s="71"/>
      <c r="B73" s="71" t="str">
        <f>IFERROR(VLOOKUP($A73, 'Master Roster'!$A:$E, 5, FALSE), "")</f>
        <v/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>
      <c r="A74" s="71"/>
      <c r="B74" s="71" t="str">
        <f>IFERROR(VLOOKUP($A74, 'Master Roster'!$A:$E, 5, FALSE), "")</f>
        <v/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</row>
    <row r="75">
      <c r="A75" s="71"/>
      <c r="B75" s="71" t="str">
        <f>IFERROR(VLOOKUP($A75, 'Master Roster'!$A:$E, 5, FALSE), "")</f>
        <v/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</row>
    <row r="76">
      <c r="A76" s="71"/>
      <c r="B76" s="71" t="str">
        <f>IFERROR(VLOOKUP($A76, 'Master Roster'!$A:$E, 5, FALSE), "")</f>
        <v/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</row>
    <row r="77">
      <c r="A77" s="71"/>
      <c r="B77" s="71" t="str">
        <f>IFERROR(VLOOKUP($A77, 'Master Roster'!$A:$E, 5, FALSE), "")</f>
        <v/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>
      <c r="A78" s="71"/>
      <c r="B78" s="71" t="str">
        <f>IFERROR(VLOOKUP($A78, 'Master Roster'!$A:$E, 5, FALSE), "")</f>
        <v/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</row>
    <row r="79">
      <c r="A79" s="71"/>
      <c r="B79" s="71" t="str">
        <f>IFERROR(VLOOKUP($A79, 'Master Roster'!$A:$E, 5, FALSE), "")</f>
        <v/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>
      <c r="A80" s="71"/>
      <c r="B80" s="71" t="str">
        <f>IFERROR(VLOOKUP($A80, 'Master Roster'!$A:$E, 5, FALSE), "")</f>
        <v/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>
      <c r="A81" s="71"/>
      <c r="B81" s="71" t="str">
        <f>IFERROR(VLOOKUP($A81, 'Master Roster'!$A:$E, 5, FALSE), "")</f>
        <v/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>
      <c r="A82" s="71"/>
      <c r="B82" s="71" t="str">
        <f>IFERROR(VLOOKUP($A82, 'Master Roster'!$A:$E, 5, FALSE), "")</f>
        <v/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>
      <c r="A83" s="71"/>
      <c r="B83" s="71" t="str">
        <f>IFERROR(VLOOKUP($A83, 'Master Roster'!$A:$E, 5, FALSE), "")</f>
        <v/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</row>
    <row r="84">
      <c r="A84" s="71"/>
      <c r="B84" s="71" t="str">
        <f>IFERROR(VLOOKUP($A84, 'Master Roster'!$A:$E, 5, FALSE), "")</f>
        <v/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>
      <c r="A85" s="71"/>
      <c r="B85" s="71" t="str">
        <f>IFERROR(VLOOKUP($A85, 'Master Roster'!$A:$E, 5, FALSE), "")</f>
        <v/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</row>
    <row r="86">
      <c r="A86" s="71"/>
      <c r="B86" s="71" t="str">
        <f>IFERROR(VLOOKUP($A86, 'Master Roster'!$A:$E, 5, FALSE), "")</f>
        <v/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>
      <c r="A87" s="71"/>
      <c r="B87" s="71" t="str">
        <f>IFERROR(VLOOKUP($A87, 'Master Roster'!$A:$E, 5, FALSE), "")</f>
        <v/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</row>
    <row r="88">
      <c r="A88" s="71"/>
      <c r="B88" s="71" t="str">
        <f>IFERROR(VLOOKUP($A88, 'Master Roster'!$A:$E, 5, FALSE), "")</f>
        <v/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</row>
    <row r="89">
      <c r="A89" s="71"/>
      <c r="B89" s="71" t="str">
        <f>IFERROR(VLOOKUP($A89, 'Master Roster'!$A:$E, 5, FALSE), "")</f>
        <v/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>
      <c r="A90" s="71"/>
      <c r="B90" s="71" t="str">
        <f>IFERROR(VLOOKUP($A90, 'Master Roster'!$A:$E, 5, FALSE), "")</f>
        <v/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>
      <c r="A91" s="71"/>
      <c r="B91" s="71" t="str">
        <f>IFERROR(VLOOKUP($A91, 'Master Roster'!$A:$E, 5, FALSE), "")</f>
        <v/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</row>
    <row r="92">
      <c r="A92" s="71"/>
      <c r="B92" s="71" t="str">
        <f>IFERROR(VLOOKUP($A92, 'Master Roster'!$A:$E, 5, FALSE), "")</f>
        <v/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</row>
    <row r="93">
      <c r="A93" s="71"/>
      <c r="B93" s="71" t="str">
        <f>IFERROR(VLOOKUP($A93, 'Master Roster'!$A:$E, 5, FALSE), "")</f>
        <v/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</row>
    <row r="94">
      <c r="A94" s="71"/>
      <c r="B94" s="71" t="str">
        <f>IFERROR(VLOOKUP($A94, 'Master Roster'!$A:$E, 5, FALSE), "")</f>
        <v/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>
      <c r="A95" s="71"/>
      <c r="B95" s="71" t="str">
        <f>IFERROR(VLOOKUP($A95, 'Master Roster'!$A:$E, 5, FALSE), "")</f>
        <v/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>
      <c r="A96" s="71"/>
      <c r="B96" s="71" t="str">
        <f>IFERROR(VLOOKUP($A96, 'Master Roster'!$A:$E, 5, FALSE), "")</f>
        <v/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</row>
    <row r="97">
      <c r="A97" s="71"/>
      <c r="B97" s="71" t="str">
        <f>IFERROR(VLOOKUP($A97, 'Master Roster'!$A:$E, 5, FALSE), "")</f>
        <v/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</row>
    <row r="98">
      <c r="A98" s="71"/>
      <c r="B98" s="71" t="str">
        <f>IFERROR(VLOOKUP($A98, 'Master Roster'!$A:$E, 5, FALSE), "")</f>
        <v/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>
      <c r="A99" s="71"/>
      <c r="B99" s="71" t="str">
        <f>IFERROR(VLOOKUP($A99, 'Master Roster'!$A:$E, 5, FALSE), "")</f>
        <v/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</row>
    <row r="100">
      <c r="A100" s="71"/>
      <c r="B100" s="71" t="str">
        <f>IFERROR(VLOOKUP($A100, 'Master Roster'!$A:$E, 5, FALSE), "")</f>
        <v/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>
      <c r="A101" s="71"/>
      <c r="B101" s="7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>
      <c r="A102" s="71"/>
      <c r="B102" s="71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>
      <c r="A103" s="7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>
      <c r="A104" s="7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>
      <c r="A105" s="7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>
      <c r="A106" s="7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>
      <c r="A107" s="7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>
      <c r="A108" s="7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>
      <c r="A109" s="7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>
      <c r="A110" s="7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>
      <c r="A111" s="7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>
      <c r="A112" s="7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>
      <c r="A113" s="7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>
      <c r="A114" s="7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>
      <c r="A115" s="7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>
      <c r="A116" s="7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>
      <c r="A117" s="7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>
      <c r="A118" s="71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>
      <c r="A119" s="7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>
      <c r="A120" s="71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>
      <c r="A121" s="71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>
      <c r="A122" s="71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>
      <c r="A123" s="71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>
      <c r="A124" s="71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>
      <c r="A125" s="71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>
      <c r="A126" s="71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>
      <c r="A127" s="71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>
      <c r="A128" s="71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>
      <c r="A129" s="7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>
      <c r="A130" s="71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>
      <c r="A131" s="71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</row>
    <row r="132">
      <c r="A132" s="71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>
      <c r="A133" s="7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>
      <c r="A134" s="71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>
      <c r="A135" s="71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</row>
    <row r="136">
      <c r="A136" s="71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>
      <c r="A137" s="71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>
      <c r="A138" s="71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>
      <c r="A139" s="7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>
      <c r="A140" s="71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>
      <c r="A141" s="71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>
      <c r="A142" s="71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>
      <c r="A143" s="7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</row>
    <row r="144">
      <c r="A144" s="7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>
      <c r="A145" s="7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>
      <c r="A146" s="7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>
      <c r="A147" s="7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</row>
    <row r="148">
      <c r="A148" s="7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>
      <c r="A149" s="7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>
      <c r="A150" s="7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>
      <c r="A151" s="71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</row>
    <row r="152">
      <c r="A152" s="71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>
      <c r="A153" s="71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>
      <c r="A154" s="71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>
      <c r="A155" s="71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>
      <c r="A156" s="71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>
      <c r="A157" s="71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>
      <c r="A158" s="71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>
      <c r="A159" s="71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</row>
    <row r="160">
      <c r="A160" s="71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>
      <c r="A161" s="71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>
      <c r="A162" s="71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>
      <c r="A163" s="71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>
      <c r="A164" s="71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  <row r="165">
      <c r="A165" s="71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</row>
    <row r="166">
      <c r="A166" s="71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>
      <c r="A167" s="71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</row>
    <row r="168">
      <c r="A168" s="71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</row>
    <row r="169">
      <c r="A169" s="7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>
      <c r="A170" s="71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</row>
    <row r="171">
      <c r="A171" s="71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</row>
    <row r="172">
      <c r="A172" s="71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>
      <c r="A173" s="71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</row>
    <row r="174">
      <c r="A174" s="71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</row>
    <row r="175">
      <c r="A175" s="71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</row>
    <row r="176">
      <c r="A176" s="71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>
      <c r="A177" s="71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</row>
    <row r="178">
      <c r="A178" s="71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</row>
    <row r="179">
      <c r="A179" s="7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</row>
    <row r="180">
      <c r="A180" s="71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>
      <c r="A181" s="71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</row>
    <row r="182">
      <c r="A182" s="71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</row>
    <row r="183">
      <c r="A183" s="71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</row>
    <row r="184">
      <c r="A184" s="71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</row>
    <row r="185">
      <c r="A185" s="71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</row>
    <row r="186">
      <c r="A186" s="71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</row>
    <row r="187">
      <c r="A187" s="71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</row>
    <row r="188">
      <c r="A188" s="71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</row>
    <row r="189">
      <c r="A189" s="7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</row>
    <row r="190">
      <c r="A190" s="71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</row>
    <row r="191">
      <c r="A191" s="71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</row>
    <row r="192">
      <c r="A192" s="71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</row>
    <row r="193">
      <c r="A193" s="71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</row>
    <row r="194">
      <c r="A194" s="71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</row>
    <row r="195">
      <c r="A195" s="71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</row>
    <row r="196">
      <c r="A196" s="71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</row>
    <row r="197">
      <c r="A197" s="71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>
      <c r="A198" s="71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</row>
    <row r="199">
      <c r="A199" s="71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</row>
    <row r="200">
      <c r="A200" s="71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</row>
    <row r="201">
      <c r="A201" s="71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</row>
    <row r="202">
      <c r="A202" s="71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</row>
    <row r="203">
      <c r="A203" s="71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</row>
    <row r="204">
      <c r="A204" s="71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</row>
    <row r="205">
      <c r="A205" s="71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</row>
    <row r="206">
      <c r="A206" s="71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</row>
    <row r="207">
      <c r="A207" s="71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</row>
    <row r="208">
      <c r="A208" s="71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</row>
    <row r="209">
      <c r="A209" s="7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</row>
    <row r="210">
      <c r="A210" s="71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</row>
    <row r="211">
      <c r="A211" s="71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</row>
    <row r="212">
      <c r="A212" s="71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</row>
    <row r="213">
      <c r="A213" s="71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</row>
    <row r="214">
      <c r="A214" s="71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</row>
    <row r="215">
      <c r="A215" s="71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</row>
    <row r="216">
      <c r="A216" s="71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</row>
    <row r="217">
      <c r="A217" s="71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</row>
    <row r="218">
      <c r="A218" s="71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</row>
    <row r="219">
      <c r="A219" s="71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</row>
    <row r="220">
      <c r="A220" s="71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</row>
    <row r="221">
      <c r="A221" s="71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</row>
    <row r="222">
      <c r="A222" s="71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</row>
    <row r="223">
      <c r="A223" s="71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</row>
    <row r="224">
      <c r="A224" s="71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</row>
    <row r="225">
      <c r="A225" s="71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</row>
    <row r="226">
      <c r="A226" s="71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</row>
    <row r="227">
      <c r="A227" s="71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</row>
    <row r="228">
      <c r="A228" s="71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</row>
    <row r="229">
      <c r="A229" s="71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</row>
    <row r="230">
      <c r="A230" s="71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</row>
    <row r="231">
      <c r="A231" s="71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</row>
    <row r="232">
      <c r="A232" s="71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</row>
    <row r="233">
      <c r="A233" s="71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</row>
    <row r="234">
      <c r="A234" s="71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</row>
    <row r="235">
      <c r="A235" s="71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</row>
    <row r="236">
      <c r="A236" s="71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</row>
    <row r="237">
      <c r="A237" s="71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</row>
    <row r="238">
      <c r="A238" s="71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</row>
    <row r="239">
      <c r="A239" s="71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</row>
    <row r="240">
      <c r="A240" s="71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</row>
    <row r="241">
      <c r="A241" s="71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</row>
    <row r="242">
      <c r="A242" s="71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</row>
    <row r="243">
      <c r="A243" s="71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</row>
    <row r="244">
      <c r="A244" s="71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</row>
    <row r="245">
      <c r="A245" s="71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</row>
    <row r="246">
      <c r="A246" s="71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</row>
    <row r="247">
      <c r="A247" s="71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</row>
    <row r="248">
      <c r="A248" s="71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</row>
    <row r="249">
      <c r="A249" s="71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</row>
    <row r="250">
      <c r="A250" s="71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</row>
    <row r="251">
      <c r="A251" s="71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</row>
    <row r="252">
      <c r="A252" s="71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</row>
    <row r="253">
      <c r="A253" s="71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</row>
    <row r="254">
      <c r="A254" s="71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</row>
    <row r="255">
      <c r="A255" s="71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</row>
    <row r="256">
      <c r="A256" s="71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</row>
    <row r="257">
      <c r="A257" s="71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</row>
    <row r="258">
      <c r="A258" s="71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</row>
    <row r="259">
      <c r="A259" s="71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</row>
    <row r="260">
      <c r="A260" s="71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</row>
    <row r="261">
      <c r="A261" s="71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</row>
    <row r="262">
      <c r="A262" s="71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</row>
    <row r="263">
      <c r="A263" s="71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</row>
    <row r="264">
      <c r="A264" s="71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</row>
    <row r="265">
      <c r="A265" s="71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</row>
    <row r="266">
      <c r="A266" s="71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</row>
    <row r="267">
      <c r="A267" s="71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</row>
    <row r="268">
      <c r="A268" s="71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</row>
    <row r="269">
      <c r="A269" s="71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</row>
    <row r="270">
      <c r="A270" s="71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</row>
    <row r="271">
      <c r="A271" s="71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</row>
    <row r="272">
      <c r="A272" s="71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</row>
    <row r="273">
      <c r="A273" s="71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</row>
    <row r="274">
      <c r="A274" s="71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</row>
    <row r="275">
      <c r="A275" s="71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</row>
    <row r="276">
      <c r="A276" s="71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</row>
    <row r="277">
      <c r="A277" s="71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</row>
    <row r="278">
      <c r="A278" s="71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</row>
    <row r="279">
      <c r="A279" s="71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</row>
    <row r="280">
      <c r="A280" s="71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</row>
    <row r="281">
      <c r="A281" s="71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</row>
    <row r="282">
      <c r="A282" s="71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</row>
    <row r="283">
      <c r="A283" s="71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</row>
    <row r="284">
      <c r="A284" s="71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</row>
    <row r="285">
      <c r="A285" s="71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</row>
    <row r="286">
      <c r="A286" s="71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</row>
    <row r="287">
      <c r="A287" s="71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</row>
    <row r="288">
      <c r="A288" s="71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</row>
    <row r="289">
      <c r="A289" s="71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</row>
    <row r="290">
      <c r="A290" s="71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</row>
    <row r="291">
      <c r="A291" s="71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</row>
    <row r="292">
      <c r="A292" s="71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</row>
    <row r="293">
      <c r="A293" s="71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</row>
    <row r="294">
      <c r="A294" s="71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</row>
    <row r="295">
      <c r="A295" s="71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</row>
    <row r="296">
      <c r="A296" s="71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</row>
    <row r="297">
      <c r="A297" s="71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</row>
    <row r="298">
      <c r="A298" s="71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</row>
    <row r="299">
      <c r="A299" s="71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</row>
    <row r="300">
      <c r="A300" s="71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</row>
    <row r="301">
      <c r="A301" s="71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</row>
    <row r="302">
      <c r="A302" s="71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</row>
    <row r="303">
      <c r="A303" s="71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</row>
    <row r="304">
      <c r="A304" s="71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</row>
    <row r="305">
      <c r="A305" s="71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</row>
    <row r="306">
      <c r="A306" s="71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</row>
    <row r="307">
      <c r="A307" s="71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</row>
    <row r="308">
      <c r="A308" s="71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</row>
    <row r="309">
      <c r="A309" s="71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</row>
    <row r="310">
      <c r="A310" s="71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</row>
    <row r="311">
      <c r="A311" s="71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</row>
    <row r="312">
      <c r="A312" s="71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</row>
    <row r="313">
      <c r="A313" s="71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</row>
    <row r="314">
      <c r="A314" s="71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</row>
    <row r="315">
      <c r="A315" s="71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</row>
    <row r="316">
      <c r="A316" s="71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</row>
    <row r="317">
      <c r="A317" s="71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</row>
    <row r="318">
      <c r="A318" s="71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</row>
    <row r="319">
      <c r="A319" s="71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</row>
    <row r="320">
      <c r="A320" s="71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</row>
    <row r="321">
      <c r="A321" s="71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</row>
    <row r="322">
      <c r="A322" s="71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</row>
    <row r="323">
      <c r="A323" s="71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</row>
    <row r="324">
      <c r="A324" s="71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</row>
    <row r="325">
      <c r="A325" s="71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</row>
    <row r="326">
      <c r="A326" s="71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</row>
    <row r="327">
      <c r="A327" s="71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</row>
    <row r="328">
      <c r="A328" s="71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</row>
    <row r="329">
      <c r="A329" s="71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</row>
    <row r="330">
      <c r="A330" s="71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</row>
    <row r="331">
      <c r="A331" s="71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</row>
    <row r="332">
      <c r="A332" s="71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</row>
    <row r="333">
      <c r="A333" s="71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</row>
    <row r="334">
      <c r="A334" s="71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</row>
    <row r="335">
      <c r="A335" s="71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</row>
    <row r="336">
      <c r="A336" s="71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</row>
    <row r="337">
      <c r="A337" s="71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</row>
    <row r="338">
      <c r="A338" s="71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</row>
    <row r="339">
      <c r="A339" s="71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</row>
    <row r="340">
      <c r="A340" s="71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</row>
    <row r="341">
      <c r="A341" s="71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</row>
    <row r="342">
      <c r="A342" s="71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</row>
    <row r="343">
      <c r="A343" s="71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</row>
    <row r="344">
      <c r="A344" s="71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</row>
    <row r="345">
      <c r="A345" s="71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</row>
    <row r="346">
      <c r="A346" s="71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</row>
    <row r="347">
      <c r="A347" s="71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</row>
    <row r="348">
      <c r="A348" s="71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</row>
    <row r="349">
      <c r="A349" s="71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</row>
    <row r="350">
      <c r="A350" s="71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</row>
    <row r="351">
      <c r="A351" s="71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</row>
    <row r="352">
      <c r="A352" s="71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</row>
    <row r="353">
      <c r="A353" s="71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</row>
    <row r="354">
      <c r="A354" s="71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</row>
    <row r="355">
      <c r="A355" s="71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</row>
    <row r="356">
      <c r="A356" s="71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</row>
    <row r="357">
      <c r="A357" s="71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</row>
    <row r="358">
      <c r="A358" s="71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</row>
    <row r="359">
      <c r="A359" s="71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</row>
    <row r="360">
      <c r="A360" s="71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</row>
    <row r="361">
      <c r="A361" s="71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</row>
    <row r="362">
      <c r="A362" s="71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</row>
    <row r="363">
      <c r="A363" s="71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</row>
    <row r="364">
      <c r="A364" s="71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</row>
    <row r="365">
      <c r="A365" s="71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</row>
    <row r="366">
      <c r="A366" s="71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</row>
    <row r="367">
      <c r="A367" s="71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</row>
    <row r="368">
      <c r="A368" s="71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</row>
    <row r="369">
      <c r="A369" s="71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</row>
    <row r="370">
      <c r="A370" s="71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</row>
    <row r="371">
      <c r="A371" s="71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</row>
    <row r="372">
      <c r="A372" s="71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</row>
    <row r="373">
      <c r="A373" s="71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</row>
    <row r="374">
      <c r="A374" s="71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</row>
    <row r="375">
      <c r="A375" s="71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</row>
    <row r="376">
      <c r="A376" s="71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</row>
    <row r="377">
      <c r="A377" s="71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</row>
    <row r="378">
      <c r="A378" s="71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</row>
    <row r="379">
      <c r="A379" s="71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</row>
    <row r="380">
      <c r="A380" s="71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</row>
    <row r="381">
      <c r="A381" s="71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</row>
    <row r="382">
      <c r="A382" s="71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</row>
    <row r="383">
      <c r="A383" s="71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</row>
    <row r="384">
      <c r="A384" s="71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</row>
    <row r="385">
      <c r="A385" s="71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</row>
    <row r="386">
      <c r="A386" s="71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</row>
    <row r="387">
      <c r="A387" s="71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</row>
    <row r="388">
      <c r="A388" s="71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</row>
    <row r="389">
      <c r="A389" s="71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</row>
    <row r="390">
      <c r="A390" s="71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</row>
    <row r="391">
      <c r="A391" s="71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</row>
    <row r="392">
      <c r="A392" s="71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</row>
    <row r="393">
      <c r="A393" s="71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</row>
    <row r="394">
      <c r="A394" s="71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</row>
    <row r="395">
      <c r="A395" s="71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</row>
    <row r="396">
      <c r="A396" s="71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</row>
    <row r="397">
      <c r="A397" s="71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</row>
    <row r="398">
      <c r="A398" s="71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</row>
    <row r="399">
      <c r="A399" s="71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</row>
    <row r="400">
      <c r="A400" s="71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</row>
    <row r="401">
      <c r="A401" s="71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</row>
    <row r="402">
      <c r="A402" s="71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</row>
    <row r="403">
      <c r="A403" s="71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</row>
    <row r="404">
      <c r="A404" s="71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</row>
    <row r="405">
      <c r="A405" s="71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</row>
    <row r="406">
      <c r="A406" s="71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</row>
    <row r="407">
      <c r="A407" s="71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</row>
    <row r="408">
      <c r="A408" s="71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</row>
    <row r="409">
      <c r="A409" s="71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</row>
    <row r="410">
      <c r="A410" s="71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</row>
    <row r="411">
      <c r="A411" s="71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</row>
    <row r="412">
      <c r="A412" s="71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</row>
    <row r="413">
      <c r="A413" s="71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</row>
    <row r="414">
      <c r="A414" s="71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</row>
    <row r="415">
      <c r="A415" s="71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</row>
    <row r="416">
      <c r="A416" s="71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</row>
    <row r="417">
      <c r="A417" s="71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</row>
    <row r="418">
      <c r="A418" s="71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</row>
    <row r="419">
      <c r="A419" s="71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</row>
    <row r="420">
      <c r="A420" s="71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</row>
    <row r="421">
      <c r="A421" s="71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</row>
    <row r="422">
      <c r="A422" s="71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</row>
    <row r="423">
      <c r="A423" s="71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</row>
    <row r="424">
      <c r="A424" s="71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</row>
    <row r="425">
      <c r="A425" s="71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</row>
    <row r="426">
      <c r="A426" s="71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</row>
    <row r="427">
      <c r="A427" s="71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</row>
    <row r="428">
      <c r="A428" s="71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</row>
    <row r="429">
      <c r="A429" s="71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</row>
    <row r="430">
      <c r="A430" s="71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</row>
    <row r="431">
      <c r="A431" s="71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</row>
    <row r="432">
      <c r="A432" s="71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</row>
    <row r="433">
      <c r="A433" s="71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</row>
    <row r="434">
      <c r="A434" s="71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</row>
    <row r="435">
      <c r="A435" s="71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</row>
    <row r="436">
      <c r="A436" s="71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</row>
    <row r="437">
      <c r="A437" s="71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</row>
    <row r="438">
      <c r="A438" s="71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</row>
    <row r="439">
      <c r="A439" s="71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</row>
    <row r="440">
      <c r="A440" s="71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</row>
    <row r="441">
      <c r="A441" s="71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</row>
    <row r="442">
      <c r="A442" s="71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</row>
    <row r="443">
      <c r="A443" s="71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</row>
    <row r="444">
      <c r="A444" s="71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</row>
    <row r="445">
      <c r="A445" s="71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</row>
    <row r="446">
      <c r="A446" s="71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</row>
    <row r="447">
      <c r="A447" s="71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</row>
    <row r="448">
      <c r="A448" s="71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</row>
    <row r="449">
      <c r="A449" s="71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</row>
    <row r="450">
      <c r="A450" s="71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</row>
    <row r="451">
      <c r="A451" s="71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</row>
    <row r="452">
      <c r="A452" s="71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</row>
    <row r="453">
      <c r="A453" s="71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</row>
    <row r="454">
      <c r="A454" s="71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</row>
    <row r="455">
      <c r="A455" s="71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</row>
    <row r="456">
      <c r="A456" s="71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</row>
    <row r="457">
      <c r="A457" s="71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</row>
    <row r="458">
      <c r="A458" s="71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</row>
    <row r="459">
      <c r="A459" s="71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</row>
    <row r="460">
      <c r="A460" s="71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</row>
    <row r="461">
      <c r="A461" s="71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</row>
    <row r="462">
      <c r="A462" s="71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</row>
    <row r="463">
      <c r="A463" s="71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</row>
    <row r="464">
      <c r="A464" s="71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</row>
    <row r="465">
      <c r="A465" s="71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</row>
    <row r="466">
      <c r="A466" s="71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</row>
    <row r="467">
      <c r="A467" s="71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</row>
    <row r="468">
      <c r="A468" s="71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</row>
    <row r="469">
      <c r="A469" s="71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</row>
    <row r="470">
      <c r="A470" s="71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</row>
    <row r="471">
      <c r="A471" s="71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</row>
    <row r="472">
      <c r="A472" s="71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</row>
    <row r="473">
      <c r="A473" s="71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</row>
    <row r="474">
      <c r="A474" s="71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</row>
    <row r="475">
      <c r="A475" s="71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</row>
    <row r="476">
      <c r="A476" s="71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</row>
    <row r="477">
      <c r="A477" s="71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</row>
    <row r="478">
      <c r="A478" s="71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</row>
    <row r="479">
      <c r="A479" s="71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</row>
    <row r="480">
      <c r="A480" s="71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</row>
    <row r="481">
      <c r="A481" s="71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</row>
    <row r="482">
      <c r="A482" s="71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</row>
    <row r="483">
      <c r="A483" s="71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</row>
    <row r="484">
      <c r="A484" s="71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</row>
    <row r="485">
      <c r="A485" s="71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</row>
    <row r="486">
      <c r="A486" s="71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</row>
    <row r="487">
      <c r="A487" s="71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</row>
    <row r="488">
      <c r="A488" s="71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</row>
    <row r="489">
      <c r="A489" s="71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</row>
    <row r="490">
      <c r="A490" s="71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</row>
    <row r="491">
      <c r="A491" s="71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</row>
    <row r="492">
      <c r="A492" s="71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</row>
    <row r="493">
      <c r="A493" s="71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</row>
    <row r="494">
      <c r="A494" s="71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</row>
    <row r="495">
      <c r="A495" s="71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</row>
    <row r="496">
      <c r="A496" s="71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</row>
    <row r="497">
      <c r="A497" s="71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</row>
    <row r="498">
      <c r="A498" s="71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</row>
    <row r="499">
      <c r="A499" s="71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</row>
    <row r="500">
      <c r="A500" s="71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</row>
    <row r="501">
      <c r="A501" s="71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</row>
    <row r="502">
      <c r="A502" s="71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</row>
    <row r="503">
      <c r="A503" s="71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</row>
    <row r="504">
      <c r="A504" s="71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</row>
    <row r="505">
      <c r="A505" s="71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>
      <c r="A506" s="71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>
      <c r="A507" s="71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>
      <c r="A508" s="71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</row>
    <row r="509">
      <c r="A509" s="71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</row>
    <row r="510">
      <c r="A510" s="71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</row>
    <row r="511">
      <c r="A511" s="71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</row>
    <row r="512">
      <c r="A512" s="71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</row>
    <row r="513">
      <c r="A513" s="71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</row>
    <row r="514">
      <c r="A514" s="71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</row>
    <row r="515">
      <c r="A515" s="71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</row>
    <row r="516">
      <c r="A516" s="71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</row>
    <row r="517">
      <c r="A517" s="71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</row>
    <row r="518">
      <c r="A518" s="71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</row>
    <row r="519">
      <c r="A519" s="71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</row>
    <row r="520">
      <c r="A520" s="71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</row>
    <row r="521">
      <c r="A521" s="71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</row>
    <row r="522">
      <c r="A522" s="71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</row>
    <row r="523">
      <c r="A523" s="71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</row>
    <row r="524">
      <c r="A524" s="71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</row>
    <row r="525">
      <c r="A525" s="71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</row>
    <row r="526">
      <c r="A526" s="71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</row>
    <row r="527">
      <c r="A527" s="71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</row>
    <row r="528">
      <c r="A528" s="71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</row>
    <row r="529">
      <c r="A529" s="71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</row>
    <row r="530">
      <c r="A530" s="71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</row>
    <row r="531">
      <c r="A531" s="71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</row>
    <row r="532">
      <c r="A532" s="71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</row>
    <row r="533">
      <c r="A533" s="71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</row>
    <row r="534">
      <c r="A534" s="71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</row>
    <row r="535">
      <c r="A535" s="71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</row>
    <row r="536">
      <c r="A536" s="71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</row>
    <row r="537">
      <c r="A537" s="71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</row>
    <row r="538">
      <c r="A538" s="71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</row>
    <row r="539">
      <c r="A539" s="71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</row>
    <row r="540">
      <c r="A540" s="71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</row>
    <row r="541">
      <c r="A541" s="71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</row>
    <row r="542">
      <c r="A542" s="71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</row>
    <row r="543">
      <c r="A543" s="71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</row>
    <row r="544">
      <c r="A544" s="71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</row>
    <row r="545">
      <c r="A545" s="71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</row>
    <row r="546">
      <c r="A546" s="71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</row>
    <row r="547">
      <c r="A547" s="71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</row>
    <row r="548">
      <c r="A548" s="71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</row>
    <row r="549">
      <c r="A549" s="71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</row>
    <row r="550">
      <c r="A550" s="71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</row>
    <row r="551">
      <c r="A551" s="71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</row>
    <row r="552">
      <c r="A552" s="71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</row>
    <row r="553">
      <c r="A553" s="71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</row>
    <row r="554">
      <c r="A554" s="71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</row>
    <row r="555">
      <c r="A555" s="71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</row>
    <row r="556">
      <c r="A556" s="71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</row>
    <row r="557">
      <c r="A557" s="71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</row>
    <row r="558">
      <c r="A558" s="71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</row>
    <row r="559">
      <c r="A559" s="71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</row>
    <row r="560">
      <c r="A560" s="71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</row>
    <row r="561">
      <c r="A561" s="71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</row>
    <row r="562">
      <c r="A562" s="71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</row>
    <row r="563">
      <c r="A563" s="71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</row>
    <row r="564">
      <c r="A564" s="71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</row>
    <row r="565">
      <c r="A565" s="71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</row>
    <row r="566">
      <c r="A566" s="71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</row>
    <row r="567">
      <c r="A567" s="71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</row>
    <row r="568">
      <c r="A568" s="71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</row>
    <row r="569">
      <c r="A569" s="71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</row>
    <row r="570">
      <c r="A570" s="71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</row>
    <row r="571">
      <c r="A571" s="71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</row>
    <row r="572">
      <c r="A572" s="71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</row>
    <row r="573">
      <c r="A573" s="71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</row>
    <row r="574">
      <c r="A574" s="71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</row>
    <row r="575">
      <c r="A575" s="71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</row>
    <row r="576">
      <c r="A576" s="71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</row>
    <row r="577">
      <c r="A577" s="71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</row>
    <row r="578">
      <c r="A578" s="71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</row>
    <row r="579">
      <c r="A579" s="71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</row>
    <row r="580">
      <c r="A580" s="71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</row>
    <row r="581">
      <c r="A581" s="71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</row>
    <row r="582">
      <c r="A582" s="71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</row>
    <row r="583">
      <c r="A583" s="71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</row>
    <row r="584">
      <c r="A584" s="71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</row>
    <row r="585">
      <c r="A585" s="71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</row>
    <row r="586">
      <c r="A586" s="71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</row>
    <row r="587">
      <c r="A587" s="71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</row>
    <row r="588">
      <c r="A588" s="71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</row>
    <row r="589">
      <c r="A589" s="71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</row>
    <row r="590">
      <c r="A590" s="71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</row>
    <row r="591">
      <c r="A591" s="71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</row>
    <row r="592">
      <c r="A592" s="71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</row>
    <row r="593">
      <c r="A593" s="71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</row>
    <row r="594">
      <c r="A594" s="71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</row>
    <row r="595">
      <c r="A595" s="71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</row>
    <row r="596">
      <c r="A596" s="71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</row>
    <row r="597">
      <c r="A597" s="71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</row>
    <row r="598">
      <c r="A598" s="71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</row>
    <row r="599">
      <c r="A599" s="71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</row>
    <row r="600">
      <c r="A600" s="71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</row>
    <row r="601">
      <c r="A601" s="71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</row>
    <row r="602">
      <c r="A602" s="71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</row>
    <row r="603">
      <c r="A603" s="71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</row>
    <row r="604">
      <c r="A604" s="71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</row>
    <row r="605">
      <c r="A605" s="71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</row>
    <row r="606">
      <c r="A606" s="71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</row>
    <row r="607">
      <c r="A607" s="71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</row>
    <row r="608">
      <c r="A608" s="71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</row>
    <row r="609">
      <c r="A609" s="71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</row>
    <row r="610">
      <c r="A610" s="71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</row>
    <row r="611">
      <c r="A611" s="71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</row>
    <row r="612">
      <c r="A612" s="71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</row>
    <row r="613">
      <c r="A613" s="71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</row>
    <row r="614">
      <c r="A614" s="71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</row>
    <row r="615">
      <c r="A615" s="71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</row>
    <row r="616">
      <c r="A616" s="71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</row>
    <row r="617">
      <c r="A617" s="71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</row>
    <row r="618">
      <c r="A618" s="71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</row>
    <row r="619">
      <c r="A619" s="71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</row>
    <row r="620">
      <c r="A620" s="71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</row>
    <row r="621">
      <c r="A621" s="71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</row>
    <row r="622">
      <c r="A622" s="71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</row>
    <row r="623">
      <c r="A623" s="71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</row>
    <row r="624">
      <c r="A624" s="71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</row>
    <row r="625">
      <c r="A625" s="71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</row>
    <row r="626">
      <c r="A626" s="71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</row>
    <row r="627">
      <c r="A627" s="71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</row>
    <row r="628">
      <c r="A628" s="71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</row>
    <row r="629">
      <c r="A629" s="71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</row>
    <row r="630">
      <c r="A630" s="71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</row>
    <row r="631">
      <c r="A631" s="71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</row>
    <row r="632">
      <c r="A632" s="71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</row>
    <row r="633">
      <c r="A633" s="71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</row>
    <row r="634">
      <c r="A634" s="71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</row>
    <row r="635">
      <c r="A635" s="71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</row>
    <row r="636">
      <c r="A636" s="71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</row>
    <row r="637">
      <c r="A637" s="71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</row>
    <row r="638">
      <c r="A638" s="71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</row>
    <row r="639">
      <c r="A639" s="71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</row>
    <row r="640">
      <c r="A640" s="71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</row>
    <row r="641">
      <c r="A641" s="71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</row>
    <row r="642">
      <c r="A642" s="71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</row>
    <row r="643">
      <c r="A643" s="71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</row>
    <row r="644">
      <c r="A644" s="71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</row>
    <row r="645">
      <c r="A645" s="71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</row>
    <row r="646">
      <c r="A646" s="71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</row>
    <row r="647">
      <c r="A647" s="71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</row>
    <row r="648">
      <c r="A648" s="71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</row>
    <row r="649">
      <c r="A649" s="71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</row>
    <row r="650">
      <c r="A650" s="71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</row>
    <row r="651">
      <c r="A651" s="71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</row>
    <row r="652">
      <c r="A652" s="71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</row>
    <row r="653">
      <c r="A653" s="71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</row>
    <row r="654">
      <c r="A654" s="71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</row>
    <row r="655">
      <c r="A655" s="71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</row>
    <row r="656">
      <c r="A656" s="71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</row>
    <row r="657">
      <c r="A657" s="71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</row>
    <row r="658">
      <c r="A658" s="71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</row>
    <row r="659">
      <c r="A659" s="71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</row>
    <row r="660">
      <c r="A660" s="71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</row>
    <row r="661">
      <c r="A661" s="71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</row>
    <row r="662">
      <c r="A662" s="71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</row>
    <row r="663">
      <c r="A663" s="71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</row>
    <row r="664">
      <c r="A664" s="71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</row>
    <row r="665">
      <c r="A665" s="71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</row>
    <row r="666">
      <c r="A666" s="71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</row>
    <row r="667">
      <c r="A667" s="71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</row>
    <row r="668">
      <c r="A668" s="71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</row>
    <row r="669">
      <c r="A669" s="71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</row>
    <row r="670">
      <c r="A670" s="71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</row>
    <row r="671">
      <c r="A671" s="71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</row>
    <row r="672">
      <c r="A672" s="71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</row>
    <row r="673">
      <c r="A673" s="71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</row>
    <row r="674">
      <c r="A674" s="71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</row>
    <row r="675">
      <c r="A675" s="71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</row>
    <row r="676">
      <c r="A676" s="71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</row>
    <row r="677">
      <c r="A677" s="71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</row>
    <row r="678">
      <c r="A678" s="71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</row>
    <row r="679">
      <c r="A679" s="71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</row>
    <row r="680">
      <c r="A680" s="71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</row>
    <row r="681">
      <c r="A681" s="71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</row>
    <row r="682">
      <c r="A682" s="71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</row>
    <row r="683">
      <c r="A683" s="71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</row>
    <row r="684">
      <c r="A684" s="71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</row>
    <row r="685">
      <c r="A685" s="71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</row>
    <row r="686">
      <c r="A686" s="71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</row>
    <row r="687">
      <c r="A687" s="71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</row>
    <row r="688">
      <c r="A688" s="71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</row>
    <row r="689">
      <c r="A689" s="71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</row>
    <row r="690">
      <c r="A690" s="71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</row>
    <row r="691">
      <c r="A691" s="71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</row>
    <row r="692">
      <c r="A692" s="71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</row>
    <row r="693">
      <c r="A693" s="71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</row>
    <row r="694">
      <c r="A694" s="71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</row>
    <row r="695">
      <c r="A695" s="71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</row>
    <row r="696">
      <c r="A696" s="71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</row>
    <row r="697">
      <c r="A697" s="71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</row>
    <row r="698">
      <c r="A698" s="71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</row>
    <row r="699">
      <c r="A699" s="71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</row>
    <row r="700">
      <c r="A700" s="71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</row>
    <row r="701">
      <c r="A701" s="71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</row>
    <row r="702">
      <c r="A702" s="71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</row>
    <row r="703">
      <c r="A703" s="71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</row>
    <row r="704">
      <c r="A704" s="71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</row>
    <row r="705">
      <c r="A705" s="71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</row>
    <row r="706">
      <c r="A706" s="71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</row>
    <row r="707">
      <c r="A707" s="71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</row>
    <row r="708">
      <c r="A708" s="71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</row>
    <row r="709">
      <c r="A709" s="71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</row>
    <row r="710">
      <c r="A710" s="71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</row>
    <row r="711">
      <c r="A711" s="71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</row>
    <row r="712">
      <c r="A712" s="71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</row>
    <row r="713">
      <c r="A713" s="71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</row>
    <row r="714">
      <c r="A714" s="71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</row>
    <row r="715">
      <c r="A715" s="71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</row>
    <row r="716">
      <c r="A716" s="71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</row>
    <row r="717">
      <c r="A717" s="71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</row>
    <row r="718">
      <c r="A718" s="71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</row>
    <row r="719">
      <c r="A719" s="71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</row>
    <row r="720">
      <c r="A720" s="71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</row>
    <row r="721">
      <c r="A721" s="71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</row>
    <row r="722">
      <c r="A722" s="71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</row>
    <row r="723">
      <c r="A723" s="71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</row>
    <row r="724">
      <c r="A724" s="71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</row>
    <row r="725">
      <c r="A725" s="71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</row>
    <row r="726">
      <c r="A726" s="71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</row>
    <row r="727">
      <c r="A727" s="71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</row>
    <row r="728">
      <c r="A728" s="71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</row>
    <row r="729">
      <c r="A729" s="71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</row>
    <row r="730">
      <c r="A730" s="71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</row>
    <row r="731">
      <c r="A731" s="71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</row>
    <row r="732">
      <c r="A732" s="71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</row>
    <row r="733">
      <c r="A733" s="71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</row>
    <row r="734">
      <c r="A734" s="71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</row>
    <row r="735">
      <c r="A735" s="71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</row>
    <row r="736">
      <c r="A736" s="71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</row>
    <row r="737">
      <c r="A737" s="71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</row>
    <row r="738">
      <c r="A738" s="71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</row>
    <row r="739">
      <c r="A739" s="71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</row>
    <row r="740">
      <c r="A740" s="71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</row>
    <row r="741">
      <c r="A741" s="71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</row>
    <row r="742">
      <c r="A742" s="71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</row>
    <row r="743">
      <c r="A743" s="71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</row>
    <row r="744">
      <c r="A744" s="71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</row>
    <row r="745">
      <c r="A745" s="71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</row>
    <row r="746">
      <c r="A746" s="71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</row>
    <row r="747">
      <c r="A747" s="71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</row>
    <row r="748">
      <c r="A748" s="71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</row>
    <row r="749">
      <c r="A749" s="71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</row>
    <row r="750">
      <c r="A750" s="71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</row>
    <row r="751">
      <c r="A751" s="71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</row>
    <row r="752">
      <c r="A752" s="71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</row>
    <row r="753">
      <c r="A753" s="71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</row>
    <row r="754">
      <c r="A754" s="71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</row>
    <row r="755">
      <c r="A755" s="71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</row>
    <row r="756">
      <c r="A756" s="71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</row>
    <row r="757">
      <c r="A757" s="71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</row>
    <row r="758">
      <c r="A758" s="71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</row>
    <row r="759">
      <c r="A759" s="71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</row>
    <row r="760">
      <c r="A760" s="71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</row>
    <row r="761">
      <c r="A761" s="71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</row>
    <row r="762">
      <c r="A762" s="71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</row>
    <row r="763">
      <c r="A763" s="71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</row>
    <row r="764">
      <c r="A764" s="71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</row>
    <row r="765">
      <c r="A765" s="71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</row>
    <row r="766">
      <c r="A766" s="71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</row>
    <row r="767">
      <c r="A767" s="71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</row>
    <row r="768">
      <c r="A768" s="71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</row>
    <row r="769">
      <c r="A769" s="71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</row>
    <row r="770">
      <c r="A770" s="71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</row>
    <row r="771">
      <c r="A771" s="71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</row>
    <row r="772">
      <c r="A772" s="71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</row>
    <row r="773">
      <c r="A773" s="71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</row>
    <row r="774">
      <c r="A774" s="71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</row>
    <row r="775">
      <c r="A775" s="71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</row>
    <row r="776">
      <c r="A776" s="71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</row>
    <row r="777">
      <c r="A777" s="71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</row>
    <row r="778">
      <c r="A778" s="71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</row>
    <row r="779">
      <c r="A779" s="71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</row>
    <row r="780">
      <c r="A780" s="71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</row>
    <row r="781">
      <c r="A781" s="71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</row>
    <row r="782">
      <c r="A782" s="71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</row>
    <row r="783">
      <c r="A783" s="71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</row>
    <row r="784">
      <c r="A784" s="71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</row>
    <row r="785">
      <c r="A785" s="71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</row>
    <row r="786">
      <c r="A786" s="71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</row>
    <row r="787">
      <c r="A787" s="71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</row>
    <row r="788">
      <c r="A788" s="71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</row>
    <row r="789">
      <c r="A789" s="71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</row>
    <row r="790">
      <c r="A790" s="71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</row>
    <row r="791">
      <c r="A791" s="71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</row>
    <row r="792">
      <c r="A792" s="71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</row>
    <row r="793">
      <c r="A793" s="71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</row>
    <row r="794">
      <c r="A794" s="71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</row>
    <row r="795">
      <c r="A795" s="71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</row>
    <row r="796">
      <c r="A796" s="71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</row>
    <row r="797">
      <c r="A797" s="71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</row>
    <row r="798">
      <c r="A798" s="71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</row>
    <row r="799">
      <c r="A799" s="71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</row>
    <row r="800">
      <c r="A800" s="71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</row>
    <row r="801">
      <c r="A801" s="71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</row>
    <row r="802">
      <c r="A802" s="71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</row>
    <row r="803">
      <c r="A803" s="71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</row>
    <row r="804">
      <c r="A804" s="71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</row>
    <row r="805">
      <c r="A805" s="71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</row>
    <row r="806">
      <c r="A806" s="71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</row>
    <row r="807">
      <c r="A807" s="71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</row>
    <row r="808">
      <c r="A808" s="71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</row>
    <row r="809">
      <c r="A809" s="71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</row>
    <row r="810">
      <c r="A810" s="71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</row>
    <row r="811">
      <c r="A811" s="71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</row>
    <row r="812">
      <c r="A812" s="71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</row>
    <row r="813">
      <c r="A813" s="71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</row>
    <row r="814">
      <c r="A814" s="71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</row>
    <row r="815">
      <c r="A815" s="71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</row>
    <row r="816">
      <c r="A816" s="71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</row>
    <row r="817">
      <c r="A817" s="71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</row>
    <row r="818">
      <c r="A818" s="71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</row>
    <row r="819">
      <c r="A819" s="71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</row>
    <row r="820">
      <c r="A820" s="71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</row>
    <row r="821">
      <c r="A821" s="71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</row>
    <row r="822">
      <c r="A822" s="71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</row>
    <row r="823">
      <c r="A823" s="71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</row>
    <row r="824">
      <c r="A824" s="71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</row>
    <row r="825">
      <c r="A825" s="71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</row>
    <row r="826">
      <c r="A826" s="71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</row>
    <row r="827">
      <c r="A827" s="71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</row>
    <row r="828">
      <c r="A828" s="71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</row>
    <row r="829">
      <c r="A829" s="71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</row>
    <row r="830">
      <c r="A830" s="71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</row>
    <row r="831">
      <c r="A831" s="71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</row>
    <row r="832">
      <c r="A832" s="71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</row>
    <row r="833">
      <c r="A833" s="71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</row>
    <row r="834">
      <c r="A834" s="71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</row>
    <row r="835">
      <c r="A835" s="71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</row>
    <row r="836">
      <c r="A836" s="71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</row>
    <row r="837">
      <c r="A837" s="71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</row>
    <row r="838">
      <c r="A838" s="71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</row>
    <row r="839">
      <c r="A839" s="71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</row>
    <row r="840">
      <c r="A840" s="71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</row>
    <row r="841">
      <c r="A841" s="71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</row>
    <row r="842">
      <c r="A842" s="71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</row>
    <row r="843">
      <c r="A843" s="71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</row>
    <row r="844">
      <c r="A844" s="71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</row>
    <row r="845">
      <c r="A845" s="71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</row>
    <row r="846">
      <c r="A846" s="71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</row>
    <row r="847">
      <c r="A847" s="71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</row>
    <row r="848">
      <c r="A848" s="71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</row>
    <row r="849">
      <c r="A849" s="71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</row>
    <row r="850">
      <c r="A850" s="71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</row>
    <row r="851">
      <c r="A851" s="71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</row>
    <row r="852">
      <c r="A852" s="71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</row>
    <row r="853">
      <c r="A853" s="71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</row>
    <row r="854">
      <c r="A854" s="71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</row>
    <row r="855">
      <c r="A855" s="71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</row>
    <row r="856">
      <c r="A856" s="71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</row>
    <row r="857">
      <c r="A857" s="71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</row>
    <row r="858">
      <c r="A858" s="71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</row>
    <row r="859">
      <c r="A859" s="71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</row>
    <row r="860">
      <c r="A860" s="71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</row>
    <row r="861">
      <c r="A861" s="71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</row>
    <row r="862">
      <c r="A862" s="71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</row>
    <row r="863">
      <c r="A863" s="71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</row>
    <row r="864">
      <c r="A864" s="71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</row>
    <row r="865">
      <c r="A865" s="71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</row>
    <row r="866">
      <c r="A866" s="71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</row>
    <row r="867">
      <c r="A867" s="71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</row>
    <row r="868">
      <c r="A868" s="71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</row>
    <row r="869">
      <c r="A869" s="71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</row>
    <row r="870">
      <c r="A870" s="71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</row>
    <row r="871">
      <c r="A871" s="71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</row>
    <row r="872">
      <c r="A872" s="71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</row>
    <row r="873">
      <c r="A873" s="71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</row>
    <row r="874">
      <c r="A874" s="71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</row>
    <row r="875">
      <c r="A875" s="71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</row>
    <row r="876">
      <c r="A876" s="71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</row>
    <row r="877">
      <c r="A877" s="71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</row>
    <row r="878">
      <c r="A878" s="71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</row>
    <row r="879">
      <c r="A879" s="71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</row>
    <row r="880">
      <c r="A880" s="71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</row>
    <row r="881">
      <c r="A881" s="71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</row>
    <row r="882">
      <c r="A882" s="71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</row>
    <row r="883">
      <c r="A883" s="71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</row>
    <row r="884">
      <c r="A884" s="71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</row>
    <row r="885">
      <c r="A885" s="71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</row>
    <row r="886">
      <c r="A886" s="71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</row>
    <row r="887">
      <c r="A887" s="71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</row>
    <row r="888">
      <c r="A888" s="71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</row>
    <row r="889">
      <c r="A889" s="71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</row>
    <row r="890">
      <c r="A890" s="71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</row>
    <row r="891">
      <c r="A891" s="71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</row>
    <row r="892">
      <c r="A892" s="71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</row>
    <row r="893">
      <c r="A893" s="71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</row>
    <row r="894">
      <c r="A894" s="71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</row>
    <row r="895">
      <c r="A895" s="71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</row>
    <row r="896">
      <c r="A896" s="71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</row>
    <row r="897">
      <c r="A897" s="71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</row>
    <row r="898">
      <c r="A898" s="71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</row>
    <row r="899">
      <c r="A899" s="71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</row>
    <row r="900">
      <c r="A900" s="71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</row>
    <row r="901">
      <c r="A901" s="71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</row>
    <row r="902">
      <c r="A902" s="71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</row>
    <row r="903">
      <c r="A903" s="71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</row>
    <row r="904">
      <c r="A904" s="71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</row>
    <row r="905">
      <c r="A905" s="71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</row>
    <row r="906">
      <c r="A906" s="71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</row>
    <row r="907">
      <c r="A907" s="71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</row>
    <row r="908">
      <c r="A908" s="71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</row>
    <row r="909">
      <c r="A909" s="71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</row>
    <row r="910">
      <c r="A910" s="71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</row>
    <row r="911">
      <c r="A911" s="71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</row>
    <row r="912">
      <c r="A912" s="71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</row>
    <row r="913">
      <c r="A913" s="71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</row>
    <row r="914">
      <c r="A914" s="71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</row>
    <row r="915">
      <c r="A915" s="71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</row>
    <row r="916">
      <c r="A916" s="71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</row>
    <row r="917">
      <c r="A917" s="71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</row>
    <row r="918">
      <c r="A918" s="71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</row>
    <row r="919">
      <c r="A919" s="71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</row>
    <row r="920">
      <c r="A920" s="71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</row>
    <row r="921">
      <c r="A921" s="71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</row>
    <row r="922">
      <c r="A922" s="71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</row>
    <row r="923">
      <c r="A923" s="71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</row>
    <row r="924">
      <c r="A924" s="71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</row>
    <row r="925">
      <c r="A925" s="71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</row>
    <row r="926">
      <c r="A926" s="71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</row>
    <row r="927">
      <c r="A927" s="71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</row>
    <row r="928">
      <c r="A928" s="71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</row>
    <row r="929">
      <c r="A929" s="71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</row>
    <row r="930">
      <c r="A930" s="71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</row>
    <row r="931">
      <c r="A931" s="71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</row>
    <row r="932">
      <c r="A932" s="71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</row>
    <row r="933">
      <c r="A933" s="71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</row>
    <row r="934">
      <c r="A934" s="71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</row>
    <row r="935">
      <c r="A935" s="71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</row>
    <row r="936">
      <c r="A936" s="71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</row>
    <row r="937">
      <c r="A937" s="71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</row>
    <row r="938">
      <c r="A938" s="71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</row>
    <row r="939">
      <c r="A939" s="71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</row>
    <row r="940">
      <c r="A940" s="71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</row>
    <row r="941">
      <c r="A941" s="71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</row>
    <row r="942">
      <c r="A942" s="71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</row>
    <row r="943">
      <c r="A943" s="71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</row>
    <row r="944">
      <c r="A944" s="71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</row>
    <row r="945">
      <c r="A945" s="71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</row>
    <row r="946">
      <c r="A946" s="71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</row>
    <row r="947">
      <c r="A947" s="71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</row>
    <row r="948">
      <c r="A948" s="71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</row>
    <row r="949">
      <c r="A949" s="71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</row>
    <row r="950">
      <c r="A950" s="71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</row>
    <row r="951">
      <c r="A951" s="71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</row>
    <row r="952">
      <c r="A952" s="71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</row>
    <row r="953">
      <c r="A953" s="71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</row>
    <row r="954">
      <c r="A954" s="71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</row>
    <row r="955">
      <c r="A955" s="71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</row>
    <row r="956">
      <c r="A956" s="71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</row>
    <row r="957">
      <c r="A957" s="71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</row>
    <row r="958">
      <c r="A958" s="71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</row>
    <row r="959">
      <c r="A959" s="71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</row>
    <row r="960">
      <c r="A960" s="71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</row>
    <row r="961">
      <c r="A961" s="71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</row>
    <row r="962">
      <c r="A962" s="71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</row>
    <row r="963">
      <c r="A963" s="71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</row>
    <row r="964">
      <c r="A964" s="71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</row>
    <row r="965">
      <c r="A965" s="71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</row>
    <row r="966">
      <c r="A966" s="71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</row>
    <row r="967">
      <c r="A967" s="71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</row>
    <row r="968">
      <c r="A968" s="71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</row>
    <row r="969">
      <c r="A969" s="71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</row>
    <row r="970">
      <c r="A970" s="71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</row>
    <row r="971">
      <c r="A971" s="71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</row>
    <row r="972">
      <c r="A972" s="71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</row>
    <row r="973">
      <c r="A973" s="71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</row>
    <row r="974">
      <c r="A974" s="71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</row>
    <row r="975">
      <c r="A975" s="71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</row>
    <row r="976">
      <c r="A976" s="71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</row>
    <row r="977">
      <c r="A977" s="71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</row>
    <row r="978">
      <c r="A978" s="71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</row>
    <row r="979">
      <c r="A979" s="71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</row>
    <row r="980">
      <c r="A980" s="71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</row>
    <row r="981">
      <c r="A981" s="71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</row>
    <row r="982">
      <c r="A982" s="71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</row>
    <row r="983">
      <c r="A983" s="71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</row>
    <row r="984">
      <c r="A984" s="71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</row>
    <row r="985">
      <c r="A985" s="71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</row>
    <row r="986">
      <c r="A986" s="71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</row>
    <row r="987">
      <c r="A987" s="71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</row>
    <row r="988">
      <c r="A988" s="71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</row>
    <row r="989">
      <c r="A989" s="71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</row>
    <row r="990">
      <c r="A990" s="71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</row>
    <row r="991">
      <c r="A991" s="71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</row>
    <row r="992">
      <c r="A992" s="71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</row>
    <row r="993">
      <c r="A993" s="71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</row>
    <row r="994">
      <c r="A994" s="71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</row>
    <row r="995">
      <c r="A995" s="71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</row>
    <row r="996">
      <c r="A996" s="71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</row>
    <row r="997">
      <c r="A997" s="71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</row>
    <row r="998">
      <c r="A998" s="71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</row>
    <row r="999">
      <c r="A999" s="71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</row>
    <row r="1000">
      <c r="A1000" s="71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</row>
    <row r="1001">
      <c r="A1001" s="71"/>
    </row>
    <row r="1002">
      <c r="A1002" s="71"/>
    </row>
  </sheetData>
  <mergeCells count="1">
    <mergeCell ref="A1:B1"/>
  </mergeCells>
  <conditionalFormatting sqref="A3:O1000">
    <cfRule type="expression" dxfId="9" priority="1" stopIfTrue="1">
      <formula>ISODD(ROW())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2.0"/>
    <col customWidth="1" min="3" max="3" width="8.38"/>
    <col customWidth="1" min="4" max="4" width="18.63"/>
    <col customWidth="1" min="5" max="5" width="10.38"/>
  </cols>
  <sheetData>
    <row r="1">
      <c r="A1" s="1" t="s">
        <v>248</v>
      </c>
    </row>
    <row r="2">
      <c r="A2" s="68"/>
      <c r="B2" s="68"/>
      <c r="C2" s="68"/>
      <c r="D2" s="68"/>
      <c r="E2" s="68"/>
    </row>
    <row r="3">
      <c r="A3" s="68" t="s">
        <v>205</v>
      </c>
      <c r="B3" s="68" t="s">
        <v>195</v>
      </c>
      <c r="C3" s="68" t="s">
        <v>249</v>
      </c>
      <c r="D3" s="68" t="s">
        <v>17</v>
      </c>
      <c r="E3" s="68" t="s">
        <v>198</v>
      </c>
    </row>
    <row r="4">
      <c r="A4" s="29" t="str">
        <f t="array" ref="A4:A1002">IF(B4:B1002="", "", TEXT(B4:B1002, "YYYYMMDD") &amp; "-" &amp; C4:C1002)</f>
        <v>20260605-BBH-1-A</v>
      </c>
      <c r="B4" s="194">
        <f>IFERROR(__xludf.DUMMYFUNCTION("QUERY('Payments Log Archive'!A4:F1002, ""select C where C is not null"", 0)"),46178.0)</f>
        <v>46178</v>
      </c>
      <c r="C4" s="29" t="str">
        <f t="array" ref="C4:C1002">IF(D4:D1002="", "", IFERROR(INDEX('Master Roster'!$A:$A, MATCH(D4:D1002, 'Master Roster'!$E:$E, 0)), ""))</f>
        <v>BBH-1-A</v>
      </c>
      <c r="D4" s="29" t="str">
        <f>IFERROR(__xludf.DUMMYFUNCTION("QUERY('Payments Log Archive'!A4:F1002, ""select B where C is not null"", 0)"),"Adrian mulale")</f>
        <v>Adrian mulale</v>
      </c>
      <c r="E4" s="29">
        <f>IFERROR(__xludf.DUMMYFUNCTION("QUERY('Payments Log Archive'!A4:F1002, ""select F where C is not null"", 0)"),950.0)</f>
        <v>950</v>
      </c>
    </row>
    <row r="5">
      <c r="A5" s="29" t="s">
        <v>250</v>
      </c>
      <c r="B5" s="194">
        <f>IFERROR(__xludf.DUMMYFUNCTION("""COMPUTED_VALUE"""),46178.0)</f>
        <v>46178</v>
      </c>
      <c r="C5" s="29" t="s">
        <v>24</v>
      </c>
      <c r="D5" s="29" t="str">
        <f>IFERROR(__xludf.DUMMYFUNCTION("""COMPUTED_VALUE"""),"Zick Phiri")</f>
        <v>Zick Phiri</v>
      </c>
      <c r="E5" s="29">
        <f>IFERROR(__xludf.DUMMYFUNCTION("""COMPUTED_VALUE"""),900.0)</f>
        <v>900</v>
      </c>
    </row>
    <row r="6">
      <c r="A6" s="29" t="s">
        <v>250</v>
      </c>
      <c r="B6" s="194">
        <f>IFERROR(__xludf.DUMMYFUNCTION("""COMPUTED_VALUE"""),46178.0)</f>
        <v>46178</v>
      </c>
      <c r="C6" s="29" t="s">
        <v>24</v>
      </c>
      <c r="D6" s="29" t="str">
        <f>IFERROR(__xludf.DUMMYFUNCTION("""COMPUTED_VALUE"""),"Kangwa Kunda")</f>
        <v>Kangwa Kunda</v>
      </c>
      <c r="E6" s="29">
        <f>IFERROR(__xludf.DUMMYFUNCTION("""COMPUTED_VALUE"""),900.0)</f>
        <v>900</v>
      </c>
    </row>
    <row r="7">
      <c r="A7" s="29" t="s">
        <v>250</v>
      </c>
      <c r="B7" s="194">
        <f>IFERROR(__xludf.DUMMYFUNCTION("""COMPUTED_VALUE"""),46178.0)</f>
        <v>46178</v>
      </c>
      <c r="C7" s="29" t="s">
        <v>24</v>
      </c>
      <c r="D7" s="29" t="str">
        <f>IFERROR(__xludf.DUMMYFUNCTION("""COMPUTED_VALUE"""),"Emely Mwale")</f>
        <v>Emely Mwale</v>
      </c>
      <c r="E7" s="29">
        <f>IFERROR(__xludf.DUMMYFUNCTION("""COMPUTED_VALUE"""),850.0)</f>
        <v>850</v>
      </c>
    </row>
    <row r="8">
      <c r="A8" s="29" t="s">
        <v>250</v>
      </c>
      <c r="B8" s="194">
        <f>IFERROR(__xludf.DUMMYFUNCTION("""COMPUTED_VALUE"""),46178.0)</f>
        <v>46178</v>
      </c>
      <c r="C8" s="29" t="s">
        <v>24</v>
      </c>
      <c r="D8" s="29" t="str">
        <f>IFERROR(__xludf.DUMMYFUNCTION("""COMPUTED_VALUE"""),"Gift Nankamba")</f>
        <v>Gift Nankamba</v>
      </c>
      <c r="E8" s="29">
        <f>IFERROR(__xludf.DUMMYFUNCTION("""COMPUTED_VALUE"""),1000.0)</f>
        <v>1000</v>
      </c>
    </row>
    <row r="9">
      <c r="A9" s="29" t="s">
        <v>250</v>
      </c>
      <c r="B9" s="194">
        <f>IFERROR(__xludf.DUMMYFUNCTION("""COMPUTED_VALUE"""),46178.0)</f>
        <v>46178</v>
      </c>
      <c r="C9" s="29" t="s">
        <v>24</v>
      </c>
      <c r="D9" s="29" t="str">
        <f>IFERROR(__xludf.DUMMYFUNCTION("""COMPUTED_VALUE"""),"chilulu chiliulu")</f>
        <v>chilulu chiliulu</v>
      </c>
      <c r="E9" s="29">
        <f>IFERROR(__xludf.DUMMYFUNCTION("""COMPUTED_VALUE"""),1600.0)</f>
        <v>1600</v>
      </c>
    </row>
    <row r="10">
      <c r="A10" s="29" t="s">
        <v>250</v>
      </c>
      <c r="B10" s="194">
        <f>IFERROR(__xludf.DUMMYFUNCTION("""COMPUTED_VALUE"""),46178.0)</f>
        <v>46178</v>
      </c>
      <c r="C10" s="29" t="s">
        <v>24</v>
      </c>
      <c r="D10" s="29" t="str">
        <f>IFERROR(__xludf.DUMMYFUNCTION("""COMPUTED_VALUE"""),"Chibesa Chisembe")</f>
        <v>Chibesa Chisembe</v>
      </c>
      <c r="E10" s="29">
        <f>IFERROR(__xludf.DUMMYFUNCTION("""COMPUTED_VALUE"""),1800.0)</f>
        <v>1800</v>
      </c>
    </row>
    <row r="11">
      <c r="A11" s="29" t="s">
        <v>250</v>
      </c>
      <c r="B11" s="194">
        <f>IFERROR(__xludf.DUMMYFUNCTION("""COMPUTED_VALUE"""),46178.0)</f>
        <v>46178</v>
      </c>
      <c r="C11" s="29" t="s">
        <v>24</v>
      </c>
      <c r="D11" s="29" t="str">
        <f>IFERROR(__xludf.DUMMYFUNCTION("""COMPUTED_VALUE"""),"Reuben Ngusulu")</f>
        <v>Reuben Ngusulu</v>
      </c>
      <c r="E11" s="29">
        <f>IFERROR(__xludf.DUMMYFUNCTION("""COMPUTED_VALUE"""),950.0)</f>
        <v>950</v>
      </c>
    </row>
    <row r="12">
      <c r="A12" s="29" t="s">
        <v>250</v>
      </c>
      <c r="B12" s="194">
        <f>IFERROR(__xludf.DUMMYFUNCTION("""COMPUTED_VALUE"""),46178.0)</f>
        <v>46178</v>
      </c>
      <c r="C12" s="29" t="s">
        <v>24</v>
      </c>
      <c r="D12" s="29" t="str">
        <f>IFERROR(__xludf.DUMMYFUNCTION("""COMPUTED_VALUE"""),"Kwitu Khalu")</f>
        <v>Kwitu Khalu</v>
      </c>
      <c r="E12" s="29">
        <f>IFERROR(__xludf.DUMMYFUNCTION("""COMPUTED_VALUE"""),900.0)</f>
        <v>900</v>
      </c>
    </row>
    <row r="13">
      <c r="A13" s="29" t="s">
        <v>250</v>
      </c>
      <c r="B13" s="194">
        <f>IFERROR(__xludf.DUMMYFUNCTION("""COMPUTED_VALUE"""),46178.0)</f>
        <v>46178</v>
      </c>
      <c r="C13" s="29" t="s">
        <v>24</v>
      </c>
      <c r="D13" s="29" t="str">
        <f>IFERROR(__xludf.DUMMYFUNCTION("""COMPUTED_VALUE"""),"Chanda Lutashima")</f>
        <v>Chanda Lutashima</v>
      </c>
      <c r="E13" s="29">
        <f>IFERROR(__xludf.DUMMYFUNCTION("""COMPUTED_VALUE"""),1200.0)</f>
        <v>1200</v>
      </c>
    </row>
    <row r="14">
      <c r="A14" s="29" t="s">
        <v>250</v>
      </c>
      <c r="B14" s="194">
        <f>IFERROR(__xludf.DUMMYFUNCTION("""COMPUTED_VALUE"""),46178.0)</f>
        <v>46178</v>
      </c>
      <c r="C14" s="29" t="s">
        <v>24</v>
      </c>
      <c r="D14" s="29" t="str">
        <f>IFERROR(__xludf.DUMMYFUNCTION("""COMPUTED_VALUE"""),"Lukundo Siame")</f>
        <v>Lukundo Siame</v>
      </c>
      <c r="E14" s="29">
        <f>IFERROR(__xludf.DUMMYFUNCTION("""COMPUTED_VALUE"""),1200.0)</f>
        <v>1200</v>
      </c>
    </row>
    <row r="15">
      <c r="A15" s="29" t="s">
        <v>250</v>
      </c>
      <c r="B15" s="194">
        <f>IFERROR(__xludf.DUMMYFUNCTION("""COMPUTED_VALUE"""),46178.0)</f>
        <v>46178</v>
      </c>
      <c r="C15" s="29" t="s">
        <v>24</v>
      </c>
      <c r="D15" s="29" t="str">
        <f>IFERROR(__xludf.DUMMYFUNCTION("""COMPUTED_VALUE"""),"Gabirel Kabwe")</f>
        <v>Gabirel Kabwe</v>
      </c>
      <c r="E15" s="29">
        <f>IFERROR(__xludf.DUMMYFUNCTION("""COMPUTED_VALUE"""),1200.0)</f>
        <v>1200</v>
      </c>
    </row>
    <row r="16">
      <c r="A16" s="29" t="s">
        <v>250</v>
      </c>
      <c r="B16" s="194">
        <f>IFERROR(__xludf.DUMMYFUNCTION("""COMPUTED_VALUE"""),46178.0)</f>
        <v>46178</v>
      </c>
      <c r="C16" s="29" t="s">
        <v>24</v>
      </c>
      <c r="D16" s="29" t="str">
        <f>IFERROR(__xludf.DUMMYFUNCTION("""COMPUTED_VALUE"""),"Chama Kampamba")</f>
        <v>Chama Kampamba</v>
      </c>
      <c r="E16" s="29">
        <f>IFERROR(__xludf.DUMMYFUNCTION("""COMPUTED_VALUE"""),1200.0)</f>
        <v>1200</v>
      </c>
    </row>
    <row r="17">
      <c r="A17" s="29" t="s">
        <v>250</v>
      </c>
      <c r="B17" s="194">
        <f>IFERROR(__xludf.DUMMYFUNCTION("""COMPUTED_VALUE"""),46178.0)</f>
        <v>46178</v>
      </c>
      <c r="C17" s="29" t="s">
        <v>24</v>
      </c>
      <c r="D17" s="29" t="str">
        <f>IFERROR(__xludf.DUMMYFUNCTION("""COMPUTED_VALUE"""),"Catherine Mphande")</f>
        <v>Catherine Mphande</v>
      </c>
      <c r="E17" s="29">
        <f>IFERROR(__xludf.DUMMYFUNCTION("""COMPUTED_VALUE"""),1200.0)</f>
        <v>1200</v>
      </c>
    </row>
    <row r="18">
      <c r="A18" s="29" t="s">
        <v>250</v>
      </c>
      <c r="B18" s="194">
        <f>IFERROR(__xludf.DUMMYFUNCTION("""COMPUTED_VALUE"""),46178.0)</f>
        <v>46178</v>
      </c>
      <c r="C18" s="29" t="s">
        <v>24</v>
      </c>
      <c r="D18" s="29" t="str">
        <f>IFERROR(__xludf.DUMMYFUNCTION("""COMPUTED_VALUE"""),"Lushomo gambwe")</f>
        <v>Lushomo gambwe</v>
      </c>
      <c r="E18" s="29">
        <f>IFERROR(__xludf.DUMMYFUNCTION("""COMPUTED_VALUE"""),1200.0)</f>
        <v>1200</v>
      </c>
    </row>
    <row r="19">
      <c r="A19" s="29" t="s">
        <v>175</v>
      </c>
      <c r="C19" s="29" t="s">
        <v>175</v>
      </c>
    </row>
    <row r="20">
      <c r="A20" s="29" t="s">
        <v>175</v>
      </c>
      <c r="C20" s="29" t="s">
        <v>175</v>
      </c>
    </row>
    <row r="21">
      <c r="A21" s="29" t="s">
        <v>175</v>
      </c>
      <c r="C21" s="29" t="s">
        <v>175</v>
      </c>
    </row>
    <row r="22">
      <c r="A22" s="29" t="s">
        <v>175</v>
      </c>
      <c r="C22" s="29" t="s">
        <v>175</v>
      </c>
    </row>
    <row r="23">
      <c r="A23" s="29" t="s">
        <v>175</v>
      </c>
      <c r="C23" s="29" t="s">
        <v>175</v>
      </c>
    </row>
    <row r="24">
      <c r="A24" s="29" t="s">
        <v>175</v>
      </c>
      <c r="C24" s="29" t="s">
        <v>175</v>
      </c>
    </row>
    <row r="25">
      <c r="A25" s="29" t="s">
        <v>175</v>
      </c>
      <c r="C25" s="29" t="s">
        <v>175</v>
      </c>
    </row>
    <row r="26">
      <c r="A26" s="29" t="s">
        <v>175</v>
      </c>
      <c r="C26" s="29" t="s">
        <v>175</v>
      </c>
    </row>
    <row r="27">
      <c r="A27" s="29" t="s">
        <v>175</v>
      </c>
      <c r="C27" s="29" t="s">
        <v>175</v>
      </c>
    </row>
    <row r="28">
      <c r="A28" s="29" t="s">
        <v>175</v>
      </c>
      <c r="C28" s="29" t="s">
        <v>175</v>
      </c>
    </row>
    <row r="29">
      <c r="A29" s="29" t="s">
        <v>175</v>
      </c>
      <c r="C29" s="29" t="s">
        <v>175</v>
      </c>
    </row>
    <row r="30">
      <c r="A30" s="29" t="s">
        <v>175</v>
      </c>
      <c r="C30" s="29" t="s">
        <v>175</v>
      </c>
    </row>
    <row r="31">
      <c r="A31" s="29" t="s">
        <v>175</v>
      </c>
      <c r="C31" s="29" t="s">
        <v>175</v>
      </c>
    </row>
    <row r="32">
      <c r="A32" s="29" t="s">
        <v>175</v>
      </c>
      <c r="C32" s="29" t="s">
        <v>175</v>
      </c>
    </row>
    <row r="33">
      <c r="A33" s="29" t="s">
        <v>175</v>
      </c>
      <c r="C33" s="29" t="s">
        <v>175</v>
      </c>
    </row>
    <row r="34">
      <c r="A34" s="29" t="s">
        <v>175</v>
      </c>
      <c r="C34" s="29" t="s">
        <v>175</v>
      </c>
    </row>
    <row r="35">
      <c r="A35" s="29" t="s">
        <v>175</v>
      </c>
      <c r="C35" s="29" t="s">
        <v>175</v>
      </c>
    </row>
    <row r="36">
      <c r="A36" s="29" t="s">
        <v>175</v>
      </c>
      <c r="C36" s="29" t="s">
        <v>175</v>
      </c>
    </row>
    <row r="37">
      <c r="A37" s="29" t="s">
        <v>175</v>
      </c>
      <c r="C37" s="29" t="s">
        <v>175</v>
      </c>
    </row>
    <row r="38">
      <c r="A38" s="29" t="s">
        <v>175</v>
      </c>
      <c r="C38" s="29" t="s">
        <v>175</v>
      </c>
    </row>
    <row r="39">
      <c r="A39" s="29" t="s">
        <v>175</v>
      </c>
      <c r="C39" s="29" t="s">
        <v>175</v>
      </c>
    </row>
    <row r="40">
      <c r="A40" s="29" t="s">
        <v>175</v>
      </c>
      <c r="C40" s="29" t="s">
        <v>175</v>
      </c>
    </row>
    <row r="41">
      <c r="A41" s="29" t="s">
        <v>175</v>
      </c>
      <c r="C41" s="29" t="s">
        <v>175</v>
      </c>
    </row>
    <row r="42">
      <c r="A42" s="29" t="s">
        <v>175</v>
      </c>
      <c r="C42" s="29" t="s">
        <v>175</v>
      </c>
    </row>
    <row r="43">
      <c r="A43" s="29" t="s">
        <v>175</v>
      </c>
      <c r="C43" s="29" t="s">
        <v>175</v>
      </c>
    </row>
    <row r="44">
      <c r="A44" s="29" t="s">
        <v>175</v>
      </c>
      <c r="C44" s="29" t="s">
        <v>175</v>
      </c>
    </row>
    <row r="45">
      <c r="A45" s="29" t="s">
        <v>175</v>
      </c>
      <c r="C45" s="29" t="s">
        <v>175</v>
      </c>
    </row>
    <row r="46">
      <c r="A46" s="29" t="s">
        <v>175</v>
      </c>
      <c r="C46" s="29" t="s">
        <v>175</v>
      </c>
    </row>
    <row r="47">
      <c r="A47" s="29" t="s">
        <v>175</v>
      </c>
      <c r="C47" s="29" t="s">
        <v>175</v>
      </c>
    </row>
    <row r="48">
      <c r="A48" s="29" t="s">
        <v>175</v>
      </c>
      <c r="C48" s="29" t="s">
        <v>175</v>
      </c>
    </row>
    <row r="49">
      <c r="A49" s="29" t="s">
        <v>175</v>
      </c>
      <c r="C49" s="29" t="s">
        <v>175</v>
      </c>
    </row>
    <row r="50">
      <c r="A50" s="29" t="s">
        <v>175</v>
      </c>
      <c r="C50" s="29" t="s">
        <v>175</v>
      </c>
    </row>
    <row r="51">
      <c r="A51" s="29" t="s">
        <v>175</v>
      </c>
      <c r="C51" s="29" t="s">
        <v>175</v>
      </c>
    </row>
    <row r="52">
      <c r="A52" s="29" t="s">
        <v>175</v>
      </c>
      <c r="C52" s="29" t="s">
        <v>175</v>
      </c>
    </row>
    <row r="53">
      <c r="A53" s="29" t="s">
        <v>175</v>
      </c>
      <c r="C53" s="29" t="s">
        <v>175</v>
      </c>
    </row>
    <row r="54">
      <c r="A54" s="29" t="s">
        <v>175</v>
      </c>
      <c r="C54" s="29" t="s">
        <v>175</v>
      </c>
    </row>
    <row r="55">
      <c r="A55" s="29" t="s">
        <v>175</v>
      </c>
      <c r="C55" s="29" t="s">
        <v>175</v>
      </c>
    </row>
    <row r="56">
      <c r="A56" s="29" t="s">
        <v>175</v>
      </c>
      <c r="C56" s="29" t="s">
        <v>175</v>
      </c>
    </row>
    <row r="57">
      <c r="A57" s="29" t="s">
        <v>175</v>
      </c>
      <c r="C57" s="29" t="s">
        <v>175</v>
      </c>
    </row>
    <row r="58">
      <c r="A58" s="29" t="s">
        <v>175</v>
      </c>
      <c r="C58" s="29" t="s">
        <v>175</v>
      </c>
    </row>
    <row r="59">
      <c r="A59" s="29" t="s">
        <v>175</v>
      </c>
      <c r="C59" s="29" t="s">
        <v>175</v>
      </c>
    </row>
    <row r="60">
      <c r="A60" s="29" t="s">
        <v>175</v>
      </c>
      <c r="C60" s="29" t="s">
        <v>175</v>
      </c>
    </row>
    <row r="61">
      <c r="A61" s="29" t="s">
        <v>175</v>
      </c>
      <c r="C61" s="29" t="s">
        <v>175</v>
      </c>
    </row>
    <row r="62">
      <c r="A62" s="29" t="s">
        <v>175</v>
      </c>
      <c r="C62" s="29" t="s">
        <v>175</v>
      </c>
    </row>
    <row r="63">
      <c r="A63" s="29" t="s">
        <v>175</v>
      </c>
      <c r="C63" s="29" t="s">
        <v>175</v>
      </c>
    </row>
    <row r="64">
      <c r="A64" s="29" t="s">
        <v>175</v>
      </c>
      <c r="C64" s="29" t="s">
        <v>175</v>
      </c>
    </row>
    <row r="65">
      <c r="A65" s="29" t="s">
        <v>175</v>
      </c>
      <c r="C65" s="29" t="s">
        <v>175</v>
      </c>
    </row>
    <row r="66">
      <c r="A66" s="29" t="s">
        <v>175</v>
      </c>
      <c r="C66" s="29" t="s">
        <v>175</v>
      </c>
    </row>
    <row r="67">
      <c r="A67" s="29" t="s">
        <v>175</v>
      </c>
      <c r="C67" s="29" t="s">
        <v>175</v>
      </c>
    </row>
    <row r="68">
      <c r="A68" s="29" t="s">
        <v>175</v>
      </c>
      <c r="C68" s="29" t="s">
        <v>175</v>
      </c>
    </row>
    <row r="69">
      <c r="A69" s="29" t="s">
        <v>175</v>
      </c>
      <c r="C69" s="29" t="s">
        <v>175</v>
      </c>
    </row>
    <row r="70">
      <c r="A70" s="29" t="s">
        <v>175</v>
      </c>
      <c r="C70" s="29" t="s">
        <v>175</v>
      </c>
    </row>
    <row r="71">
      <c r="A71" s="29" t="s">
        <v>175</v>
      </c>
      <c r="C71" s="29" t="s">
        <v>175</v>
      </c>
    </row>
    <row r="72">
      <c r="A72" s="29" t="s">
        <v>175</v>
      </c>
      <c r="C72" s="29" t="s">
        <v>175</v>
      </c>
    </row>
    <row r="73">
      <c r="A73" s="29" t="s">
        <v>175</v>
      </c>
      <c r="C73" s="29" t="s">
        <v>175</v>
      </c>
    </row>
    <row r="74">
      <c r="A74" s="29" t="s">
        <v>175</v>
      </c>
      <c r="C74" s="29" t="s">
        <v>175</v>
      </c>
    </row>
    <row r="75">
      <c r="A75" s="29" t="s">
        <v>175</v>
      </c>
      <c r="C75" s="29" t="s">
        <v>175</v>
      </c>
    </row>
    <row r="76">
      <c r="A76" s="29" t="s">
        <v>175</v>
      </c>
      <c r="C76" s="29" t="s">
        <v>175</v>
      </c>
    </row>
    <row r="77">
      <c r="A77" s="29" t="s">
        <v>175</v>
      </c>
      <c r="C77" s="29" t="s">
        <v>175</v>
      </c>
    </row>
    <row r="78">
      <c r="A78" s="29" t="s">
        <v>175</v>
      </c>
      <c r="C78" s="29" t="s">
        <v>175</v>
      </c>
    </row>
    <row r="79">
      <c r="A79" s="29" t="s">
        <v>175</v>
      </c>
      <c r="C79" s="29" t="s">
        <v>175</v>
      </c>
    </row>
    <row r="80">
      <c r="A80" s="29" t="s">
        <v>175</v>
      </c>
      <c r="C80" s="29" t="s">
        <v>175</v>
      </c>
    </row>
    <row r="81">
      <c r="A81" s="29" t="s">
        <v>175</v>
      </c>
      <c r="C81" s="29" t="s">
        <v>175</v>
      </c>
    </row>
    <row r="82">
      <c r="A82" s="29" t="s">
        <v>175</v>
      </c>
      <c r="C82" s="29" t="s">
        <v>175</v>
      </c>
    </row>
    <row r="83">
      <c r="A83" s="29" t="s">
        <v>175</v>
      </c>
      <c r="C83" s="29" t="s">
        <v>175</v>
      </c>
    </row>
    <row r="84">
      <c r="A84" s="29" t="s">
        <v>175</v>
      </c>
      <c r="C84" s="29" t="s">
        <v>175</v>
      </c>
    </row>
    <row r="85">
      <c r="A85" s="29" t="s">
        <v>175</v>
      </c>
      <c r="C85" s="29" t="s">
        <v>175</v>
      </c>
    </row>
    <row r="86">
      <c r="A86" s="29" t="s">
        <v>175</v>
      </c>
      <c r="C86" s="29" t="s">
        <v>175</v>
      </c>
    </row>
    <row r="87">
      <c r="A87" s="29" t="s">
        <v>175</v>
      </c>
      <c r="C87" s="29" t="s">
        <v>175</v>
      </c>
    </row>
    <row r="88">
      <c r="A88" s="29" t="s">
        <v>175</v>
      </c>
      <c r="C88" s="29" t="s">
        <v>175</v>
      </c>
    </row>
    <row r="89">
      <c r="A89" s="29" t="s">
        <v>175</v>
      </c>
      <c r="C89" s="29" t="s">
        <v>175</v>
      </c>
    </row>
    <row r="90">
      <c r="A90" s="29" t="s">
        <v>175</v>
      </c>
      <c r="C90" s="29" t="s">
        <v>175</v>
      </c>
    </row>
    <row r="91">
      <c r="A91" s="29" t="s">
        <v>175</v>
      </c>
      <c r="C91" s="29" t="s">
        <v>175</v>
      </c>
    </row>
    <row r="92">
      <c r="A92" s="29" t="s">
        <v>175</v>
      </c>
      <c r="C92" s="29" t="s">
        <v>175</v>
      </c>
    </row>
    <row r="93">
      <c r="A93" s="29" t="s">
        <v>175</v>
      </c>
      <c r="C93" s="29" t="s">
        <v>175</v>
      </c>
    </row>
    <row r="94">
      <c r="A94" s="29" t="s">
        <v>175</v>
      </c>
      <c r="C94" s="29" t="s">
        <v>175</v>
      </c>
    </row>
    <row r="95">
      <c r="A95" s="29" t="s">
        <v>175</v>
      </c>
      <c r="C95" s="29" t="s">
        <v>175</v>
      </c>
    </row>
    <row r="96">
      <c r="A96" s="29" t="s">
        <v>175</v>
      </c>
      <c r="C96" s="29" t="s">
        <v>175</v>
      </c>
    </row>
    <row r="97">
      <c r="A97" s="29" t="s">
        <v>175</v>
      </c>
      <c r="C97" s="29" t="s">
        <v>175</v>
      </c>
    </row>
    <row r="98">
      <c r="A98" s="29" t="s">
        <v>175</v>
      </c>
      <c r="C98" s="29" t="s">
        <v>175</v>
      </c>
    </row>
    <row r="99">
      <c r="A99" s="29" t="s">
        <v>175</v>
      </c>
      <c r="C99" s="29" t="s">
        <v>175</v>
      </c>
    </row>
    <row r="100">
      <c r="A100" s="29" t="s">
        <v>175</v>
      </c>
      <c r="C100" s="29" t="s">
        <v>175</v>
      </c>
    </row>
    <row r="101">
      <c r="A101" s="29" t="s">
        <v>175</v>
      </c>
      <c r="C101" s="29" t="s">
        <v>175</v>
      </c>
    </row>
    <row r="102">
      <c r="A102" s="29" t="s">
        <v>175</v>
      </c>
      <c r="C102" s="29" t="s">
        <v>175</v>
      </c>
    </row>
    <row r="103">
      <c r="A103" s="29" t="s">
        <v>175</v>
      </c>
      <c r="C103" s="29" t="s">
        <v>175</v>
      </c>
    </row>
    <row r="104">
      <c r="A104" s="29" t="s">
        <v>175</v>
      </c>
      <c r="C104" s="29" t="s">
        <v>175</v>
      </c>
    </row>
    <row r="105">
      <c r="A105" s="29" t="s">
        <v>175</v>
      </c>
      <c r="C105" s="29" t="s">
        <v>175</v>
      </c>
    </row>
    <row r="106">
      <c r="A106" s="29" t="s">
        <v>175</v>
      </c>
      <c r="C106" s="29" t="s">
        <v>175</v>
      </c>
    </row>
    <row r="107">
      <c r="A107" s="29" t="s">
        <v>175</v>
      </c>
      <c r="C107" s="29" t="s">
        <v>175</v>
      </c>
    </row>
    <row r="108">
      <c r="A108" s="29" t="s">
        <v>175</v>
      </c>
      <c r="C108" s="29" t="s">
        <v>175</v>
      </c>
    </row>
    <row r="109">
      <c r="A109" s="29" t="s">
        <v>175</v>
      </c>
      <c r="C109" s="29" t="s">
        <v>175</v>
      </c>
    </row>
    <row r="110">
      <c r="A110" s="29" t="s">
        <v>175</v>
      </c>
      <c r="C110" s="29" t="s">
        <v>175</v>
      </c>
    </row>
    <row r="111">
      <c r="A111" s="29" t="s">
        <v>175</v>
      </c>
      <c r="C111" s="29" t="s">
        <v>175</v>
      </c>
    </row>
    <row r="112">
      <c r="A112" s="29" t="s">
        <v>175</v>
      </c>
      <c r="C112" s="29" t="s">
        <v>175</v>
      </c>
    </row>
    <row r="113">
      <c r="A113" s="29" t="s">
        <v>175</v>
      </c>
      <c r="C113" s="29" t="s">
        <v>175</v>
      </c>
    </row>
    <row r="114">
      <c r="A114" s="29" t="s">
        <v>175</v>
      </c>
      <c r="C114" s="29" t="s">
        <v>175</v>
      </c>
    </row>
    <row r="115">
      <c r="A115" s="29" t="s">
        <v>175</v>
      </c>
      <c r="C115" s="29" t="s">
        <v>175</v>
      </c>
    </row>
    <row r="116">
      <c r="A116" s="29" t="s">
        <v>175</v>
      </c>
      <c r="C116" s="29" t="s">
        <v>175</v>
      </c>
    </row>
    <row r="117">
      <c r="A117" s="29" t="s">
        <v>175</v>
      </c>
      <c r="C117" s="29" t="s">
        <v>175</v>
      </c>
    </row>
    <row r="118">
      <c r="A118" s="29" t="s">
        <v>175</v>
      </c>
      <c r="C118" s="29" t="s">
        <v>175</v>
      </c>
    </row>
    <row r="119">
      <c r="A119" s="29" t="s">
        <v>175</v>
      </c>
      <c r="C119" s="29" t="s">
        <v>175</v>
      </c>
    </row>
    <row r="120">
      <c r="A120" s="29" t="s">
        <v>175</v>
      </c>
      <c r="C120" s="29" t="s">
        <v>175</v>
      </c>
    </row>
    <row r="121">
      <c r="A121" s="29" t="s">
        <v>175</v>
      </c>
      <c r="C121" s="29" t="s">
        <v>175</v>
      </c>
    </row>
    <row r="122">
      <c r="A122" s="29" t="s">
        <v>175</v>
      </c>
      <c r="C122" s="29" t="s">
        <v>175</v>
      </c>
    </row>
    <row r="123">
      <c r="A123" s="29" t="s">
        <v>175</v>
      </c>
      <c r="C123" s="29" t="s">
        <v>175</v>
      </c>
    </row>
    <row r="124">
      <c r="A124" s="29" t="s">
        <v>175</v>
      </c>
      <c r="C124" s="29" t="s">
        <v>175</v>
      </c>
    </row>
    <row r="125">
      <c r="A125" s="29" t="s">
        <v>175</v>
      </c>
      <c r="C125" s="29" t="s">
        <v>175</v>
      </c>
    </row>
    <row r="126">
      <c r="A126" s="29" t="s">
        <v>175</v>
      </c>
      <c r="C126" s="29" t="s">
        <v>175</v>
      </c>
    </row>
    <row r="127">
      <c r="A127" s="29" t="s">
        <v>175</v>
      </c>
      <c r="C127" s="29" t="s">
        <v>175</v>
      </c>
    </row>
    <row r="128">
      <c r="A128" s="29" t="s">
        <v>175</v>
      </c>
      <c r="C128" s="29" t="s">
        <v>175</v>
      </c>
    </row>
    <row r="129">
      <c r="A129" s="29" t="s">
        <v>175</v>
      </c>
      <c r="C129" s="29" t="s">
        <v>175</v>
      </c>
    </row>
    <row r="130">
      <c r="A130" s="29" t="s">
        <v>175</v>
      </c>
      <c r="C130" s="29" t="s">
        <v>175</v>
      </c>
    </row>
    <row r="131">
      <c r="A131" s="29" t="s">
        <v>175</v>
      </c>
      <c r="C131" s="29" t="s">
        <v>175</v>
      </c>
    </row>
    <row r="132">
      <c r="A132" s="29" t="s">
        <v>175</v>
      </c>
      <c r="C132" s="29" t="s">
        <v>175</v>
      </c>
    </row>
    <row r="133">
      <c r="A133" s="29" t="s">
        <v>175</v>
      </c>
      <c r="C133" s="29" t="s">
        <v>175</v>
      </c>
    </row>
    <row r="134">
      <c r="A134" s="29" t="s">
        <v>175</v>
      </c>
      <c r="C134" s="29" t="s">
        <v>175</v>
      </c>
    </row>
    <row r="135">
      <c r="A135" s="29" t="s">
        <v>175</v>
      </c>
      <c r="C135" s="29" t="s">
        <v>175</v>
      </c>
    </row>
    <row r="136">
      <c r="A136" s="29" t="s">
        <v>175</v>
      </c>
      <c r="C136" s="29" t="s">
        <v>175</v>
      </c>
    </row>
    <row r="137">
      <c r="A137" s="29" t="s">
        <v>175</v>
      </c>
      <c r="C137" s="29" t="s">
        <v>175</v>
      </c>
    </row>
    <row r="138">
      <c r="A138" s="29" t="s">
        <v>175</v>
      </c>
      <c r="C138" s="29" t="s">
        <v>175</v>
      </c>
    </row>
    <row r="139">
      <c r="A139" s="29" t="s">
        <v>175</v>
      </c>
      <c r="C139" s="29" t="s">
        <v>175</v>
      </c>
    </row>
    <row r="140">
      <c r="A140" s="29" t="s">
        <v>175</v>
      </c>
      <c r="C140" s="29" t="s">
        <v>175</v>
      </c>
    </row>
    <row r="141">
      <c r="A141" s="29" t="s">
        <v>175</v>
      </c>
      <c r="C141" s="29" t="s">
        <v>175</v>
      </c>
    </row>
    <row r="142">
      <c r="A142" s="29" t="s">
        <v>175</v>
      </c>
      <c r="C142" s="29" t="s">
        <v>175</v>
      </c>
    </row>
    <row r="143">
      <c r="A143" s="29" t="s">
        <v>175</v>
      </c>
      <c r="C143" s="29" t="s">
        <v>175</v>
      </c>
    </row>
    <row r="144">
      <c r="A144" s="29" t="s">
        <v>175</v>
      </c>
      <c r="C144" s="29" t="s">
        <v>175</v>
      </c>
    </row>
    <row r="145">
      <c r="A145" s="29" t="s">
        <v>175</v>
      </c>
      <c r="C145" s="29" t="s">
        <v>175</v>
      </c>
    </row>
    <row r="146">
      <c r="A146" s="29" t="s">
        <v>175</v>
      </c>
      <c r="C146" s="29" t="s">
        <v>175</v>
      </c>
    </row>
    <row r="147">
      <c r="A147" s="29" t="s">
        <v>175</v>
      </c>
      <c r="C147" s="29" t="s">
        <v>175</v>
      </c>
    </row>
    <row r="148">
      <c r="A148" s="29" t="s">
        <v>175</v>
      </c>
      <c r="C148" s="29" t="s">
        <v>175</v>
      </c>
    </row>
    <row r="149">
      <c r="A149" s="29" t="s">
        <v>175</v>
      </c>
      <c r="C149" s="29" t="s">
        <v>175</v>
      </c>
    </row>
    <row r="150">
      <c r="A150" s="29" t="s">
        <v>175</v>
      </c>
      <c r="C150" s="29" t="s">
        <v>175</v>
      </c>
    </row>
    <row r="151">
      <c r="A151" s="29" t="s">
        <v>175</v>
      </c>
      <c r="C151" s="29" t="s">
        <v>175</v>
      </c>
    </row>
    <row r="152">
      <c r="A152" s="29" t="s">
        <v>175</v>
      </c>
      <c r="C152" s="29" t="s">
        <v>175</v>
      </c>
    </row>
    <row r="153">
      <c r="A153" s="29" t="s">
        <v>175</v>
      </c>
      <c r="C153" s="29" t="s">
        <v>175</v>
      </c>
    </row>
    <row r="154">
      <c r="A154" s="29" t="s">
        <v>175</v>
      </c>
      <c r="C154" s="29" t="s">
        <v>175</v>
      </c>
    </row>
    <row r="155">
      <c r="A155" s="29" t="s">
        <v>175</v>
      </c>
      <c r="C155" s="29" t="s">
        <v>175</v>
      </c>
    </row>
    <row r="156">
      <c r="A156" s="29" t="s">
        <v>175</v>
      </c>
      <c r="C156" s="29" t="s">
        <v>175</v>
      </c>
    </row>
    <row r="157">
      <c r="A157" s="29" t="s">
        <v>175</v>
      </c>
      <c r="C157" s="29" t="s">
        <v>175</v>
      </c>
    </row>
    <row r="158">
      <c r="A158" s="29" t="s">
        <v>175</v>
      </c>
      <c r="C158" s="29" t="s">
        <v>175</v>
      </c>
    </row>
    <row r="159">
      <c r="A159" s="29" t="s">
        <v>175</v>
      </c>
      <c r="C159" s="29" t="s">
        <v>175</v>
      </c>
    </row>
    <row r="160">
      <c r="A160" s="29" t="s">
        <v>175</v>
      </c>
      <c r="C160" s="29" t="s">
        <v>175</v>
      </c>
    </row>
    <row r="161">
      <c r="A161" s="29" t="s">
        <v>175</v>
      </c>
      <c r="C161" s="29" t="s">
        <v>175</v>
      </c>
    </row>
    <row r="162">
      <c r="A162" s="29" t="s">
        <v>175</v>
      </c>
      <c r="C162" s="29" t="s">
        <v>175</v>
      </c>
    </row>
    <row r="163">
      <c r="A163" s="29" t="s">
        <v>175</v>
      </c>
      <c r="C163" s="29" t="s">
        <v>175</v>
      </c>
    </row>
    <row r="164">
      <c r="A164" s="29" t="s">
        <v>175</v>
      </c>
      <c r="C164" s="29" t="s">
        <v>175</v>
      </c>
    </row>
    <row r="165">
      <c r="A165" s="29" t="s">
        <v>175</v>
      </c>
      <c r="C165" s="29" t="s">
        <v>175</v>
      </c>
    </row>
    <row r="166">
      <c r="A166" s="29" t="s">
        <v>175</v>
      </c>
      <c r="C166" s="29" t="s">
        <v>175</v>
      </c>
    </row>
    <row r="167">
      <c r="A167" s="29" t="s">
        <v>175</v>
      </c>
      <c r="C167" s="29" t="s">
        <v>175</v>
      </c>
    </row>
    <row r="168">
      <c r="A168" s="29" t="s">
        <v>175</v>
      </c>
      <c r="C168" s="29" t="s">
        <v>175</v>
      </c>
    </row>
    <row r="169">
      <c r="A169" s="29" t="s">
        <v>175</v>
      </c>
      <c r="C169" s="29" t="s">
        <v>175</v>
      </c>
    </row>
    <row r="170">
      <c r="A170" s="29" t="s">
        <v>175</v>
      </c>
      <c r="C170" s="29" t="s">
        <v>175</v>
      </c>
    </row>
    <row r="171">
      <c r="A171" s="29" t="s">
        <v>175</v>
      </c>
      <c r="C171" s="29" t="s">
        <v>175</v>
      </c>
    </row>
    <row r="172">
      <c r="A172" s="29" t="s">
        <v>175</v>
      </c>
      <c r="C172" s="29" t="s">
        <v>175</v>
      </c>
    </row>
    <row r="173">
      <c r="A173" s="29" t="s">
        <v>175</v>
      </c>
      <c r="C173" s="29" t="s">
        <v>175</v>
      </c>
    </row>
    <row r="174">
      <c r="A174" s="29" t="s">
        <v>175</v>
      </c>
      <c r="C174" s="29" t="s">
        <v>175</v>
      </c>
    </row>
    <row r="175">
      <c r="A175" s="29" t="s">
        <v>175</v>
      </c>
      <c r="C175" s="29" t="s">
        <v>175</v>
      </c>
    </row>
    <row r="176">
      <c r="A176" s="29" t="s">
        <v>175</v>
      </c>
      <c r="C176" s="29" t="s">
        <v>175</v>
      </c>
    </row>
    <row r="177">
      <c r="A177" s="29" t="s">
        <v>175</v>
      </c>
      <c r="C177" s="29" t="s">
        <v>175</v>
      </c>
    </row>
    <row r="178">
      <c r="A178" s="29" t="s">
        <v>175</v>
      </c>
      <c r="C178" s="29" t="s">
        <v>175</v>
      </c>
    </row>
    <row r="179">
      <c r="A179" s="29" t="s">
        <v>175</v>
      </c>
      <c r="C179" s="29" t="s">
        <v>175</v>
      </c>
    </row>
    <row r="180">
      <c r="A180" s="29" t="s">
        <v>175</v>
      </c>
      <c r="C180" s="29" t="s">
        <v>175</v>
      </c>
    </row>
    <row r="181">
      <c r="A181" s="29" t="s">
        <v>175</v>
      </c>
      <c r="C181" s="29" t="s">
        <v>175</v>
      </c>
    </row>
    <row r="182">
      <c r="A182" s="29" t="s">
        <v>175</v>
      </c>
      <c r="C182" s="29" t="s">
        <v>175</v>
      </c>
    </row>
    <row r="183">
      <c r="A183" s="29" t="s">
        <v>175</v>
      </c>
      <c r="C183" s="29" t="s">
        <v>175</v>
      </c>
    </row>
    <row r="184">
      <c r="A184" s="29" t="s">
        <v>175</v>
      </c>
      <c r="C184" s="29" t="s">
        <v>175</v>
      </c>
    </row>
    <row r="185">
      <c r="A185" s="29" t="s">
        <v>175</v>
      </c>
      <c r="C185" s="29" t="s">
        <v>175</v>
      </c>
    </row>
    <row r="186">
      <c r="A186" s="29" t="s">
        <v>175</v>
      </c>
      <c r="C186" s="29" t="s">
        <v>175</v>
      </c>
    </row>
    <row r="187">
      <c r="A187" s="29" t="s">
        <v>175</v>
      </c>
      <c r="C187" s="29" t="s">
        <v>175</v>
      </c>
    </row>
    <row r="188">
      <c r="A188" s="29" t="s">
        <v>175</v>
      </c>
      <c r="C188" s="29" t="s">
        <v>175</v>
      </c>
    </row>
    <row r="189">
      <c r="A189" s="29" t="s">
        <v>175</v>
      </c>
      <c r="C189" s="29" t="s">
        <v>175</v>
      </c>
    </row>
    <row r="190">
      <c r="A190" s="29" t="s">
        <v>175</v>
      </c>
      <c r="C190" s="29" t="s">
        <v>175</v>
      </c>
    </row>
    <row r="191">
      <c r="A191" s="29" t="s">
        <v>175</v>
      </c>
      <c r="C191" s="29" t="s">
        <v>175</v>
      </c>
    </row>
    <row r="192">
      <c r="A192" s="29" t="s">
        <v>175</v>
      </c>
      <c r="C192" s="29" t="s">
        <v>175</v>
      </c>
    </row>
    <row r="193">
      <c r="A193" s="29" t="s">
        <v>175</v>
      </c>
      <c r="C193" s="29" t="s">
        <v>175</v>
      </c>
    </row>
    <row r="194">
      <c r="A194" s="29" t="s">
        <v>175</v>
      </c>
      <c r="C194" s="29" t="s">
        <v>175</v>
      </c>
    </row>
    <row r="195">
      <c r="A195" s="29" t="s">
        <v>175</v>
      </c>
      <c r="C195" s="29" t="s">
        <v>175</v>
      </c>
    </row>
    <row r="196">
      <c r="A196" s="29" t="s">
        <v>175</v>
      </c>
      <c r="C196" s="29" t="s">
        <v>175</v>
      </c>
    </row>
    <row r="197">
      <c r="A197" s="29" t="s">
        <v>175</v>
      </c>
      <c r="C197" s="29" t="s">
        <v>175</v>
      </c>
    </row>
    <row r="198">
      <c r="A198" s="29" t="s">
        <v>175</v>
      </c>
      <c r="C198" s="29" t="s">
        <v>175</v>
      </c>
    </row>
    <row r="199">
      <c r="A199" s="29" t="s">
        <v>175</v>
      </c>
      <c r="C199" s="29" t="s">
        <v>175</v>
      </c>
    </row>
    <row r="200">
      <c r="A200" s="29" t="s">
        <v>175</v>
      </c>
      <c r="C200" s="29" t="s">
        <v>175</v>
      </c>
    </row>
    <row r="201">
      <c r="A201" s="29" t="s">
        <v>175</v>
      </c>
      <c r="C201" s="29" t="s">
        <v>175</v>
      </c>
    </row>
    <row r="202">
      <c r="A202" s="29" t="s">
        <v>175</v>
      </c>
      <c r="C202" s="29" t="s">
        <v>175</v>
      </c>
    </row>
    <row r="203">
      <c r="A203" s="29" t="s">
        <v>175</v>
      </c>
      <c r="C203" s="29" t="s">
        <v>175</v>
      </c>
    </row>
    <row r="204">
      <c r="A204" s="29" t="s">
        <v>175</v>
      </c>
      <c r="C204" s="29" t="s">
        <v>175</v>
      </c>
    </row>
    <row r="205">
      <c r="A205" s="29" t="s">
        <v>175</v>
      </c>
      <c r="C205" s="29" t="s">
        <v>175</v>
      </c>
    </row>
    <row r="206">
      <c r="A206" s="29" t="s">
        <v>175</v>
      </c>
      <c r="C206" s="29" t="s">
        <v>175</v>
      </c>
    </row>
    <row r="207">
      <c r="A207" s="29" t="s">
        <v>175</v>
      </c>
      <c r="C207" s="29" t="s">
        <v>175</v>
      </c>
    </row>
    <row r="208">
      <c r="A208" s="29" t="s">
        <v>175</v>
      </c>
      <c r="C208" s="29" t="s">
        <v>175</v>
      </c>
    </row>
    <row r="209">
      <c r="A209" s="29" t="s">
        <v>175</v>
      </c>
      <c r="C209" s="29" t="s">
        <v>175</v>
      </c>
    </row>
    <row r="210">
      <c r="A210" s="29" t="s">
        <v>175</v>
      </c>
      <c r="C210" s="29" t="s">
        <v>175</v>
      </c>
    </row>
    <row r="211">
      <c r="A211" s="29" t="s">
        <v>175</v>
      </c>
      <c r="C211" s="29" t="s">
        <v>175</v>
      </c>
    </row>
    <row r="212">
      <c r="A212" s="29" t="s">
        <v>175</v>
      </c>
      <c r="C212" s="29" t="s">
        <v>175</v>
      </c>
    </row>
    <row r="213">
      <c r="A213" s="29" t="s">
        <v>175</v>
      </c>
      <c r="C213" s="29" t="s">
        <v>175</v>
      </c>
    </row>
    <row r="214">
      <c r="A214" s="29" t="s">
        <v>175</v>
      </c>
      <c r="C214" s="29" t="s">
        <v>175</v>
      </c>
    </row>
    <row r="215">
      <c r="A215" s="29" t="s">
        <v>175</v>
      </c>
      <c r="C215" s="29" t="s">
        <v>175</v>
      </c>
    </row>
    <row r="216">
      <c r="A216" s="29" t="s">
        <v>175</v>
      </c>
      <c r="C216" s="29" t="s">
        <v>175</v>
      </c>
    </row>
    <row r="217">
      <c r="A217" s="29" t="s">
        <v>175</v>
      </c>
      <c r="C217" s="29" t="s">
        <v>175</v>
      </c>
    </row>
    <row r="218">
      <c r="A218" s="29" t="s">
        <v>175</v>
      </c>
      <c r="C218" s="29" t="s">
        <v>175</v>
      </c>
    </row>
    <row r="219">
      <c r="A219" s="29" t="s">
        <v>175</v>
      </c>
      <c r="C219" s="29" t="s">
        <v>175</v>
      </c>
    </row>
    <row r="220">
      <c r="A220" s="29" t="s">
        <v>175</v>
      </c>
      <c r="C220" s="29" t="s">
        <v>175</v>
      </c>
    </row>
    <row r="221">
      <c r="A221" s="29" t="s">
        <v>175</v>
      </c>
      <c r="C221" s="29" t="s">
        <v>175</v>
      </c>
    </row>
    <row r="222">
      <c r="A222" s="29" t="s">
        <v>175</v>
      </c>
      <c r="C222" s="29" t="s">
        <v>175</v>
      </c>
    </row>
    <row r="223">
      <c r="A223" s="29" t="s">
        <v>175</v>
      </c>
      <c r="C223" s="29" t="s">
        <v>175</v>
      </c>
    </row>
    <row r="224">
      <c r="A224" s="29" t="s">
        <v>175</v>
      </c>
      <c r="C224" s="29" t="s">
        <v>175</v>
      </c>
    </row>
    <row r="225">
      <c r="A225" s="29" t="s">
        <v>175</v>
      </c>
      <c r="C225" s="29" t="s">
        <v>175</v>
      </c>
    </row>
    <row r="226">
      <c r="A226" s="29" t="s">
        <v>175</v>
      </c>
      <c r="C226" s="29" t="s">
        <v>175</v>
      </c>
    </row>
    <row r="227">
      <c r="A227" s="29" t="s">
        <v>175</v>
      </c>
      <c r="C227" s="29" t="s">
        <v>175</v>
      </c>
    </row>
    <row r="228">
      <c r="A228" s="29" t="s">
        <v>175</v>
      </c>
      <c r="C228" s="29" t="s">
        <v>175</v>
      </c>
    </row>
    <row r="229">
      <c r="A229" s="29" t="s">
        <v>175</v>
      </c>
      <c r="C229" s="29" t="s">
        <v>175</v>
      </c>
    </row>
    <row r="230">
      <c r="A230" s="29" t="s">
        <v>175</v>
      </c>
      <c r="C230" s="29" t="s">
        <v>175</v>
      </c>
    </row>
    <row r="231">
      <c r="A231" s="29" t="s">
        <v>175</v>
      </c>
      <c r="C231" s="29" t="s">
        <v>175</v>
      </c>
    </row>
    <row r="232">
      <c r="A232" s="29" t="s">
        <v>175</v>
      </c>
      <c r="C232" s="29" t="s">
        <v>175</v>
      </c>
    </row>
    <row r="233">
      <c r="A233" s="29" t="s">
        <v>175</v>
      </c>
      <c r="C233" s="29" t="s">
        <v>175</v>
      </c>
    </row>
    <row r="234">
      <c r="A234" s="29" t="s">
        <v>175</v>
      </c>
      <c r="C234" s="29" t="s">
        <v>175</v>
      </c>
    </row>
    <row r="235">
      <c r="A235" s="29" t="s">
        <v>175</v>
      </c>
      <c r="C235" s="29" t="s">
        <v>175</v>
      </c>
    </row>
    <row r="236">
      <c r="A236" s="29" t="s">
        <v>175</v>
      </c>
      <c r="C236" s="29" t="s">
        <v>175</v>
      </c>
    </row>
    <row r="237">
      <c r="A237" s="29" t="s">
        <v>175</v>
      </c>
      <c r="C237" s="29" t="s">
        <v>175</v>
      </c>
    </row>
    <row r="238">
      <c r="A238" s="29" t="s">
        <v>175</v>
      </c>
      <c r="C238" s="29" t="s">
        <v>175</v>
      </c>
    </row>
    <row r="239">
      <c r="A239" s="29" t="s">
        <v>175</v>
      </c>
      <c r="C239" s="29" t="s">
        <v>175</v>
      </c>
    </row>
    <row r="240">
      <c r="A240" s="29" t="s">
        <v>175</v>
      </c>
      <c r="C240" s="29" t="s">
        <v>175</v>
      </c>
    </row>
    <row r="241">
      <c r="A241" s="29" t="s">
        <v>175</v>
      </c>
      <c r="C241" s="29" t="s">
        <v>175</v>
      </c>
    </row>
    <row r="242">
      <c r="A242" s="29" t="s">
        <v>175</v>
      </c>
      <c r="C242" s="29" t="s">
        <v>175</v>
      </c>
    </row>
    <row r="243">
      <c r="A243" s="29" t="s">
        <v>175</v>
      </c>
      <c r="C243" s="29" t="s">
        <v>175</v>
      </c>
    </row>
    <row r="244">
      <c r="A244" s="29" t="s">
        <v>175</v>
      </c>
      <c r="C244" s="29" t="s">
        <v>175</v>
      </c>
    </row>
    <row r="245">
      <c r="A245" s="29" t="s">
        <v>175</v>
      </c>
      <c r="C245" s="29" t="s">
        <v>175</v>
      </c>
    </row>
    <row r="246">
      <c r="A246" s="29" t="s">
        <v>175</v>
      </c>
      <c r="C246" s="29" t="s">
        <v>175</v>
      </c>
    </row>
    <row r="247">
      <c r="A247" s="29" t="s">
        <v>175</v>
      </c>
      <c r="C247" s="29" t="s">
        <v>175</v>
      </c>
    </row>
    <row r="248">
      <c r="A248" s="29" t="s">
        <v>175</v>
      </c>
      <c r="C248" s="29" t="s">
        <v>175</v>
      </c>
    </row>
    <row r="249">
      <c r="A249" s="29" t="s">
        <v>175</v>
      </c>
      <c r="C249" s="29" t="s">
        <v>175</v>
      </c>
    </row>
    <row r="250">
      <c r="A250" s="29" t="s">
        <v>175</v>
      </c>
      <c r="C250" s="29" t="s">
        <v>175</v>
      </c>
    </row>
    <row r="251">
      <c r="A251" s="29" t="s">
        <v>175</v>
      </c>
      <c r="C251" s="29" t="s">
        <v>175</v>
      </c>
    </row>
    <row r="252">
      <c r="A252" s="29" t="s">
        <v>175</v>
      </c>
      <c r="C252" s="29" t="s">
        <v>175</v>
      </c>
    </row>
    <row r="253">
      <c r="A253" s="29" t="s">
        <v>175</v>
      </c>
      <c r="C253" s="29" t="s">
        <v>175</v>
      </c>
    </row>
    <row r="254">
      <c r="A254" s="29" t="s">
        <v>175</v>
      </c>
      <c r="C254" s="29" t="s">
        <v>175</v>
      </c>
    </row>
    <row r="255">
      <c r="A255" s="29" t="s">
        <v>175</v>
      </c>
      <c r="C255" s="29" t="s">
        <v>175</v>
      </c>
    </row>
    <row r="256">
      <c r="A256" s="29" t="s">
        <v>175</v>
      </c>
      <c r="C256" s="29" t="s">
        <v>175</v>
      </c>
    </row>
    <row r="257">
      <c r="A257" s="29" t="s">
        <v>175</v>
      </c>
      <c r="C257" s="29" t="s">
        <v>175</v>
      </c>
    </row>
    <row r="258">
      <c r="A258" s="29" t="s">
        <v>175</v>
      </c>
      <c r="C258" s="29" t="s">
        <v>175</v>
      </c>
    </row>
    <row r="259">
      <c r="A259" s="29" t="s">
        <v>175</v>
      </c>
      <c r="C259" s="29" t="s">
        <v>175</v>
      </c>
    </row>
    <row r="260">
      <c r="A260" s="29" t="s">
        <v>175</v>
      </c>
      <c r="C260" s="29" t="s">
        <v>175</v>
      </c>
    </row>
    <row r="261">
      <c r="A261" s="29" t="s">
        <v>175</v>
      </c>
      <c r="C261" s="29" t="s">
        <v>175</v>
      </c>
    </row>
    <row r="262">
      <c r="A262" s="29" t="s">
        <v>175</v>
      </c>
      <c r="C262" s="29" t="s">
        <v>175</v>
      </c>
    </row>
    <row r="263">
      <c r="A263" s="29" t="s">
        <v>175</v>
      </c>
      <c r="C263" s="29" t="s">
        <v>175</v>
      </c>
    </row>
    <row r="264">
      <c r="A264" s="29" t="s">
        <v>175</v>
      </c>
      <c r="C264" s="29" t="s">
        <v>175</v>
      </c>
    </row>
    <row r="265">
      <c r="A265" s="29" t="s">
        <v>175</v>
      </c>
      <c r="C265" s="29" t="s">
        <v>175</v>
      </c>
    </row>
    <row r="266">
      <c r="A266" s="29" t="s">
        <v>175</v>
      </c>
      <c r="C266" s="29" t="s">
        <v>175</v>
      </c>
    </row>
    <row r="267">
      <c r="A267" s="29" t="s">
        <v>175</v>
      </c>
      <c r="C267" s="29" t="s">
        <v>175</v>
      </c>
    </row>
    <row r="268">
      <c r="A268" s="29" t="s">
        <v>175</v>
      </c>
      <c r="C268" s="29" t="s">
        <v>175</v>
      </c>
    </row>
    <row r="269">
      <c r="A269" s="29" t="s">
        <v>175</v>
      </c>
      <c r="C269" s="29" t="s">
        <v>175</v>
      </c>
    </row>
    <row r="270">
      <c r="A270" s="29" t="s">
        <v>175</v>
      </c>
      <c r="C270" s="29" t="s">
        <v>175</v>
      </c>
    </row>
    <row r="271">
      <c r="A271" s="29" t="s">
        <v>175</v>
      </c>
      <c r="C271" s="29" t="s">
        <v>175</v>
      </c>
    </row>
    <row r="272">
      <c r="A272" s="29" t="s">
        <v>175</v>
      </c>
      <c r="C272" s="29" t="s">
        <v>175</v>
      </c>
    </row>
    <row r="273">
      <c r="A273" s="29" t="s">
        <v>175</v>
      </c>
      <c r="C273" s="29" t="s">
        <v>175</v>
      </c>
    </row>
    <row r="274">
      <c r="A274" s="29" t="s">
        <v>175</v>
      </c>
      <c r="C274" s="29" t="s">
        <v>175</v>
      </c>
    </row>
    <row r="275">
      <c r="A275" s="29" t="s">
        <v>175</v>
      </c>
      <c r="C275" s="29" t="s">
        <v>175</v>
      </c>
    </row>
    <row r="276">
      <c r="A276" s="29" t="s">
        <v>175</v>
      </c>
      <c r="C276" s="29" t="s">
        <v>175</v>
      </c>
    </row>
    <row r="277">
      <c r="A277" s="29" t="s">
        <v>175</v>
      </c>
      <c r="C277" s="29" t="s">
        <v>175</v>
      </c>
    </row>
    <row r="278">
      <c r="A278" s="29" t="s">
        <v>175</v>
      </c>
      <c r="C278" s="29" t="s">
        <v>175</v>
      </c>
    </row>
    <row r="279">
      <c r="A279" s="29" t="s">
        <v>175</v>
      </c>
      <c r="C279" s="29" t="s">
        <v>175</v>
      </c>
    </row>
    <row r="280">
      <c r="A280" s="29" t="s">
        <v>175</v>
      </c>
      <c r="C280" s="29" t="s">
        <v>175</v>
      </c>
    </row>
    <row r="281">
      <c r="A281" s="29" t="s">
        <v>175</v>
      </c>
      <c r="C281" s="29" t="s">
        <v>175</v>
      </c>
    </row>
    <row r="282">
      <c r="A282" s="29" t="s">
        <v>175</v>
      </c>
      <c r="C282" s="29" t="s">
        <v>175</v>
      </c>
    </row>
    <row r="283">
      <c r="A283" s="29" t="s">
        <v>175</v>
      </c>
      <c r="C283" s="29" t="s">
        <v>175</v>
      </c>
    </row>
    <row r="284">
      <c r="A284" s="29" t="s">
        <v>175</v>
      </c>
      <c r="C284" s="29" t="s">
        <v>175</v>
      </c>
    </row>
    <row r="285">
      <c r="A285" s="29" t="s">
        <v>175</v>
      </c>
      <c r="C285" s="29" t="s">
        <v>175</v>
      </c>
    </row>
    <row r="286">
      <c r="A286" s="29" t="s">
        <v>175</v>
      </c>
      <c r="C286" s="29" t="s">
        <v>175</v>
      </c>
    </row>
    <row r="287">
      <c r="A287" s="29" t="s">
        <v>175</v>
      </c>
      <c r="C287" s="29" t="s">
        <v>175</v>
      </c>
    </row>
    <row r="288">
      <c r="A288" s="29" t="s">
        <v>175</v>
      </c>
      <c r="C288" s="29" t="s">
        <v>175</v>
      </c>
    </row>
    <row r="289">
      <c r="A289" s="29" t="s">
        <v>175</v>
      </c>
      <c r="C289" s="29" t="s">
        <v>175</v>
      </c>
    </row>
    <row r="290">
      <c r="A290" s="29" t="s">
        <v>175</v>
      </c>
      <c r="C290" s="29" t="s">
        <v>175</v>
      </c>
    </row>
    <row r="291">
      <c r="A291" s="29" t="s">
        <v>175</v>
      </c>
      <c r="C291" s="29" t="s">
        <v>175</v>
      </c>
    </row>
    <row r="292">
      <c r="A292" s="29" t="s">
        <v>175</v>
      </c>
      <c r="C292" s="29" t="s">
        <v>175</v>
      </c>
    </row>
    <row r="293">
      <c r="A293" s="29" t="s">
        <v>175</v>
      </c>
      <c r="C293" s="29" t="s">
        <v>175</v>
      </c>
    </row>
    <row r="294">
      <c r="A294" s="29" t="s">
        <v>175</v>
      </c>
      <c r="C294" s="29" t="s">
        <v>175</v>
      </c>
    </row>
    <row r="295">
      <c r="A295" s="29" t="s">
        <v>175</v>
      </c>
      <c r="C295" s="29" t="s">
        <v>175</v>
      </c>
    </row>
    <row r="296">
      <c r="A296" s="29" t="s">
        <v>175</v>
      </c>
      <c r="C296" s="29" t="s">
        <v>175</v>
      </c>
    </row>
    <row r="297">
      <c r="A297" s="29" t="s">
        <v>175</v>
      </c>
      <c r="C297" s="29" t="s">
        <v>175</v>
      </c>
    </row>
    <row r="298">
      <c r="A298" s="29" t="s">
        <v>175</v>
      </c>
      <c r="C298" s="29" t="s">
        <v>175</v>
      </c>
    </row>
    <row r="299">
      <c r="A299" s="29" t="s">
        <v>175</v>
      </c>
      <c r="C299" s="29" t="s">
        <v>175</v>
      </c>
    </row>
    <row r="300">
      <c r="A300" s="29" t="s">
        <v>175</v>
      </c>
      <c r="C300" s="29" t="s">
        <v>175</v>
      </c>
    </row>
    <row r="301">
      <c r="A301" s="29" t="s">
        <v>175</v>
      </c>
      <c r="C301" s="29" t="s">
        <v>175</v>
      </c>
    </row>
    <row r="302">
      <c r="A302" s="29" t="s">
        <v>175</v>
      </c>
      <c r="C302" s="29" t="s">
        <v>175</v>
      </c>
    </row>
    <row r="303">
      <c r="A303" s="29" t="s">
        <v>175</v>
      </c>
      <c r="C303" s="29" t="s">
        <v>175</v>
      </c>
    </row>
    <row r="304">
      <c r="A304" s="29" t="s">
        <v>175</v>
      </c>
      <c r="C304" s="29" t="s">
        <v>175</v>
      </c>
    </row>
    <row r="305">
      <c r="A305" s="29" t="s">
        <v>175</v>
      </c>
      <c r="C305" s="29" t="s">
        <v>175</v>
      </c>
    </row>
    <row r="306">
      <c r="A306" s="29" t="s">
        <v>175</v>
      </c>
      <c r="C306" s="29" t="s">
        <v>175</v>
      </c>
    </row>
    <row r="307">
      <c r="A307" s="29" t="s">
        <v>175</v>
      </c>
      <c r="C307" s="29" t="s">
        <v>175</v>
      </c>
    </row>
    <row r="308">
      <c r="A308" s="29" t="s">
        <v>175</v>
      </c>
      <c r="C308" s="29" t="s">
        <v>175</v>
      </c>
    </row>
    <row r="309">
      <c r="A309" s="29" t="s">
        <v>175</v>
      </c>
      <c r="C309" s="29" t="s">
        <v>175</v>
      </c>
    </row>
    <row r="310">
      <c r="A310" s="29" t="s">
        <v>175</v>
      </c>
      <c r="C310" s="29" t="s">
        <v>175</v>
      </c>
    </row>
    <row r="311">
      <c r="A311" s="29" t="s">
        <v>175</v>
      </c>
      <c r="C311" s="29" t="s">
        <v>175</v>
      </c>
    </row>
    <row r="312">
      <c r="A312" s="29" t="s">
        <v>175</v>
      </c>
      <c r="C312" s="29" t="s">
        <v>175</v>
      </c>
    </row>
    <row r="313">
      <c r="A313" s="29" t="s">
        <v>175</v>
      </c>
      <c r="C313" s="29" t="s">
        <v>175</v>
      </c>
    </row>
    <row r="314">
      <c r="A314" s="29" t="s">
        <v>175</v>
      </c>
      <c r="C314" s="29" t="s">
        <v>175</v>
      </c>
    </row>
    <row r="315">
      <c r="A315" s="29" t="s">
        <v>175</v>
      </c>
      <c r="C315" s="29" t="s">
        <v>175</v>
      </c>
    </row>
    <row r="316">
      <c r="A316" s="29" t="s">
        <v>175</v>
      </c>
      <c r="C316" s="29" t="s">
        <v>175</v>
      </c>
    </row>
    <row r="317">
      <c r="A317" s="29" t="s">
        <v>175</v>
      </c>
      <c r="C317" s="29" t="s">
        <v>175</v>
      </c>
    </row>
    <row r="318">
      <c r="A318" s="29" t="s">
        <v>175</v>
      </c>
      <c r="C318" s="29" t="s">
        <v>175</v>
      </c>
    </row>
    <row r="319">
      <c r="A319" s="29" t="s">
        <v>175</v>
      </c>
      <c r="C319" s="29" t="s">
        <v>175</v>
      </c>
    </row>
    <row r="320">
      <c r="A320" s="29" t="s">
        <v>175</v>
      </c>
      <c r="C320" s="29" t="s">
        <v>175</v>
      </c>
    </row>
    <row r="321">
      <c r="A321" s="29" t="s">
        <v>175</v>
      </c>
      <c r="C321" s="29" t="s">
        <v>175</v>
      </c>
    </row>
    <row r="322">
      <c r="A322" s="29" t="s">
        <v>175</v>
      </c>
      <c r="C322" s="29" t="s">
        <v>175</v>
      </c>
    </row>
    <row r="323">
      <c r="A323" s="29" t="s">
        <v>175</v>
      </c>
      <c r="C323" s="29" t="s">
        <v>175</v>
      </c>
    </row>
    <row r="324">
      <c r="A324" s="29" t="s">
        <v>175</v>
      </c>
      <c r="C324" s="29" t="s">
        <v>175</v>
      </c>
    </row>
    <row r="325">
      <c r="A325" s="29" t="s">
        <v>175</v>
      </c>
      <c r="C325" s="29" t="s">
        <v>175</v>
      </c>
    </row>
    <row r="326">
      <c r="A326" s="29" t="s">
        <v>175</v>
      </c>
      <c r="C326" s="29" t="s">
        <v>175</v>
      </c>
    </row>
    <row r="327">
      <c r="A327" s="29" t="s">
        <v>175</v>
      </c>
      <c r="C327" s="29" t="s">
        <v>175</v>
      </c>
    </row>
    <row r="328">
      <c r="A328" s="29" t="s">
        <v>175</v>
      </c>
      <c r="C328" s="29" t="s">
        <v>175</v>
      </c>
    </row>
    <row r="329">
      <c r="A329" s="29" t="s">
        <v>175</v>
      </c>
      <c r="C329" s="29" t="s">
        <v>175</v>
      </c>
    </row>
    <row r="330">
      <c r="A330" s="29" t="s">
        <v>175</v>
      </c>
      <c r="C330" s="29" t="s">
        <v>175</v>
      </c>
    </row>
    <row r="331">
      <c r="A331" s="29" t="s">
        <v>175</v>
      </c>
      <c r="C331" s="29" t="s">
        <v>175</v>
      </c>
    </row>
    <row r="332">
      <c r="A332" s="29" t="s">
        <v>175</v>
      </c>
      <c r="C332" s="29" t="s">
        <v>175</v>
      </c>
    </row>
    <row r="333">
      <c r="A333" s="29" t="s">
        <v>175</v>
      </c>
      <c r="C333" s="29" t="s">
        <v>175</v>
      </c>
    </row>
    <row r="334">
      <c r="A334" s="29" t="s">
        <v>175</v>
      </c>
      <c r="C334" s="29" t="s">
        <v>175</v>
      </c>
    </row>
    <row r="335">
      <c r="A335" s="29" t="s">
        <v>175</v>
      </c>
      <c r="C335" s="29" t="s">
        <v>175</v>
      </c>
    </row>
    <row r="336">
      <c r="A336" s="29" t="s">
        <v>175</v>
      </c>
      <c r="C336" s="29" t="s">
        <v>175</v>
      </c>
    </row>
    <row r="337">
      <c r="A337" s="29" t="s">
        <v>175</v>
      </c>
      <c r="C337" s="29" t="s">
        <v>175</v>
      </c>
    </row>
    <row r="338">
      <c r="A338" s="29" t="s">
        <v>175</v>
      </c>
      <c r="C338" s="29" t="s">
        <v>175</v>
      </c>
    </row>
    <row r="339">
      <c r="A339" s="29" t="s">
        <v>175</v>
      </c>
      <c r="C339" s="29" t="s">
        <v>175</v>
      </c>
    </row>
    <row r="340">
      <c r="A340" s="29" t="s">
        <v>175</v>
      </c>
      <c r="C340" s="29" t="s">
        <v>175</v>
      </c>
    </row>
    <row r="341">
      <c r="A341" s="29" t="s">
        <v>175</v>
      </c>
      <c r="C341" s="29" t="s">
        <v>175</v>
      </c>
    </row>
    <row r="342">
      <c r="A342" s="29" t="s">
        <v>175</v>
      </c>
      <c r="C342" s="29" t="s">
        <v>175</v>
      </c>
    </row>
    <row r="343">
      <c r="A343" s="29" t="s">
        <v>175</v>
      </c>
      <c r="C343" s="29" t="s">
        <v>175</v>
      </c>
    </row>
    <row r="344">
      <c r="A344" s="29" t="s">
        <v>175</v>
      </c>
      <c r="C344" s="29" t="s">
        <v>175</v>
      </c>
    </row>
    <row r="345">
      <c r="A345" s="29" t="s">
        <v>175</v>
      </c>
      <c r="C345" s="29" t="s">
        <v>175</v>
      </c>
    </row>
    <row r="346">
      <c r="A346" s="29" t="s">
        <v>175</v>
      </c>
      <c r="C346" s="29" t="s">
        <v>175</v>
      </c>
    </row>
    <row r="347">
      <c r="A347" s="29" t="s">
        <v>175</v>
      </c>
      <c r="C347" s="29" t="s">
        <v>175</v>
      </c>
    </row>
    <row r="348">
      <c r="A348" s="29" t="s">
        <v>175</v>
      </c>
      <c r="C348" s="29" t="s">
        <v>175</v>
      </c>
    </row>
    <row r="349">
      <c r="A349" s="29" t="s">
        <v>175</v>
      </c>
      <c r="C349" s="29" t="s">
        <v>175</v>
      </c>
    </row>
    <row r="350">
      <c r="A350" s="29" t="s">
        <v>175</v>
      </c>
      <c r="C350" s="29" t="s">
        <v>175</v>
      </c>
    </row>
    <row r="351">
      <c r="A351" s="29" t="s">
        <v>175</v>
      </c>
      <c r="C351" s="29" t="s">
        <v>175</v>
      </c>
    </row>
    <row r="352">
      <c r="A352" s="29" t="s">
        <v>175</v>
      </c>
      <c r="C352" s="29" t="s">
        <v>175</v>
      </c>
    </row>
    <row r="353">
      <c r="A353" s="29" t="s">
        <v>175</v>
      </c>
      <c r="C353" s="29" t="s">
        <v>175</v>
      </c>
    </row>
    <row r="354">
      <c r="A354" s="29" t="s">
        <v>175</v>
      </c>
      <c r="C354" s="29" t="s">
        <v>175</v>
      </c>
    </row>
    <row r="355">
      <c r="A355" s="29" t="s">
        <v>175</v>
      </c>
      <c r="C355" s="29" t="s">
        <v>175</v>
      </c>
    </row>
    <row r="356">
      <c r="A356" s="29" t="s">
        <v>175</v>
      </c>
      <c r="C356" s="29" t="s">
        <v>175</v>
      </c>
    </row>
    <row r="357">
      <c r="A357" s="29" t="s">
        <v>175</v>
      </c>
      <c r="C357" s="29" t="s">
        <v>175</v>
      </c>
    </row>
    <row r="358">
      <c r="A358" s="29" t="s">
        <v>175</v>
      </c>
      <c r="C358" s="29" t="s">
        <v>175</v>
      </c>
    </row>
    <row r="359">
      <c r="A359" s="29" t="s">
        <v>175</v>
      </c>
      <c r="C359" s="29" t="s">
        <v>175</v>
      </c>
    </row>
    <row r="360">
      <c r="A360" s="29" t="s">
        <v>175</v>
      </c>
      <c r="C360" s="29" t="s">
        <v>175</v>
      </c>
    </row>
    <row r="361">
      <c r="A361" s="29" t="s">
        <v>175</v>
      </c>
      <c r="C361" s="29" t="s">
        <v>175</v>
      </c>
    </row>
    <row r="362">
      <c r="A362" s="29" t="s">
        <v>175</v>
      </c>
      <c r="C362" s="29" t="s">
        <v>175</v>
      </c>
    </row>
    <row r="363">
      <c r="A363" s="29" t="s">
        <v>175</v>
      </c>
      <c r="C363" s="29" t="s">
        <v>175</v>
      </c>
    </row>
    <row r="364">
      <c r="A364" s="29" t="s">
        <v>175</v>
      </c>
      <c r="C364" s="29" t="s">
        <v>175</v>
      </c>
    </row>
    <row r="365">
      <c r="A365" s="29" t="s">
        <v>175</v>
      </c>
      <c r="C365" s="29" t="s">
        <v>175</v>
      </c>
    </row>
    <row r="366">
      <c r="A366" s="29" t="s">
        <v>175</v>
      </c>
      <c r="C366" s="29" t="s">
        <v>175</v>
      </c>
    </row>
    <row r="367">
      <c r="A367" s="29" t="s">
        <v>175</v>
      </c>
      <c r="C367" s="29" t="s">
        <v>175</v>
      </c>
    </row>
    <row r="368">
      <c r="A368" s="29" t="s">
        <v>175</v>
      </c>
      <c r="C368" s="29" t="s">
        <v>175</v>
      </c>
    </row>
    <row r="369">
      <c r="A369" s="29" t="s">
        <v>175</v>
      </c>
      <c r="C369" s="29" t="s">
        <v>175</v>
      </c>
    </row>
    <row r="370">
      <c r="A370" s="29" t="s">
        <v>175</v>
      </c>
      <c r="C370" s="29" t="s">
        <v>175</v>
      </c>
    </row>
    <row r="371">
      <c r="A371" s="29" t="s">
        <v>175</v>
      </c>
      <c r="C371" s="29" t="s">
        <v>175</v>
      </c>
    </row>
    <row r="372">
      <c r="A372" s="29" t="s">
        <v>175</v>
      </c>
      <c r="C372" s="29" t="s">
        <v>175</v>
      </c>
    </row>
    <row r="373">
      <c r="A373" s="29" t="s">
        <v>175</v>
      </c>
      <c r="C373" s="29" t="s">
        <v>175</v>
      </c>
    </row>
    <row r="374">
      <c r="A374" s="29" t="s">
        <v>175</v>
      </c>
      <c r="C374" s="29" t="s">
        <v>175</v>
      </c>
    </row>
    <row r="375">
      <c r="A375" s="29" t="s">
        <v>175</v>
      </c>
      <c r="C375" s="29" t="s">
        <v>175</v>
      </c>
    </row>
    <row r="376">
      <c r="A376" s="29" t="s">
        <v>175</v>
      </c>
      <c r="C376" s="29" t="s">
        <v>175</v>
      </c>
    </row>
    <row r="377">
      <c r="A377" s="29" t="s">
        <v>175</v>
      </c>
      <c r="C377" s="29" t="s">
        <v>175</v>
      </c>
    </row>
    <row r="378">
      <c r="A378" s="29" t="s">
        <v>175</v>
      </c>
      <c r="C378" s="29" t="s">
        <v>175</v>
      </c>
    </row>
    <row r="379">
      <c r="A379" s="29" t="s">
        <v>175</v>
      </c>
      <c r="C379" s="29" t="s">
        <v>175</v>
      </c>
    </row>
    <row r="380">
      <c r="A380" s="29" t="s">
        <v>175</v>
      </c>
      <c r="C380" s="29" t="s">
        <v>175</v>
      </c>
    </row>
    <row r="381">
      <c r="A381" s="29" t="s">
        <v>175</v>
      </c>
      <c r="C381" s="29" t="s">
        <v>175</v>
      </c>
    </row>
    <row r="382">
      <c r="A382" s="29" t="s">
        <v>175</v>
      </c>
      <c r="C382" s="29" t="s">
        <v>175</v>
      </c>
    </row>
    <row r="383">
      <c r="A383" s="29" t="s">
        <v>175</v>
      </c>
      <c r="C383" s="29" t="s">
        <v>175</v>
      </c>
    </row>
    <row r="384">
      <c r="A384" s="29" t="s">
        <v>175</v>
      </c>
      <c r="C384" s="29" t="s">
        <v>175</v>
      </c>
    </row>
    <row r="385">
      <c r="A385" s="29" t="s">
        <v>175</v>
      </c>
      <c r="C385" s="29" t="s">
        <v>175</v>
      </c>
    </row>
    <row r="386">
      <c r="A386" s="29" t="s">
        <v>175</v>
      </c>
      <c r="C386" s="29" t="s">
        <v>175</v>
      </c>
    </row>
    <row r="387">
      <c r="A387" s="29" t="s">
        <v>175</v>
      </c>
      <c r="C387" s="29" t="s">
        <v>175</v>
      </c>
    </row>
    <row r="388">
      <c r="A388" s="29" t="s">
        <v>175</v>
      </c>
      <c r="C388" s="29" t="s">
        <v>175</v>
      </c>
    </row>
    <row r="389">
      <c r="A389" s="29" t="s">
        <v>175</v>
      </c>
      <c r="C389" s="29" t="s">
        <v>175</v>
      </c>
    </row>
    <row r="390">
      <c r="A390" s="29" t="s">
        <v>175</v>
      </c>
      <c r="C390" s="29" t="s">
        <v>175</v>
      </c>
    </row>
    <row r="391">
      <c r="A391" s="29" t="s">
        <v>175</v>
      </c>
      <c r="C391" s="29" t="s">
        <v>175</v>
      </c>
    </row>
    <row r="392">
      <c r="A392" s="29" t="s">
        <v>175</v>
      </c>
      <c r="C392" s="29" t="s">
        <v>175</v>
      </c>
    </row>
    <row r="393">
      <c r="A393" s="29" t="s">
        <v>175</v>
      </c>
      <c r="C393" s="29" t="s">
        <v>175</v>
      </c>
    </row>
    <row r="394">
      <c r="A394" s="29" t="s">
        <v>175</v>
      </c>
      <c r="C394" s="29" t="s">
        <v>175</v>
      </c>
    </row>
    <row r="395">
      <c r="A395" s="29" t="s">
        <v>175</v>
      </c>
      <c r="C395" s="29" t="s">
        <v>175</v>
      </c>
    </row>
    <row r="396">
      <c r="A396" s="29" t="s">
        <v>175</v>
      </c>
      <c r="C396" s="29" t="s">
        <v>175</v>
      </c>
    </row>
    <row r="397">
      <c r="A397" s="29" t="s">
        <v>175</v>
      </c>
      <c r="C397" s="29" t="s">
        <v>175</v>
      </c>
    </row>
    <row r="398">
      <c r="A398" s="29" t="s">
        <v>175</v>
      </c>
      <c r="C398" s="29" t="s">
        <v>175</v>
      </c>
    </row>
    <row r="399">
      <c r="A399" s="29" t="s">
        <v>175</v>
      </c>
      <c r="C399" s="29" t="s">
        <v>175</v>
      </c>
    </row>
    <row r="400">
      <c r="A400" s="29" t="s">
        <v>175</v>
      </c>
      <c r="C400" s="29" t="s">
        <v>175</v>
      </c>
    </row>
    <row r="401">
      <c r="A401" s="29" t="s">
        <v>175</v>
      </c>
      <c r="C401" s="29" t="s">
        <v>175</v>
      </c>
    </row>
    <row r="402">
      <c r="A402" s="29" t="s">
        <v>175</v>
      </c>
      <c r="C402" s="29" t="s">
        <v>175</v>
      </c>
    </row>
    <row r="403">
      <c r="A403" s="29" t="s">
        <v>175</v>
      </c>
      <c r="C403" s="29" t="s">
        <v>175</v>
      </c>
    </row>
    <row r="404">
      <c r="A404" s="29" t="s">
        <v>175</v>
      </c>
      <c r="C404" s="29" t="s">
        <v>175</v>
      </c>
    </row>
    <row r="405">
      <c r="A405" s="29" t="s">
        <v>175</v>
      </c>
      <c r="C405" s="29" t="s">
        <v>175</v>
      </c>
    </row>
    <row r="406">
      <c r="A406" s="29" t="s">
        <v>175</v>
      </c>
      <c r="C406" s="29" t="s">
        <v>175</v>
      </c>
    </row>
    <row r="407">
      <c r="A407" s="29" t="s">
        <v>175</v>
      </c>
      <c r="C407" s="29" t="s">
        <v>175</v>
      </c>
    </row>
    <row r="408">
      <c r="A408" s="29" t="s">
        <v>175</v>
      </c>
      <c r="C408" s="29" t="s">
        <v>175</v>
      </c>
    </row>
    <row r="409">
      <c r="A409" s="29" t="s">
        <v>175</v>
      </c>
      <c r="C409" s="29" t="s">
        <v>175</v>
      </c>
    </row>
    <row r="410">
      <c r="A410" s="29" t="s">
        <v>175</v>
      </c>
      <c r="C410" s="29" t="s">
        <v>175</v>
      </c>
    </row>
    <row r="411">
      <c r="A411" s="29" t="s">
        <v>175</v>
      </c>
      <c r="C411" s="29" t="s">
        <v>175</v>
      </c>
    </row>
    <row r="412">
      <c r="A412" s="29" t="s">
        <v>175</v>
      </c>
      <c r="C412" s="29" t="s">
        <v>175</v>
      </c>
    </row>
    <row r="413">
      <c r="A413" s="29" t="s">
        <v>175</v>
      </c>
      <c r="C413" s="29" t="s">
        <v>175</v>
      </c>
    </row>
    <row r="414">
      <c r="A414" s="29" t="s">
        <v>175</v>
      </c>
      <c r="C414" s="29" t="s">
        <v>175</v>
      </c>
    </row>
    <row r="415">
      <c r="A415" s="29" t="s">
        <v>175</v>
      </c>
      <c r="C415" s="29" t="s">
        <v>175</v>
      </c>
    </row>
    <row r="416">
      <c r="A416" s="29" t="s">
        <v>175</v>
      </c>
      <c r="C416" s="29" t="s">
        <v>175</v>
      </c>
    </row>
    <row r="417">
      <c r="A417" s="29" t="s">
        <v>175</v>
      </c>
      <c r="C417" s="29" t="s">
        <v>175</v>
      </c>
    </row>
    <row r="418">
      <c r="A418" s="29" t="s">
        <v>175</v>
      </c>
      <c r="C418" s="29" t="s">
        <v>175</v>
      </c>
    </row>
    <row r="419">
      <c r="A419" s="29" t="s">
        <v>175</v>
      </c>
      <c r="C419" s="29" t="s">
        <v>175</v>
      </c>
    </row>
    <row r="420">
      <c r="A420" s="29" t="s">
        <v>175</v>
      </c>
      <c r="C420" s="29" t="s">
        <v>175</v>
      </c>
    </row>
    <row r="421">
      <c r="A421" s="29" t="s">
        <v>175</v>
      </c>
      <c r="C421" s="29" t="s">
        <v>175</v>
      </c>
    </row>
    <row r="422">
      <c r="A422" s="29" t="s">
        <v>175</v>
      </c>
      <c r="C422" s="29" t="s">
        <v>175</v>
      </c>
    </row>
    <row r="423">
      <c r="A423" s="29" t="s">
        <v>175</v>
      </c>
      <c r="C423" s="29" t="s">
        <v>175</v>
      </c>
    </row>
    <row r="424">
      <c r="A424" s="29" t="s">
        <v>175</v>
      </c>
      <c r="C424" s="29" t="s">
        <v>175</v>
      </c>
    </row>
    <row r="425">
      <c r="A425" s="29" t="s">
        <v>175</v>
      </c>
      <c r="C425" s="29" t="s">
        <v>175</v>
      </c>
    </row>
    <row r="426">
      <c r="A426" s="29" t="s">
        <v>175</v>
      </c>
      <c r="C426" s="29" t="s">
        <v>175</v>
      </c>
    </row>
    <row r="427">
      <c r="A427" s="29" t="s">
        <v>175</v>
      </c>
      <c r="C427" s="29" t="s">
        <v>175</v>
      </c>
    </row>
    <row r="428">
      <c r="A428" s="29" t="s">
        <v>175</v>
      </c>
      <c r="C428" s="29" t="s">
        <v>175</v>
      </c>
    </row>
    <row r="429">
      <c r="A429" s="29" t="s">
        <v>175</v>
      </c>
      <c r="C429" s="29" t="s">
        <v>175</v>
      </c>
    </row>
    <row r="430">
      <c r="A430" s="29" t="s">
        <v>175</v>
      </c>
      <c r="C430" s="29" t="s">
        <v>175</v>
      </c>
    </row>
    <row r="431">
      <c r="A431" s="29" t="s">
        <v>175</v>
      </c>
      <c r="C431" s="29" t="s">
        <v>175</v>
      </c>
    </row>
    <row r="432">
      <c r="A432" s="29" t="s">
        <v>175</v>
      </c>
      <c r="C432" s="29" t="s">
        <v>175</v>
      </c>
    </row>
    <row r="433">
      <c r="A433" s="29" t="s">
        <v>175</v>
      </c>
      <c r="C433" s="29" t="s">
        <v>175</v>
      </c>
    </row>
    <row r="434">
      <c r="A434" s="29" t="s">
        <v>175</v>
      </c>
      <c r="C434" s="29" t="s">
        <v>175</v>
      </c>
    </row>
    <row r="435">
      <c r="A435" s="29" t="s">
        <v>175</v>
      </c>
      <c r="C435" s="29" t="s">
        <v>175</v>
      </c>
    </row>
    <row r="436">
      <c r="A436" s="29" t="s">
        <v>175</v>
      </c>
      <c r="C436" s="29" t="s">
        <v>175</v>
      </c>
    </row>
    <row r="437">
      <c r="A437" s="29" t="s">
        <v>175</v>
      </c>
      <c r="C437" s="29" t="s">
        <v>175</v>
      </c>
    </row>
    <row r="438">
      <c r="A438" s="29" t="s">
        <v>175</v>
      </c>
      <c r="C438" s="29" t="s">
        <v>175</v>
      </c>
    </row>
    <row r="439">
      <c r="A439" s="29" t="s">
        <v>175</v>
      </c>
      <c r="C439" s="29" t="s">
        <v>175</v>
      </c>
    </row>
    <row r="440">
      <c r="A440" s="29" t="s">
        <v>175</v>
      </c>
      <c r="C440" s="29" t="s">
        <v>175</v>
      </c>
    </row>
    <row r="441">
      <c r="A441" s="29" t="s">
        <v>175</v>
      </c>
      <c r="C441" s="29" t="s">
        <v>175</v>
      </c>
    </row>
    <row r="442">
      <c r="A442" s="29" t="s">
        <v>175</v>
      </c>
      <c r="C442" s="29" t="s">
        <v>175</v>
      </c>
    </row>
    <row r="443">
      <c r="A443" s="29" t="s">
        <v>175</v>
      </c>
      <c r="C443" s="29" t="s">
        <v>175</v>
      </c>
    </row>
    <row r="444">
      <c r="A444" s="29" t="s">
        <v>175</v>
      </c>
      <c r="C444" s="29" t="s">
        <v>175</v>
      </c>
    </row>
    <row r="445">
      <c r="A445" s="29" t="s">
        <v>175</v>
      </c>
      <c r="C445" s="29" t="s">
        <v>175</v>
      </c>
    </row>
    <row r="446">
      <c r="A446" s="29" t="s">
        <v>175</v>
      </c>
      <c r="C446" s="29" t="s">
        <v>175</v>
      </c>
    </row>
    <row r="447">
      <c r="A447" s="29" t="s">
        <v>175</v>
      </c>
      <c r="C447" s="29" t="s">
        <v>175</v>
      </c>
    </row>
    <row r="448">
      <c r="A448" s="29" t="s">
        <v>175</v>
      </c>
      <c r="C448" s="29" t="s">
        <v>175</v>
      </c>
    </row>
    <row r="449">
      <c r="A449" s="29" t="s">
        <v>175</v>
      </c>
      <c r="C449" s="29" t="s">
        <v>175</v>
      </c>
    </row>
    <row r="450">
      <c r="A450" s="29" t="s">
        <v>175</v>
      </c>
      <c r="C450" s="29" t="s">
        <v>175</v>
      </c>
    </row>
    <row r="451">
      <c r="A451" s="29" t="s">
        <v>175</v>
      </c>
      <c r="C451" s="29" t="s">
        <v>175</v>
      </c>
    </row>
    <row r="452">
      <c r="A452" s="29" t="s">
        <v>175</v>
      </c>
      <c r="C452" s="29" t="s">
        <v>175</v>
      </c>
    </row>
    <row r="453">
      <c r="A453" s="29" t="s">
        <v>175</v>
      </c>
      <c r="C453" s="29" t="s">
        <v>175</v>
      </c>
    </row>
    <row r="454">
      <c r="A454" s="29" t="s">
        <v>175</v>
      </c>
      <c r="C454" s="29" t="s">
        <v>175</v>
      </c>
    </row>
    <row r="455">
      <c r="A455" s="29" t="s">
        <v>175</v>
      </c>
      <c r="C455" s="29" t="s">
        <v>175</v>
      </c>
    </row>
    <row r="456">
      <c r="A456" s="29" t="s">
        <v>175</v>
      </c>
      <c r="C456" s="29" t="s">
        <v>175</v>
      </c>
    </row>
    <row r="457">
      <c r="A457" s="29" t="s">
        <v>175</v>
      </c>
      <c r="C457" s="29" t="s">
        <v>175</v>
      </c>
    </row>
    <row r="458">
      <c r="A458" s="29" t="s">
        <v>175</v>
      </c>
      <c r="C458" s="29" t="s">
        <v>175</v>
      </c>
    </row>
    <row r="459">
      <c r="A459" s="29" t="s">
        <v>175</v>
      </c>
      <c r="C459" s="29" t="s">
        <v>175</v>
      </c>
    </row>
    <row r="460">
      <c r="A460" s="29" t="s">
        <v>175</v>
      </c>
      <c r="C460" s="29" t="s">
        <v>175</v>
      </c>
    </row>
    <row r="461">
      <c r="A461" s="29" t="s">
        <v>175</v>
      </c>
      <c r="C461" s="29" t="s">
        <v>175</v>
      </c>
    </row>
    <row r="462">
      <c r="A462" s="29" t="s">
        <v>175</v>
      </c>
      <c r="C462" s="29" t="s">
        <v>175</v>
      </c>
    </row>
    <row r="463">
      <c r="A463" s="29" t="s">
        <v>175</v>
      </c>
      <c r="C463" s="29" t="s">
        <v>175</v>
      </c>
    </row>
    <row r="464">
      <c r="A464" s="29" t="s">
        <v>175</v>
      </c>
      <c r="C464" s="29" t="s">
        <v>175</v>
      </c>
    </row>
    <row r="465">
      <c r="A465" s="29" t="s">
        <v>175</v>
      </c>
      <c r="C465" s="29" t="s">
        <v>175</v>
      </c>
    </row>
    <row r="466">
      <c r="A466" s="29" t="s">
        <v>175</v>
      </c>
      <c r="C466" s="29" t="s">
        <v>175</v>
      </c>
    </row>
    <row r="467">
      <c r="A467" s="29" t="s">
        <v>175</v>
      </c>
      <c r="C467" s="29" t="s">
        <v>175</v>
      </c>
    </row>
    <row r="468">
      <c r="A468" s="29" t="s">
        <v>175</v>
      </c>
      <c r="C468" s="29" t="s">
        <v>175</v>
      </c>
    </row>
    <row r="469">
      <c r="A469" s="29" t="s">
        <v>175</v>
      </c>
      <c r="C469" s="29" t="s">
        <v>175</v>
      </c>
    </row>
    <row r="470">
      <c r="A470" s="29" t="s">
        <v>175</v>
      </c>
      <c r="C470" s="29" t="s">
        <v>175</v>
      </c>
    </row>
    <row r="471">
      <c r="A471" s="29" t="s">
        <v>175</v>
      </c>
      <c r="C471" s="29" t="s">
        <v>175</v>
      </c>
    </row>
    <row r="472">
      <c r="A472" s="29" t="s">
        <v>175</v>
      </c>
      <c r="C472" s="29" t="s">
        <v>175</v>
      </c>
    </row>
    <row r="473">
      <c r="A473" s="29" t="s">
        <v>175</v>
      </c>
      <c r="C473" s="29" t="s">
        <v>175</v>
      </c>
    </row>
    <row r="474">
      <c r="A474" s="29" t="s">
        <v>175</v>
      </c>
      <c r="C474" s="29" t="s">
        <v>175</v>
      </c>
    </row>
    <row r="475">
      <c r="A475" s="29" t="s">
        <v>175</v>
      </c>
      <c r="C475" s="29" t="s">
        <v>175</v>
      </c>
    </row>
    <row r="476">
      <c r="A476" s="29" t="s">
        <v>175</v>
      </c>
      <c r="C476" s="29" t="s">
        <v>175</v>
      </c>
    </row>
    <row r="477">
      <c r="A477" s="29" t="s">
        <v>175</v>
      </c>
      <c r="C477" s="29" t="s">
        <v>175</v>
      </c>
    </row>
    <row r="478">
      <c r="A478" s="29" t="s">
        <v>175</v>
      </c>
      <c r="C478" s="29" t="s">
        <v>175</v>
      </c>
    </row>
    <row r="479">
      <c r="A479" s="29" t="s">
        <v>175</v>
      </c>
      <c r="C479" s="29" t="s">
        <v>175</v>
      </c>
    </row>
    <row r="480">
      <c r="A480" s="29" t="s">
        <v>175</v>
      </c>
      <c r="C480" s="29" t="s">
        <v>175</v>
      </c>
    </row>
    <row r="481">
      <c r="A481" s="29" t="s">
        <v>175</v>
      </c>
      <c r="C481" s="29" t="s">
        <v>175</v>
      </c>
    </row>
    <row r="482">
      <c r="A482" s="29" t="s">
        <v>175</v>
      </c>
      <c r="C482" s="29" t="s">
        <v>175</v>
      </c>
    </row>
    <row r="483">
      <c r="A483" s="29" t="s">
        <v>175</v>
      </c>
      <c r="C483" s="29" t="s">
        <v>175</v>
      </c>
    </row>
    <row r="484">
      <c r="A484" s="29" t="s">
        <v>175</v>
      </c>
      <c r="C484" s="29" t="s">
        <v>175</v>
      </c>
    </row>
    <row r="485">
      <c r="A485" s="29" t="s">
        <v>175</v>
      </c>
      <c r="C485" s="29" t="s">
        <v>175</v>
      </c>
    </row>
    <row r="486">
      <c r="A486" s="29" t="s">
        <v>175</v>
      </c>
      <c r="C486" s="29" t="s">
        <v>175</v>
      </c>
    </row>
    <row r="487">
      <c r="A487" s="29" t="s">
        <v>175</v>
      </c>
      <c r="C487" s="29" t="s">
        <v>175</v>
      </c>
    </row>
    <row r="488">
      <c r="A488" s="29" t="s">
        <v>175</v>
      </c>
      <c r="C488" s="29" t="s">
        <v>175</v>
      </c>
    </row>
    <row r="489">
      <c r="A489" s="29" t="s">
        <v>175</v>
      </c>
      <c r="C489" s="29" t="s">
        <v>175</v>
      </c>
    </row>
    <row r="490">
      <c r="A490" s="29" t="s">
        <v>175</v>
      </c>
      <c r="C490" s="29" t="s">
        <v>175</v>
      </c>
    </row>
    <row r="491">
      <c r="A491" s="29" t="s">
        <v>175</v>
      </c>
      <c r="C491" s="29" t="s">
        <v>175</v>
      </c>
    </row>
    <row r="492">
      <c r="A492" s="29" t="s">
        <v>175</v>
      </c>
      <c r="C492" s="29" t="s">
        <v>175</v>
      </c>
    </row>
    <row r="493">
      <c r="A493" s="29" t="s">
        <v>175</v>
      </c>
      <c r="C493" s="29" t="s">
        <v>175</v>
      </c>
    </row>
    <row r="494">
      <c r="A494" s="29" t="s">
        <v>175</v>
      </c>
      <c r="C494" s="29" t="s">
        <v>175</v>
      </c>
    </row>
    <row r="495">
      <c r="A495" s="29" t="s">
        <v>175</v>
      </c>
      <c r="C495" s="29" t="s">
        <v>175</v>
      </c>
    </row>
    <row r="496">
      <c r="A496" s="29" t="s">
        <v>175</v>
      </c>
      <c r="C496" s="29" t="s">
        <v>175</v>
      </c>
    </row>
    <row r="497">
      <c r="A497" s="29" t="s">
        <v>175</v>
      </c>
      <c r="C497" s="29" t="s">
        <v>175</v>
      </c>
    </row>
    <row r="498">
      <c r="A498" s="29" t="s">
        <v>175</v>
      </c>
      <c r="C498" s="29" t="s">
        <v>175</v>
      </c>
    </row>
    <row r="499">
      <c r="A499" s="29" t="s">
        <v>175</v>
      </c>
      <c r="C499" s="29" t="s">
        <v>175</v>
      </c>
    </row>
    <row r="500">
      <c r="A500" s="29" t="s">
        <v>175</v>
      </c>
      <c r="C500" s="29" t="s">
        <v>175</v>
      </c>
    </row>
    <row r="501">
      <c r="A501" s="29" t="s">
        <v>175</v>
      </c>
      <c r="C501" s="29" t="s">
        <v>175</v>
      </c>
    </row>
    <row r="502">
      <c r="A502" s="29" t="s">
        <v>175</v>
      </c>
      <c r="C502" s="29" t="s">
        <v>175</v>
      </c>
    </row>
    <row r="503">
      <c r="A503" s="29" t="s">
        <v>175</v>
      </c>
      <c r="C503" s="29" t="s">
        <v>175</v>
      </c>
    </row>
    <row r="504">
      <c r="A504" s="29" t="s">
        <v>175</v>
      </c>
      <c r="C504" s="29" t="s">
        <v>175</v>
      </c>
    </row>
    <row r="505">
      <c r="A505" s="29" t="s">
        <v>175</v>
      </c>
      <c r="C505" s="29" t="s">
        <v>175</v>
      </c>
    </row>
    <row r="506">
      <c r="A506" s="29" t="s">
        <v>175</v>
      </c>
      <c r="C506" s="29" t="s">
        <v>175</v>
      </c>
    </row>
    <row r="507">
      <c r="A507" s="29" t="s">
        <v>175</v>
      </c>
      <c r="C507" s="29" t="s">
        <v>175</v>
      </c>
    </row>
    <row r="508">
      <c r="A508" s="29" t="s">
        <v>175</v>
      </c>
      <c r="C508" s="29" t="s">
        <v>175</v>
      </c>
    </row>
    <row r="509">
      <c r="A509" s="29" t="s">
        <v>175</v>
      </c>
      <c r="C509" s="29" t="s">
        <v>175</v>
      </c>
    </row>
    <row r="510">
      <c r="A510" s="29" t="s">
        <v>175</v>
      </c>
      <c r="C510" s="29" t="s">
        <v>175</v>
      </c>
    </row>
    <row r="511">
      <c r="A511" s="29" t="s">
        <v>175</v>
      </c>
      <c r="C511" s="29" t="s">
        <v>175</v>
      </c>
    </row>
    <row r="512">
      <c r="A512" s="29" t="s">
        <v>175</v>
      </c>
      <c r="C512" s="29" t="s">
        <v>175</v>
      </c>
    </row>
    <row r="513">
      <c r="A513" s="29" t="s">
        <v>175</v>
      </c>
      <c r="C513" s="29" t="s">
        <v>175</v>
      </c>
    </row>
    <row r="514">
      <c r="A514" s="29" t="s">
        <v>175</v>
      </c>
      <c r="C514" s="29" t="s">
        <v>175</v>
      </c>
    </row>
    <row r="515">
      <c r="A515" s="29" t="s">
        <v>175</v>
      </c>
      <c r="C515" s="29" t="s">
        <v>175</v>
      </c>
    </row>
    <row r="516">
      <c r="A516" s="29" t="s">
        <v>175</v>
      </c>
      <c r="C516" s="29" t="s">
        <v>175</v>
      </c>
    </row>
    <row r="517">
      <c r="A517" s="29" t="s">
        <v>175</v>
      </c>
      <c r="C517" s="29" t="s">
        <v>175</v>
      </c>
    </row>
    <row r="518">
      <c r="A518" s="29" t="s">
        <v>175</v>
      </c>
      <c r="C518" s="29" t="s">
        <v>175</v>
      </c>
    </row>
    <row r="519">
      <c r="A519" s="29" t="s">
        <v>175</v>
      </c>
      <c r="C519" s="29" t="s">
        <v>175</v>
      </c>
    </row>
    <row r="520">
      <c r="A520" s="29" t="s">
        <v>175</v>
      </c>
      <c r="C520" s="29" t="s">
        <v>175</v>
      </c>
    </row>
    <row r="521">
      <c r="A521" s="29" t="s">
        <v>175</v>
      </c>
      <c r="C521" s="29" t="s">
        <v>175</v>
      </c>
    </row>
    <row r="522">
      <c r="A522" s="29" t="s">
        <v>175</v>
      </c>
      <c r="C522" s="29" t="s">
        <v>175</v>
      </c>
    </row>
    <row r="523">
      <c r="A523" s="29" t="s">
        <v>175</v>
      </c>
      <c r="C523" s="29" t="s">
        <v>175</v>
      </c>
    </row>
    <row r="524">
      <c r="A524" s="29" t="s">
        <v>175</v>
      </c>
      <c r="C524" s="29" t="s">
        <v>175</v>
      </c>
    </row>
    <row r="525">
      <c r="A525" s="29" t="s">
        <v>175</v>
      </c>
      <c r="C525" s="29" t="s">
        <v>175</v>
      </c>
    </row>
    <row r="526">
      <c r="A526" s="29" t="s">
        <v>175</v>
      </c>
      <c r="C526" s="29" t="s">
        <v>175</v>
      </c>
    </row>
    <row r="527">
      <c r="A527" s="29" t="s">
        <v>175</v>
      </c>
      <c r="C527" s="29" t="s">
        <v>175</v>
      </c>
    </row>
    <row r="528">
      <c r="A528" s="29" t="s">
        <v>175</v>
      </c>
      <c r="C528" s="29" t="s">
        <v>175</v>
      </c>
    </row>
    <row r="529">
      <c r="A529" s="29" t="s">
        <v>175</v>
      </c>
      <c r="C529" s="29" t="s">
        <v>175</v>
      </c>
    </row>
    <row r="530">
      <c r="A530" s="29" t="s">
        <v>175</v>
      </c>
      <c r="C530" s="29" t="s">
        <v>175</v>
      </c>
    </row>
    <row r="531">
      <c r="A531" s="29" t="s">
        <v>175</v>
      </c>
      <c r="C531" s="29" t="s">
        <v>175</v>
      </c>
    </row>
    <row r="532">
      <c r="A532" s="29" t="s">
        <v>175</v>
      </c>
      <c r="C532" s="29" t="s">
        <v>175</v>
      </c>
    </row>
    <row r="533">
      <c r="A533" s="29" t="s">
        <v>175</v>
      </c>
      <c r="C533" s="29" t="s">
        <v>175</v>
      </c>
    </row>
    <row r="534">
      <c r="A534" s="29" t="s">
        <v>175</v>
      </c>
      <c r="C534" s="29" t="s">
        <v>175</v>
      </c>
    </row>
    <row r="535">
      <c r="A535" s="29" t="s">
        <v>175</v>
      </c>
      <c r="C535" s="29" t="s">
        <v>175</v>
      </c>
    </row>
    <row r="536">
      <c r="A536" s="29" t="s">
        <v>175</v>
      </c>
      <c r="C536" s="29" t="s">
        <v>175</v>
      </c>
    </row>
    <row r="537">
      <c r="A537" s="29" t="s">
        <v>175</v>
      </c>
      <c r="C537" s="29" t="s">
        <v>175</v>
      </c>
    </row>
    <row r="538">
      <c r="A538" s="29" t="s">
        <v>175</v>
      </c>
      <c r="C538" s="29" t="s">
        <v>175</v>
      </c>
    </row>
    <row r="539">
      <c r="A539" s="29" t="s">
        <v>175</v>
      </c>
      <c r="C539" s="29" t="s">
        <v>175</v>
      </c>
    </row>
    <row r="540">
      <c r="A540" s="29" t="s">
        <v>175</v>
      </c>
      <c r="C540" s="29" t="s">
        <v>175</v>
      </c>
    </row>
    <row r="541">
      <c r="A541" s="29" t="s">
        <v>175</v>
      </c>
      <c r="C541" s="29" t="s">
        <v>175</v>
      </c>
    </row>
    <row r="542">
      <c r="A542" s="29" t="s">
        <v>175</v>
      </c>
      <c r="C542" s="29" t="s">
        <v>175</v>
      </c>
    </row>
    <row r="543">
      <c r="A543" s="29" t="s">
        <v>175</v>
      </c>
      <c r="C543" s="29" t="s">
        <v>175</v>
      </c>
    </row>
    <row r="544">
      <c r="A544" s="29" t="s">
        <v>175</v>
      </c>
      <c r="C544" s="29" t="s">
        <v>175</v>
      </c>
    </row>
    <row r="545">
      <c r="A545" s="29" t="s">
        <v>175</v>
      </c>
      <c r="C545" s="29" t="s">
        <v>175</v>
      </c>
    </row>
    <row r="546">
      <c r="A546" s="29" t="s">
        <v>175</v>
      </c>
      <c r="C546" s="29" t="s">
        <v>175</v>
      </c>
    </row>
    <row r="547">
      <c r="A547" s="29" t="s">
        <v>175</v>
      </c>
      <c r="C547" s="29" t="s">
        <v>175</v>
      </c>
    </row>
    <row r="548">
      <c r="A548" s="29" t="s">
        <v>175</v>
      </c>
      <c r="C548" s="29" t="s">
        <v>175</v>
      </c>
    </row>
    <row r="549">
      <c r="A549" s="29" t="s">
        <v>175</v>
      </c>
      <c r="C549" s="29" t="s">
        <v>175</v>
      </c>
    </row>
    <row r="550">
      <c r="A550" s="29" t="s">
        <v>175</v>
      </c>
      <c r="C550" s="29" t="s">
        <v>175</v>
      </c>
    </row>
    <row r="551">
      <c r="A551" s="29" t="s">
        <v>175</v>
      </c>
      <c r="C551" s="29" t="s">
        <v>175</v>
      </c>
    </row>
    <row r="552">
      <c r="A552" s="29" t="s">
        <v>175</v>
      </c>
      <c r="C552" s="29" t="s">
        <v>175</v>
      </c>
    </row>
    <row r="553">
      <c r="A553" s="29" t="s">
        <v>175</v>
      </c>
      <c r="C553" s="29" t="s">
        <v>175</v>
      </c>
    </row>
    <row r="554">
      <c r="A554" s="29" t="s">
        <v>175</v>
      </c>
      <c r="C554" s="29" t="s">
        <v>175</v>
      </c>
    </row>
    <row r="555">
      <c r="A555" s="29" t="s">
        <v>175</v>
      </c>
      <c r="C555" s="29" t="s">
        <v>175</v>
      </c>
    </row>
    <row r="556">
      <c r="A556" s="29" t="s">
        <v>175</v>
      </c>
      <c r="C556" s="29" t="s">
        <v>175</v>
      </c>
    </row>
    <row r="557">
      <c r="A557" s="29" t="s">
        <v>175</v>
      </c>
      <c r="C557" s="29" t="s">
        <v>175</v>
      </c>
    </row>
    <row r="558">
      <c r="A558" s="29" t="s">
        <v>175</v>
      </c>
      <c r="C558" s="29" t="s">
        <v>175</v>
      </c>
    </row>
    <row r="559">
      <c r="A559" s="29" t="s">
        <v>175</v>
      </c>
      <c r="C559" s="29" t="s">
        <v>175</v>
      </c>
    </row>
    <row r="560">
      <c r="A560" s="29" t="s">
        <v>175</v>
      </c>
      <c r="C560" s="29" t="s">
        <v>175</v>
      </c>
    </row>
    <row r="561">
      <c r="A561" s="29" t="s">
        <v>175</v>
      </c>
      <c r="C561" s="29" t="s">
        <v>175</v>
      </c>
    </row>
    <row r="562">
      <c r="A562" s="29" t="s">
        <v>175</v>
      </c>
      <c r="C562" s="29" t="s">
        <v>175</v>
      </c>
    </row>
    <row r="563">
      <c r="A563" s="29" t="s">
        <v>175</v>
      </c>
      <c r="C563" s="29" t="s">
        <v>175</v>
      </c>
    </row>
    <row r="564">
      <c r="A564" s="29" t="s">
        <v>175</v>
      </c>
      <c r="C564" s="29" t="s">
        <v>175</v>
      </c>
    </row>
    <row r="565">
      <c r="A565" s="29" t="s">
        <v>175</v>
      </c>
      <c r="C565" s="29" t="s">
        <v>175</v>
      </c>
    </row>
    <row r="566">
      <c r="A566" s="29" t="s">
        <v>175</v>
      </c>
      <c r="C566" s="29" t="s">
        <v>175</v>
      </c>
    </row>
    <row r="567">
      <c r="A567" s="29" t="s">
        <v>175</v>
      </c>
      <c r="C567" s="29" t="s">
        <v>175</v>
      </c>
    </row>
    <row r="568">
      <c r="A568" s="29" t="s">
        <v>175</v>
      </c>
      <c r="C568" s="29" t="s">
        <v>175</v>
      </c>
    </row>
    <row r="569">
      <c r="A569" s="29" t="s">
        <v>175</v>
      </c>
      <c r="C569" s="29" t="s">
        <v>175</v>
      </c>
    </row>
    <row r="570">
      <c r="A570" s="29" t="s">
        <v>175</v>
      </c>
      <c r="C570" s="29" t="s">
        <v>175</v>
      </c>
    </row>
    <row r="571">
      <c r="A571" s="29" t="s">
        <v>175</v>
      </c>
      <c r="C571" s="29" t="s">
        <v>175</v>
      </c>
    </row>
    <row r="572">
      <c r="A572" s="29" t="s">
        <v>175</v>
      </c>
      <c r="C572" s="29" t="s">
        <v>175</v>
      </c>
    </row>
    <row r="573">
      <c r="A573" s="29" t="s">
        <v>175</v>
      </c>
      <c r="C573" s="29" t="s">
        <v>175</v>
      </c>
    </row>
    <row r="574">
      <c r="A574" s="29" t="s">
        <v>175</v>
      </c>
      <c r="C574" s="29" t="s">
        <v>175</v>
      </c>
    </row>
    <row r="575">
      <c r="A575" s="29" t="s">
        <v>175</v>
      </c>
      <c r="C575" s="29" t="s">
        <v>175</v>
      </c>
    </row>
    <row r="576">
      <c r="A576" s="29" t="s">
        <v>175</v>
      </c>
      <c r="C576" s="29" t="s">
        <v>175</v>
      </c>
    </row>
    <row r="577">
      <c r="A577" s="29" t="s">
        <v>175</v>
      </c>
      <c r="C577" s="29" t="s">
        <v>175</v>
      </c>
    </row>
    <row r="578">
      <c r="A578" s="29" t="s">
        <v>175</v>
      </c>
      <c r="C578" s="29" t="s">
        <v>175</v>
      </c>
    </row>
    <row r="579">
      <c r="A579" s="29" t="s">
        <v>175</v>
      </c>
      <c r="C579" s="29" t="s">
        <v>175</v>
      </c>
    </row>
    <row r="580">
      <c r="A580" s="29" t="s">
        <v>175</v>
      </c>
      <c r="C580" s="29" t="s">
        <v>175</v>
      </c>
    </row>
    <row r="581">
      <c r="A581" s="29" t="s">
        <v>175</v>
      </c>
      <c r="C581" s="29" t="s">
        <v>175</v>
      </c>
    </row>
    <row r="582">
      <c r="A582" s="29" t="s">
        <v>175</v>
      </c>
      <c r="C582" s="29" t="s">
        <v>175</v>
      </c>
    </row>
    <row r="583">
      <c r="A583" s="29" t="s">
        <v>175</v>
      </c>
      <c r="C583" s="29" t="s">
        <v>175</v>
      </c>
    </row>
    <row r="584">
      <c r="A584" s="29" t="s">
        <v>175</v>
      </c>
      <c r="C584" s="29" t="s">
        <v>175</v>
      </c>
    </row>
    <row r="585">
      <c r="A585" s="29" t="s">
        <v>175</v>
      </c>
      <c r="C585" s="29" t="s">
        <v>175</v>
      </c>
    </row>
    <row r="586">
      <c r="A586" s="29" t="s">
        <v>175</v>
      </c>
      <c r="C586" s="29" t="s">
        <v>175</v>
      </c>
    </row>
    <row r="587">
      <c r="A587" s="29" t="s">
        <v>175</v>
      </c>
      <c r="C587" s="29" t="s">
        <v>175</v>
      </c>
    </row>
    <row r="588">
      <c r="A588" s="29" t="s">
        <v>175</v>
      </c>
      <c r="C588" s="29" t="s">
        <v>175</v>
      </c>
    </row>
    <row r="589">
      <c r="A589" s="29" t="s">
        <v>175</v>
      </c>
      <c r="C589" s="29" t="s">
        <v>175</v>
      </c>
    </row>
    <row r="590">
      <c r="A590" s="29" t="s">
        <v>175</v>
      </c>
      <c r="C590" s="29" t="s">
        <v>175</v>
      </c>
    </row>
    <row r="591">
      <c r="A591" s="29" t="s">
        <v>175</v>
      </c>
      <c r="C591" s="29" t="s">
        <v>175</v>
      </c>
    </row>
    <row r="592">
      <c r="A592" s="29" t="s">
        <v>175</v>
      </c>
      <c r="C592" s="29" t="s">
        <v>175</v>
      </c>
    </row>
    <row r="593">
      <c r="A593" s="29" t="s">
        <v>175</v>
      </c>
      <c r="C593" s="29" t="s">
        <v>175</v>
      </c>
    </row>
    <row r="594">
      <c r="A594" s="29" t="s">
        <v>175</v>
      </c>
      <c r="C594" s="29" t="s">
        <v>175</v>
      </c>
    </row>
    <row r="595">
      <c r="A595" s="29" t="s">
        <v>175</v>
      </c>
      <c r="C595" s="29" t="s">
        <v>175</v>
      </c>
    </row>
    <row r="596">
      <c r="A596" s="29" t="s">
        <v>175</v>
      </c>
      <c r="C596" s="29" t="s">
        <v>175</v>
      </c>
    </row>
    <row r="597">
      <c r="A597" s="29" t="s">
        <v>175</v>
      </c>
      <c r="C597" s="29" t="s">
        <v>175</v>
      </c>
    </row>
    <row r="598">
      <c r="A598" s="29" t="s">
        <v>175</v>
      </c>
      <c r="C598" s="29" t="s">
        <v>175</v>
      </c>
    </row>
    <row r="599">
      <c r="A599" s="29" t="s">
        <v>175</v>
      </c>
      <c r="C599" s="29" t="s">
        <v>175</v>
      </c>
    </row>
    <row r="600">
      <c r="A600" s="29" t="s">
        <v>175</v>
      </c>
      <c r="C600" s="29" t="s">
        <v>175</v>
      </c>
    </row>
    <row r="601">
      <c r="A601" s="29" t="s">
        <v>175</v>
      </c>
      <c r="C601" s="29" t="s">
        <v>175</v>
      </c>
    </row>
    <row r="602">
      <c r="A602" s="29" t="s">
        <v>175</v>
      </c>
      <c r="C602" s="29" t="s">
        <v>175</v>
      </c>
    </row>
    <row r="603">
      <c r="A603" s="29" t="s">
        <v>175</v>
      </c>
      <c r="C603" s="29" t="s">
        <v>175</v>
      </c>
    </row>
    <row r="604">
      <c r="A604" s="29" t="s">
        <v>175</v>
      </c>
      <c r="C604" s="29" t="s">
        <v>175</v>
      </c>
    </row>
    <row r="605">
      <c r="A605" s="29" t="s">
        <v>175</v>
      </c>
      <c r="C605" s="29" t="s">
        <v>175</v>
      </c>
    </row>
    <row r="606">
      <c r="A606" s="29" t="s">
        <v>175</v>
      </c>
      <c r="C606" s="29" t="s">
        <v>175</v>
      </c>
    </row>
    <row r="607">
      <c r="A607" s="29" t="s">
        <v>175</v>
      </c>
      <c r="C607" s="29" t="s">
        <v>175</v>
      </c>
    </row>
    <row r="608">
      <c r="A608" s="29" t="s">
        <v>175</v>
      </c>
      <c r="C608" s="29" t="s">
        <v>175</v>
      </c>
    </row>
    <row r="609">
      <c r="A609" s="29" t="s">
        <v>175</v>
      </c>
      <c r="C609" s="29" t="s">
        <v>175</v>
      </c>
    </row>
    <row r="610">
      <c r="A610" s="29" t="s">
        <v>175</v>
      </c>
      <c r="C610" s="29" t="s">
        <v>175</v>
      </c>
    </row>
    <row r="611">
      <c r="A611" s="29" t="s">
        <v>175</v>
      </c>
      <c r="C611" s="29" t="s">
        <v>175</v>
      </c>
    </row>
    <row r="612">
      <c r="A612" s="29" t="s">
        <v>175</v>
      </c>
      <c r="C612" s="29" t="s">
        <v>175</v>
      </c>
    </row>
    <row r="613">
      <c r="A613" s="29" t="s">
        <v>175</v>
      </c>
      <c r="C613" s="29" t="s">
        <v>175</v>
      </c>
    </row>
    <row r="614">
      <c r="A614" s="29" t="s">
        <v>175</v>
      </c>
      <c r="C614" s="29" t="s">
        <v>175</v>
      </c>
    </row>
    <row r="615">
      <c r="A615" s="29" t="s">
        <v>175</v>
      </c>
      <c r="C615" s="29" t="s">
        <v>175</v>
      </c>
    </row>
    <row r="616">
      <c r="A616" s="29" t="s">
        <v>175</v>
      </c>
      <c r="C616" s="29" t="s">
        <v>175</v>
      </c>
    </row>
    <row r="617">
      <c r="A617" s="29" t="s">
        <v>175</v>
      </c>
      <c r="C617" s="29" t="s">
        <v>175</v>
      </c>
    </row>
    <row r="618">
      <c r="A618" s="29" t="s">
        <v>175</v>
      </c>
      <c r="C618" s="29" t="s">
        <v>175</v>
      </c>
    </row>
    <row r="619">
      <c r="A619" s="29" t="s">
        <v>175</v>
      </c>
      <c r="C619" s="29" t="s">
        <v>175</v>
      </c>
    </row>
    <row r="620">
      <c r="A620" s="29" t="s">
        <v>175</v>
      </c>
      <c r="C620" s="29" t="s">
        <v>175</v>
      </c>
    </row>
    <row r="621">
      <c r="A621" s="29" t="s">
        <v>175</v>
      </c>
      <c r="C621" s="29" t="s">
        <v>175</v>
      </c>
    </row>
    <row r="622">
      <c r="A622" s="29" t="s">
        <v>175</v>
      </c>
      <c r="C622" s="29" t="s">
        <v>175</v>
      </c>
    </row>
    <row r="623">
      <c r="A623" s="29" t="s">
        <v>175</v>
      </c>
      <c r="C623" s="29" t="s">
        <v>175</v>
      </c>
    </row>
    <row r="624">
      <c r="A624" s="29" t="s">
        <v>175</v>
      </c>
      <c r="C624" s="29" t="s">
        <v>175</v>
      </c>
    </row>
    <row r="625">
      <c r="A625" s="29" t="s">
        <v>175</v>
      </c>
      <c r="C625" s="29" t="s">
        <v>175</v>
      </c>
    </row>
    <row r="626">
      <c r="A626" s="29" t="s">
        <v>175</v>
      </c>
      <c r="C626" s="29" t="s">
        <v>175</v>
      </c>
    </row>
    <row r="627">
      <c r="A627" s="29" t="s">
        <v>175</v>
      </c>
      <c r="C627" s="29" t="s">
        <v>175</v>
      </c>
    </row>
    <row r="628">
      <c r="A628" s="29" t="s">
        <v>175</v>
      </c>
      <c r="C628" s="29" t="s">
        <v>175</v>
      </c>
    </row>
    <row r="629">
      <c r="A629" s="29" t="s">
        <v>175</v>
      </c>
      <c r="C629" s="29" t="s">
        <v>175</v>
      </c>
    </row>
    <row r="630">
      <c r="A630" s="29" t="s">
        <v>175</v>
      </c>
      <c r="C630" s="29" t="s">
        <v>175</v>
      </c>
    </row>
    <row r="631">
      <c r="A631" s="29" t="s">
        <v>175</v>
      </c>
      <c r="C631" s="29" t="s">
        <v>175</v>
      </c>
    </row>
    <row r="632">
      <c r="A632" s="29" t="s">
        <v>175</v>
      </c>
      <c r="C632" s="29" t="s">
        <v>175</v>
      </c>
    </row>
    <row r="633">
      <c r="A633" s="29" t="s">
        <v>175</v>
      </c>
      <c r="C633" s="29" t="s">
        <v>175</v>
      </c>
    </row>
    <row r="634">
      <c r="A634" s="29" t="s">
        <v>175</v>
      </c>
      <c r="C634" s="29" t="s">
        <v>175</v>
      </c>
    </row>
    <row r="635">
      <c r="A635" s="29" t="s">
        <v>175</v>
      </c>
      <c r="C635" s="29" t="s">
        <v>175</v>
      </c>
    </row>
    <row r="636">
      <c r="A636" s="29" t="s">
        <v>175</v>
      </c>
      <c r="C636" s="29" t="s">
        <v>175</v>
      </c>
    </row>
    <row r="637">
      <c r="A637" s="29" t="s">
        <v>175</v>
      </c>
      <c r="C637" s="29" t="s">
        <v>175</v>
      </c>
    </row>
    <row r="638">
      <c r="A638" s="29" t="s">
        <v>175</v>
      </c>
      <c r="C638" s="29" t="s">
        <v>175</v>
      </c>
    </row>
    <row r="639">
      <c r="A639" s="29" t="s">
        <v>175</v>
      </c>
      <c r="C639" s="29" t="s">
        <v>175</v>
      </c>
    </row>
    <row r="640">
      <c r="A640" s="29" t="s">
        <v>175</v>
      </c>
      <c r="C640" s="29" t="s">
        <v>175</v>
      </c>
    </row>
    <row r="641">
      <c r="A641" s="29" t="s">
        <v>175</v>
      </c>
      <c r="C641" s="29" t="s">
        <v>175</v>
      </c>
    </row>
    <row r="642">
      <c r="A642" s="29" t="s">
        <v>175</v>
      </c>
      <c r="C642" s="29" t="s">
        <v>175</v>
      </c>
    </row>
    <row r="643">
      <c r="A643" s="29" t="s">
        <v>175</v>
      </c>
      <c r="C643" s="29" t="s">
        <v>175</v>
      </c>
    </row>
    <row r="644">
      <c r="A644" s="29" t="s">
        <v>175</v>
      </c>
      <c r="C644" s="29" t="s">
        <v>175</v>
      </c>
    </row>
    <row r="645">
      <c r="A645" s="29" t="s">
        <v>175</v>
      </c>
      <c r="C645" s="29" t="s">
        <v>175</v>
      </c>
    </row>
    <row r="646">
      <c r="A646" s="29" t="s">
        <v>175</v>
      </c>
      <c r="C646" s="29" t="s">
        <v>175</v>
      </c>
    </row>
    <row r="647">
      <c r="A647" s="29" t="s">
        <v>175</v>
      </c>
      <c r="C647" s="29" t="s">
        <v>175</v>
      </c>
    </row>
    <row r="648">
      <c r="A648" s="29" t="s">
        <v>175</v>
      </c>
      <c r="C648" s="29" t="s">
        <v>175</v>
      </c>
    </row>
    <row r="649">
      <c r="A649" s="29" t="s">
        <v>175</v>
      </c>
      <c r="C649" s="29" t="s">
        <v>175</v>
      </c>
    </row>
    <row r="650">
      <c r="A650" s="29" t="s">
        <v>175</v>
      </c>
      <c r="C650" s="29" t="s">
        <v>175</v>
      </c>
    </row>
    <row r="651">
      <c r="A651" s="29" t="s">
        <v>175</v>
      </c>
      <c r="C651" s="29" t="s">
        <v>175</v>
      </c>
    </row>
    <row r="652">
      <c r="A652" s="29" t="s">
        <v>175</v>
      </c>
      <c r="C652" s="29" t="s">
        <v>175</v>
      </c>
    </row>
    <row r="653">
      <c r="A653" s="29" t="s">
        <v>175</v>
      </c>
      <c r="C653" s="29" t="s">
        <v>175</v>
      </c>
    </row>
    <row r="654">
      <c r="A654" s="29" t="s">
        <v>175</v>
      </c>
      <c r="C654" s="29" t="s">
        <v>175</v>
      </c>
    </row>
    <row r="655">
      <c r="A655" s="29" t="s">
        <v>175</v>
      </c>
      <c r="C655" s="29" t="s">
        <v>175</v>
      </c>
    </row>
    <row r="656">
      <c r="A656" s="29" t="s">
        <v>175</v>
      </c>
      <c r="C656" s="29" t="s">
        <v>175</v>
      </c>
    </row>
    <row r="657">
      <c r="A657" s="29" t="s">
        <v>175</v>
      </c>
      <c r="C657" s="29" t="s">
        <v>175</v>
      </c>
    </row>
    <row r="658">
      <c r="A658" s="29" t="s">
        <v>175</v>
      </c>
      <c r="C658" s="29" t="s">
        <v>175</v>
      </c>
    </row>
    <row r="659">
      <c r="A659" s="29" t="s">
        <v>175</v>
      </c>
      <c r="C659" s="29" t="s">
        <v>175</v>
      </c>
    </row>
    <row r="660">
      <c r="A660" s="29" t="s">
        <v>175</v>
      </c>
      <c r="C660" s="29" t="s">
        <v>175</v>
      </c>
    </row>
    <row r="661">
      <c r="A661" s="29" t="s">
        <v>175</v>
      </c>
      <c r="C661" s="29" t="s">
        <v>175</v>
      </c>
    </row>
    <row r="662">
      <c r="A662" s="29" t="s">
        <v>175</v>
      </c>
      <c r="C662" s="29" t="s">
        <v>175</v>
      </c>
    </row>
    <row r="663">
      <c r="A663" s="29" t="s">
        <v>175</v>
      </c>
      <c r="C663" s="29" t="s">
        <v>175</v>
      </c>
    </row>
    <row r="664">
      <c r="A664" s="29" t="s">
        <v>175</v>
      </c>
      <c r="C664" s="29" t="s">
        <v>175</v>
      </c>
    </row>
    <row r="665">
      <c r="A665" s="29" t="s">
        <v>175</v>
      </c>
      <c r="C665" s="29" t="s">
        <v>175</v>
      </c>
    </row>
    <row r="666">
      <c r="A666" s="29" t="s">
        <v>175</v>
      </c>
      <c r="C666" s="29" t="s">
        <v>175</v>
      </c>
    </row>
    <row r="667">
      <c r="A667" s="29" t="s">
        <v>175</v>
      </c>
      <c r="C667" s="29" t="s">
        <v>175</v>
      </c>
    </row>
    <row r="668">
      <c r="A668" s="29" t="s">
        <v>175</v>
      </c>
      <c r="C668" s="29" t="s">
        <v>175</v>
      </c>
    </row>
    <row r="669">
      <c r="A669" s="29" t="s">
        <v>175</v>
      </c>
      <c r="C669" s="29" t="s">
        <v>175</v>
      </c>
    </row>
    <row r="670">
      <c r="A670" s="29" t="s">
        <v>175</v>
      </c>
      <c r="C670" s="29" t="s">
        <v>175</v>
      </c>
    </row>
    <row r="671">
      <c r="A671" s="29" t="s">
        <v>175</v>
      </c>
      <c r="C671" s="29" t="s">
        <v>175</v>
      </c>
    </row>
    <row r="672">
      <c r="A672" s="29" t="s">
        <v>175</v>
      </c>
      <c r="C672" s="29" t="s">
        <v>175</v>
      </c>
    </row>
    <row r="673">
      <c r="A673" s="29" t="s">
        <v>175</v>
      </c>
      <c r="C673" s="29" t="s">
        <v>175</v>
      </c>
    </row>
    <row r="674">
      <c r="A674" s="29" t="s">
        <v>175</v>
      </c>
      <c r="C674" s="29" t="s">
        <v>175</v>
      </c>
    </row>
    <row r="675">
      <c r="A675" s="29" t="s">
        <v>175</v>
      </c>
      <c r="C675" s="29" t="s">
        <v>175</v>
      </c>
    </row>
    <row r="676">
      <c r="A676" s="29" t="s">
        <v>175</v>
      </c>
      <c r="C676" s="29" t="s">
        <v>175</v>
      </c>
    </row>
    <row r="677">
      <c r="A677" s="29" t="s">
        <v>175</v>
      </c>
      <c r="C677" s="29" t="s">
        <v>175</v>
      </c>
    </row>
    <row r="678">
      <c r="A678" s="29" t="s">
        <v>175</v>
      </c>
      <c r="C678" s="29" t="s">
        <v>175</v>
      </c>
    </row>
    <row r="679">
      <c r="A679" s="29" t="s">
        <v>175</v>
      </c>
      <c r="C679" s="29" t="s">
        <v>175</v>
      </c>
    </row>
    <row r="680">
      <c r="A680" s="29" t="s">
        <v>175</v>
      </c>
      <c r="C680" s="29" t="s">
        <v>175</v>
      </c>
    </row>
    <row r="681">
      <c r="A681" s="29" t="s">
        <v>175</v>
      </c>
      <c r="C681" s="29" t="s">
        <v>175</v>
      </c>
    </row>
    <row r="682">
      <c r="A682" s="29" t="s">
        <v>175</v>
      </c>
      <c r="C682" s="29" t="s">
        <v>175</v>
      </c>
    </row>
    <row r="683">
      <c r="A683" s="29" t="s">
        <v>175</v>
      </c>
      <c r="C683" s="29" t="s">
        <v>175</v>
      </c>
    </row>
    <row r="684">
      <c r="A684" s="29" t="s">
        <v>175</v>
      </c>
      <c r="C684" s="29" t="s">
        <v>175</v>
      </c>
    </row>
    <row r="685">
      <c r="A685" s="29" t="s">
        <v>175</v>
      </c>
      <c r="C685" s="29" t="s">
        <v>175</v>
      </c>
    </row>
    <row r="686">
      <c r="A686" s="29" t="s">
        <v>175</v>
      </c>
      <c r="C686" s="29" t="s">
        <v>175</v>
      </c>
    </row>
    <row r="687">
      <c r="A687" s="29" t="s">
        <v>175</v>
      </c>
      <c r="C687" s="29" t="s">
        <v>175</v>
      </c>
    </row>
    <row r="688">
      <c r="A688" s="29" t="s">
        <v>175</v>
      </c>
      <c r="C688" s="29" t="s">
        <v>175</v>
      </c>
    </row>
    <row r="689">
      <c r="A689" s="29" t="s">
        <v>175</v>
      </c>
      <c r="C689" s="29" t="s">
        <v>175</v>
      </c>
    </row>
    <row r="690">
      <c r="A690" s="29" t="s">
        <v>175</v>
      </c>
      <c r="C690" s="29" t="s">
        <v>175</v>
      </c>
    </row>
    <row r="691">
      <c r="A691" s="29" t="s">
        <v>175</v>
      </c>
      <c r="C691" s="29" t="s">
        <v>175</v>
      </c>
    </row>
    <row r="692">
      <c r="A692" s="29" t="s">
        <v>175</v>
      </c>
      <c r="C692" s="29" t="s">
        <v>175</v>
      </c>
    </row>
    <row r="693">
      <c r="A693" s="29" t="s">
        <v>175</v>
      </c>
      <c r="C693" s="29" t="s">
        <v>175</v>
      </c>
    </row>
    <row r="694">
      <c r="A694" s="29" t="s">
        <v>175</v>
      </c>
      <c r="C694" s="29" t="s">
        <v>175</v>
      </c>
    </row>
    <row r="695">
      <c r="A695" s="29" t="s">
        <v>175</v>
      </c>
      <c r="C695" s="29" t="s">
        <v>175</v>
      </c>
    </row>
    <row r="696">
      <c r="A696" s="29" t="s">
        <v>175</v>
      </c>
      <c r="C696" s="29" t="s">
        <v>175</v>
      </c>
    </row>
    <row r="697">
      <c r="A697" s="29" t="s">
        <v>175</v>
      </c>
      <c r="C697" s="29" t="s">
        <v>175</v>
      </c>
    </row>
    <row r="698">
      <c r="A698" s="29" t="s">
        <v>175</v>
      </c>
      <c r="C698" s="29" t="s">
        <v>175</v>
      </c>
    </row>
    <row r="699">
      <c r="A699" s="29" t="s">
        <v>175</v>
      </c>
      <c r="C699" s="29" t="s">
        <v>175</v>
      </c>
    </row>
    <row r="700">
      <c r="A700" s="29" t="s">
        <v>175</v>
      </c>
      <c r="C700" s="29" t="s">
        <v>175</v>
      </c>
    </row>
    <row r="701">
      <c r="A701" s="29" t="s">
        <v>175</v>
      </c>
      <c r="C701" s="29" t="s">
        <v>175</v>
      </c>
    </row>
    <row r="702">
      <c r="A702" s="29" t="s">
        <v>175</v>
      </c>
      <c r="C702" s="29" t="s">
        <v>175</v>
      </c>
    </row>
    <row r="703">
      <c r="A703" s="29" t="s">
        <v>175</v>
      </c>
      <c r="C703" s="29" t="s">
        <v>175</v>
      </c>
    </row>
    <row r="704">
      <c r="A704" s="29" t="s">
        <v>175</v>
      </c>
      <c r="C704" s="29" t="s">
        <v>175</v>
      </c>
    </row>
    <row r="705">
      <c r="A705" s="29" t="s">
        <v>175</v>
      </c>
      <c r="C705" s="29" t="s">
        <v>175</v>
      </c>
    </row>
    <row r="706">
      <c r="A706" s="29" t="s">
        <v>175</v>
      </c>
      <c r="C706" s="29" t="s">
        <v>175</v>
      </c>
    </row>
    <row r="707">
      <c r="A707" s="29" t="s">
        <v>175</v>
      </c>
      <c r="C707" s="29" t="s">
        <v>175</v>
      </c>
    </row>
    <row r="708">
      <c r="A708" s="29" t="s">
        <v>175</v>
      </c>
      <c r="C708" s="29" t="s">
        <v>175</v>
      </c>
    </row>
    <row r="709">
      <c r="A709" s="29" t="s">
        <v>175</v>
      </c>
      <c r="C709" s="29" t="s">
        <v>175</v>
      </c>
    </row>
    <row r="710">
      <c r="A710" s="29" t="s">
        <v>175</v>
      </c>
      <c r="C710" s="29" t="s">
        <v>175</v>
      </c>
    </row>
    <row r="711">
      <c r="A711" s="29" t="s">
        <v>175</v>
      </c>
      <c r="C711" s="29" t="s">
        <v>175</v>
      </c>
    </row>
    <row r="712">
      <c r="A712" s="29" t="s">
        <v>175</v>
      </c>
      <c r="C712" s="29" t="s">
        <v>175</v>
      </c>
    </row>
    <row r="713">
      <c r="A713" s="29" t="s">
        <v>175</v>
      </c>
      <c r="C713" s="29" t="s">
        <v>175</v>
      </c>
    </row>
    <row r="714">
      <c r="A714" s="29" t="s">
        <v>175</v>
      </c>
      <c r="C714" s="29" t="s">
        <v>175</v>
      </c>
    </row>
    <row r="715">
      <c r="A715" s="29" t="s">
        <v>175</v>
      </c>
      <c r="C715" s="29" t="s">
        <v>175</v>
      </c>
    </row>
    <row r="716">
      <c r="A716" s="29" t="s">
        <v>175</v>
      </c>
      <c r="C716" s="29" t="s">
        <v>175</v>
      </c>
    </row>
    <row r="717">
      <c r="A717" s="29" t="s">
        <v>175</v>
      </c>
      <c r="C717" s="29" t="s">
        <v>175</v>
      </c>
    </row>
    <row r="718">
      <c r="A718" s="29" t="s">
        <v>175</v>
      </c>
      <c r="C718" s="29" t="s">
        <v>175</v>
      </c>
    </row>
    <row r="719">
      <c r="A719" s="29" t="s">
        <v>175</v>
      </c>
      <c r="C719" s="29" t="s">
        <v>175</v>
      </c>
    </row>
    <row r="720">
      <c r="A720" s="29" t="s">
        <v>175</v>
      </c>
      <c r="C720" s="29" t="s">
        <v>175</v>
      </c>
    </row>
    <row r="721">
      <c r="A721" s="29" t="s">
        <v>175</v>
      </c>
      <c r="C721" s="29" t="s">
        <v>175</v>
      </c>
    </row>
    <row r="722">
      <c r="A722" s="29" t="s">
        <v>175</v>
      </c>
      <c r="C722" s="29" t="s">
        <v>175</v>
      </c>
    </row>
    <row r="723">
      <c r="A723" s="29" t="s">
        <v>175</v>
      </c>
      <c r="C723" s="29" t="s">
        <v>175</v>
      </c>
    </row>
    <row r="724">
      <c r="A724" s="29" t="s">
        <v>175</v>
      </c>
      <c r="C724" s="29" t="s">
        <v>175</v>
      </c>
    </row>
    <row r="725">
      <c r="A725" s="29" t="s">
        <v>175</v>
      </c>
      <c r="C725" s="29" t="s">
        <v>175</v>
      </c>
    </row>
    <row r="726">
      <c r="A726" s="29" t="s">
        <v>175</v>
      </c>
      <c r="C726" s="29" t="s">
        <v>175</v>
      </c>
    </row>
    <row r="727">
      <c r="A727" s="29" t="s">
        <v>175</v>
      </c>
      <c r="C727" s="29" t="s">
        <v>175</v>
      </c>
    </row>
    <row r="728">
      <c r="A728" s="29" t="s">
        <v>175</v>
      </c>
      <c r="C728" s="29" t="s">
        <v>175</v>
      </c>
    </row>
    <row r="729">
      <c r="A729" s="29" t="s">
        <v>175</v>
      </c>
      <c r="C729" s="29" t="s">
        <v>175</v>
      </c>
    </row>
    <row r="730">
      <c r="A730" s="29" t="s">
        <v>175</v>
      </c>
      <c r="C730" s="29" t="s">
        <v>175</v>
      </c>
    </row>
    <row r="731">
      <c r="A731" s="29" t="s">
        <v>175</v>
      </c>
      <c r="C731" s="29" t="s">
        <v>175</v>
      </c>
    </row>
    <row r="732">
      <c r="A732" s="29" t="s">
        <v>175</v>
      </c>
      <c r="C732" s="29" t="s">
        <v>175</v>
      </c>
    </row>
    <row r="733">
      <c r="A733" s="29" t="s">
        <v>175</v>
      </c>
      <c r="C733" s="29" t="s">
        <v>175</v>
      </c>
    </row>
    <row r="734">
      <c r="A734" s="29" t="s">
        <v>175</v>
      </c>
      <c r="C734" s="29" t="s">
        <v>175</v>
      </c>
    </row>
    <row r="735">
      <c r="A735" s="29" t="s">
        <v>175</v>
      </c>
      <c r="C735" s="29" t="s">
        <v>175</v>
      </c>
    </row>
    <row r="736">
      <c r="A736" s="29" t="s">
        <v>175</v>
      </c>
      <c r="C736" s="29" t="s">
        <v>175</v>
      </c>
    </row>
    <row r="737">
      <c r="A737" s="29" t="s">
        <v>175</v>
      </c>
      <c r="C737" s="29" t="s">
        <v>175</v>
      </c>
    </row>
    <row r="738">
      <c r="A738" s="29" t="s">
        <v>175</v>
      </c>
      <c r="C738" s="29" t="s">
        <v>175</v>
      </c>
    </row>
    <row r="739">
      <c r="A739" s="29" t="s">
        <v>175</v>
      </c>
      <c r="C739" s="29" t="s">
        <v>175</v>
      </c>
    </row>
    <row r="740">
      <c r="A740" s="29" t="s">
        <v>175</v>
      </c>
      <c r="C740" s="29" t="s">
        <v>175</v>
      </c>
    </row>
    <row r="741">
      <c r="A741" s="29" t="s">
        <v>175</v>
      </c>
      <c r="C741" s="29" t="s">
        <v>175</v>
      </c>
    </row>
    <row r="742">
      <c r="A742" s="29" t="s">
        <v>175</v>
      </c>
      <c r="C742" s="29" t="s">
        <v>175</v>
      </c>
    </row>
    <row r="743">
      <c r="A743" s="29" t="s">
        <v>175</v>
      </c>
      <c r="C743" s="29" t="s">
        <v>175</v>
      </c>
    </row>
    <row r="744">
      <c r="A744" s="29" t="s">
        <v>175</v>
      </c>
      <c r="C744" s="29" t="s">
        <v>175</v>
      </c>
    </row>
    <row r="745">
      <c r="A745" s="29" t="s">
        <v>175</v>
      </c>
      <c r="C745" s="29" t="s">
        <v>175</v>
      </c>
    </row>
    <row r="746">
      <c r="A746" s="29" t="s">
        <v>175</v>
      </c>
      <c r="C746" s="29" t="s">
        <v>175</v>
      </c>
    </row>
    <row r="747">
      <c r="A747" s="29" t="s">
        <v>175</v>
      </c>
      <c r="C747" s="29" t="s">
        <v>175</v>
      </c>
    </row>
    <row r="748">
      <c r="A748" s="29" t="s">
        <v>175</v>
      </c>
      <c r="C748" s="29" t="s">
        <v>175</v>
      </c>
    </row>
    <row r="749">
      <c r="A749" s="29" t="s">
        <v>175</v>
      </c>
      <c r="C749" s="29" t="s">
        <v>175</v>
      </c>
    </row>
    <row r="750">
      <c r="A750" s="29" t="s">
        <v>175</v>
      </c>
      <c r="C750" s="29" t="s">
        <v>175</v>
      </c>
    </row>
    <row r="751">
      <c r="A751" s="29" t="s">
        <v>175</v>
      </c>
      <c r="C751" s="29" t="s">
        <v>175</v>
      </c>
    </row>
    <row r="752">
      <c r="A752" s="29" t="s">
        <v>175</v>
      </c>
      <c r="C752" s="29" t="s">
        <v>175</v>
      </c>
    </row>
    <row r="753">
      <c r="A753" s="29" t="s">
        <v>175</v>
      </c>
      <c r="C753" s="29" t="s">
        <v>175</v>
      </c>
    </row>
    <row r="754">
      <c r="A754" s="29" t="s">
        <v>175</v>
      </c>
      <c r="C754" s="29" t="s">
        <v>175</v>
      </c>
    </row>
    <row r="755">
      <c r="A755" s="29" t="s">
        <v>175</v>
      </c>
      <c r="C755" s="29" t="s">
        <v>175</v>
      </c>
    </row>
    <row r="756">
      <c r="A756" s="29" t="s">
        <v>175</v>
      </c>
      <c r="C756" s="29" t="s">
        <v>175</v>
      </c>
    </row>
    <row r="757">
      <c r="A757" s="29" t="s">
        <v>175</v>
      </c>
      <c r="C757" s="29" t="s">
        <v>175</v>
      </c>
    </row>
    <row r="758">
      <c r="A758" s="29" t="s">
        <v>175</v>
      </c>
      <c r="C758" s="29" t="s">
        <v>175</v>
      </c>
    </row>
    <row r="759">
      <c r="A759" s="29" t="s">
        <v>175</v>
      </c>
      <c r="C759" s="29" t="s">
        <v>175</v>
      </c>
    </row>
    <row r="760">
      <c r="A760" s="29" t="s">
        <v>175</v>
      </c>
      <c r="C760" s="29" t="s">
        <v>175</v>
      </c>
    </row>
    <row r="761">
      <c r="A761" s="29" t="s">
        <v>175</v>
      </c>
      <c r="C761" s="29" t="s">
        <v>175</v>
      </c>
    </row>
    <row r="762">
      <c r="A762" s="29" t="s">
        <v>175</v>
      </c>
      <c r="C762" s="29" t="s">
        <v>175</v>
      </c>
    </row>
    <row r="763">
      <c r="A763" s="29" t="s">
        <v>175</v>
      </c>
      <c r="C763" s="29" t="s">
        <v>175</v>
      </c>
    </row>
    <row r="764">
      <c r="A764" s="29" t="s">
        <v>175</v>
      </c>
      <c r="C764" s="29" t="s">
        <v>175</v>
      </c>
    </row>
    <row r="765">
      <c r="A765" s="29" t="s">
        <v>175</v>
      </c>
      <c r="C765" s="29" t="s">
        <v>175</v>
      </c>
    </row>
    <row r="766">
      <c r="A766" s="29" t="s">
        <v>175</v>
      </c>
      <c r="C766" s="29" t="s">
        <v>175</v>
      </c>
    </row>
    <row r="767">
      <c r="A767" s="29" t="s">
        <v>175</v>
      </c>
      <c r="C767" s="29" t="s">
        <v>175</v>
      </c>
    </row>
    <row r="768">
      <c r="A768" s="29" t="s">
        <v>175</v>
      </c>
      <c r="C768" s="29" t="s">
        <v>175</v>
      </c>
    </row>
    <row r="769">
      <c r="A769" s="29" t="s">
        <v>175</v>
      </c>
      <c r="C769" s="29" t="s">
        <v>175</v>
      </c>
    </row>
    <row r="770">
      <c r="A770" s="29" t="s">
        <v>175</v>
      </c>
      <c r="C770" s="29" t="s">
        <v>175</v>
      </c>
    </row>
    <row r="771">
      <c r="A771" s="29" t="s">
        <v>175</v>
      </c>
      <c r="C771" s="29" t="s">
        <v>175</v>
      </c>
    </row>
    <row r="772">
      <c r="A772" s="29" t="s">
        <v>175</v>
      </c>
      <c r="C772" s="29" t="s">
        <v>175</v>
      </c>
    </row>
    <row r="773">
      <c r="A773" s="29" t="s">
        <v>175</v>
      </c>
      <c r="C773" s="29" t="s">
        <v>175</v>
      </c>
    </row>
    <row r="774">
      <c r="A774" s="29" t="s">
        <v>175</v>
      </c>
      <c r="C774" s="29" t="s">
        <v>175</v>
      </c>
    </row>
    <row r="775">
      <c r="A775" s="29" t="s">
        <v>175</v>
      </c>
      <c r="C775" s="29" t="s">
        <v>175</v>
      </c>
    </row>
    <row r="776">
      <c r="A776" s="29" t="s">
        <v>175</v>
      </c>
      <c r="C776" s="29" t="s">
        <v>175</v>
      </c>
    </row>
    <row r="777">
      <c r="A777" s="29" t="s">
        <v>175</v>
      </c>
      <c r="C777" s="29" t="s">
        <v>175</v>
      </c>
    </row>
    <row r="778">
      <c r="A778" s="29" t="s">
        <v>175</v>
      </c>
      <c r="C778" s="29" t="s">
        <v>175</v>
      </c>
    </row>
    <row r="779">
      <c r="A779" s="29" t="s">
        <v>175</v>
      </c>
      <c r="C779" s="29" t="s">
        <v>175</v>
      </c>
    </row>
    <row r="780">
      <c r="A780" s="29" t="s">
        <v>175</v>
      </c>
      <c r="C780" s="29" t="s">
        <v>175</v>
      </c>
    </row>
    <row r="781">
      <c r="A781" s="29" t="s">
        <v>175</v>
      </c>
      <c r="C781" s="29" t="s">
        <v>175</v>
      </c>
    </row>
    <row r="782">
      <c r="A782" s="29" t="s">
        <v>175</v>
      </c>
      <c r="C782" s="29" t="s">
        <v>175</v>
      </c>
    </row>
    <row r="783">
      <c r="A783" s="29" t="s">
        <v>175</v>
      </c>
      <c r="C783" s="29" t="s">
        <v>175</v>
      </c>
    </row>
    <row r="784">
      <c r="A784" s="29" t="s">
        <v>175</v>
      </c>
      <c r="C784" s="29" t="s">
        <v>175</v>
      </c>
    </row>
    <row r="785">
      <c r="A785" s="29" t="s">
        <v>175</v>
      </c>
      <c r="C785" s="29" t="s">
        <v>175</v>
      </c>
    </row>
    <row r="786">
      <c r="A786" s="29" t="s">
        <v>175</v>
      </c>
      <c r="C786" s="29" t="s">
        <v>175</v>
      </c>
    </row>
    <row r="787">
      <c r="A787" s="29" t="s">
        <v>175</v>
      </c>
      <c r="C787" s="29" t="s">
        <v>175</v>
      </c>
    </row>
    <row r="788">
      <c r="A788" s="29" t="s">
        <v>175</v>
      </c>
      <c r="C788" s="29" t="s">
        <v>175</v>
      </c>
    </row>
    <row r="789">
      <c r="A789" s="29" t="s">
        <v>175</v>
      </c>
      <c r="C789" s="29" t="s">
        <v>175</v>
      </c>
    </row>
    <row r="790">
      <c r="A790" s="29" t="s">
        <v>175</v>
      </c>
      <c r="C790" s="29" t="s">
        <v>175</v>
      </c>
    </row>
    <row r="791">
      <c r="A791" s="29" t="s">
        <v>175</v>
      </c>
      <c r="C791" s="29" t="s">
        <v>175</v>
      </c>
    </row>
    <row r="792">
      <c r="A792" s="29" t="s">
        <v>175</v>
      </c>
      <c r="C792" s="29" t="s">
        <v>175</v>
      </c>
    </row>
    <row r="793">
      <c r="A793" s="29" t="s">
        <v>175</v>
      </c>
      <c r="C793" s="29" t="s">
        <v>175</v>
      </c>
    </row>
    <row r="794">
      <c r="A794" s="29" t="s">
        <v>175</v>
      </c>
      <c r="C794" s="29" t="s">
        <v>175</v>
      </c>
    </row>
    <row r="795">
      <c r="A795" s="29" t="s">
        <v>175</v>
      </c>
      <c r="C795" s="29" t="s">
        <v>175</v>
      </c>
    </row>
    <row r="796">
      <c r="A796" s="29" t="s">
        <v>175</v>
      </c>
      <c r="C796" s="29" t="s">
        <v>175</v>
      </c>
    </row>
    <row r="797">
      <c r="A797" s="29" t="s">
        <v>175</v>
      </c>
      <c r="C797" s="29" t="s">
        <v>175</v>
      </c>
    </row>
    <row r="798">
      <c r="A798" s="29" t="s">
        <v>175</v>
      </c>
      <c r="C798" s="29" t="s">
        <v>175</v>
      </c>
    </row>
    <row r="799">
      <c r="A799" s="29" t="s">
        <v>175</v>
      </c>
      <c r="C799" s="29" t="s">
        <v>175</v>
      </c>
    </row>
    <row r="800">
      <c r="A800" s="29" t="s">
        <v>175</v>
      </c>
      <c r="C800" s="29" t="s">
        <v>175</v>
      </c>
    </row>
    <row r="801">
      <c r="A801" s="29" t="s">
        <v>175</v>
      </c>
      <c r="C801" s="29" t="s">
        <v>175</v>
      </c>
    </row>
    <row r="802">
      <c r="A802" s="29" t="s">
        <v>175</v>
      </c>
      <c r="C802" s="29" t="s">
        <v>175</v>
      </c>
    </row>
    <row r="803">
      <c r="A803" s="29" t="s">
        <v>175</v>
      </c>
      <c r="C803" s="29" t="s">
        <v>175</v>
      </c>
    </row>
    <row r="804">
      <c r="A804" s="29" t="s">
        <v>175</v>
      </c>
      <c r="C804" s="29" t="s">
        <v>175</v>
      </c>
    </row>
    <row r="805">
      <c r="A805" s="29" t="s">
        <v>175</v>
      </c>
      <c r="C805" s="29" t="s">
        <v>175</v>
      </c>
    </row>
    <row r="806">
      <c r="A806" s="29" t="s">
        <v>175</v>
      </c>
      <c r="C806" s="29" t="s">
        <v>175</v>
      </c>
    </row>
    <row r="807">
      <c r="A807" s="29" t="s">
        <v>175</v>
      </c>
      <c r="C807" s="29" t="s">
        <v>175</v>
      </c>
    </row>
    <row r="808">
      <c r="A808" s="29" t="s">
        <v>175</v>
      </c>
      <c r="C808" s="29" t="s">
        <v>175</v>
      </c>
    </row>
    <row r="809">
      <c r="A809" s="29" t="s">
        <v>175</v>
      </c>
      <c r="C809" s="29" t="s">
        <v>175</v>
      </c>
    </row>
    <row r="810">
      <c r="A810" s="29" t="s">
        <v>175</v>
      </c>
      <c r="C810" s="29" t="s">
        <v>175</v>
      </c>
    </row>
    <row r="811">
      <c r="A811" s="29" t="s">
        <v>175</v>
      </c>
      <c r="C811" s="29" t="s">
        <v>175</v>
      </c>
    </row>
    <row r="812">
      <c r="A812" s="29" t="s">
        <v>175</v>
      </c>
      <c r="C812" s="29" t="s">
        <v>175</v>
      </c>
    </row>
    <row r="813">
      <c r="A813" s="29" t="s">
        <v>175</v>
      </c>
      <c r="C813" s="29" t="s">
        <v>175</v>
      </c>
    </row>
    <row r="814">
      <c r="A814" s="29" t="s">
        <v>175</v>
      </c>
      <c r="C814" s="29" t="s">
        <v>175</v>
      </c>
    </row>
    <row r="815">
      <c r="A815" s="29" t="s">
        <v>175</v>
      </c>
      <c r="C815" s="29" t="s">
        <v>175</v>
      </c>
    </row>
    <row r="816">
      <c r="A816" s="29" t="s">
        <v>175</v>
      </c>
      <c r="C816" s="29" t="s">
        <v>175</v>
      </c>
    </row>
    <row r="817">
      <c r="A817" s="29" t="s">
        <v>175</v>
      </c>
      <c r="C817" s="29" t="s">
        <v>175</v>
      </c>
    </row>
    <row r="818">
      <c r="A818" s="29" t="s">
        <v>175</v>
      </c>
      <c r="C818" s="29" t="s">
        <v>175</v>
      </c>
    </row>
    <row r="819">
      <c r="A819" s="29" t="s">
        <v>175</v>
      </c>
      <c r="C819" s="29" t="s">
        <v>175</v>
      </c>
    </row>
    <row r="820">
      <c r="A820" s="29" t="s">
        <v>175</v>
      </c>
      <c r="C820" s="29" t="s">
        <v>175</v>
      </c>
    </row>
    <row r="821">
      <c r="A821" s="29" t="s">
        <v>175</v>
      </c>
      <c r="C821" s="29" t="s">
        <v>175</v>
      </c>
    </row>
    <row r="822">
      <c r="A822" s="29" t="s">
        <v>175</v>
      </c>
      <c r="C822" s="29" t="s">
        <v>175</v>
      </c>
    </row>
    <row r="823">
      <c r="A823" s="29" t="s">
        <v>175</v>
      </c>
      <c r="C823" s="29" t="s">
        <v>175</v>
      </c>
    </row>
    <row r="824">
      <c r="A824" s="29" t="s">
        <v>175</v>
      </c>
      <c r="C824" s="29" t="s">
        <v>175</v>
      </c>
    </row>
    <row r="825">
      <c r="A825" s="29" t="s">
        <v>175</v>
      </c>
      <c r="C825" s="29" t="s">
        <v>175</v>
      </c>
    </row>
    <row r="826">
      <c r="A826" s="29" t="s">
        <v>175</v>
      </c>
      <c r="C826" s="29" t="s">
        <v>175</v>
      </c>
    </row>
    <row r="827">
      <c r="A827" s="29" t="s">
        <v>175</v>
      </c>
      <c r="C827" s="29" t="s">
        <v>175</v>
      </c>
    </row>
    <row r="828">
      <c r="A828" s="29" t="s">
        <v>175</v>
      </c>
      <c r="C828" s="29" t="s">
        <v>175</v>
      </c>
    </row>
    <row r="829">
      <c r="A829" s="29" t="s">
        <v>175</v>
      </c>
      <c r="C829" s="29" t="s">
        <v>175</v>
      </c>
    </row>
    <row r="830">
      <c r="A830" s="29" t="s">
        <v>175</v>
      </c>
      <c r="C830" s="29" t="s">
        <v>175</v>
      </c>
    </row>
    <row r="831">
      <c r="A831" s="29" t="s">
        <v>175</v>
      </c>
      <c r="C831" s="29" t="s">
        <v>175</v>
      </c>
    </row>
    <row r="832">
      <c r="A832" s="29" t="s">
        <v>175</v>
      </c>
      <c r="C832" s="29" t="s">
        <v>175</v>
      </c>
    </row>
    <row r="833">
      <c r="A833" s="29" t="s">
        <v>175</v>
      </c>
      <c r="C833" s="29" t="s">
        <v>175</v>
      </c>
    </row>
    <row r="834">
      <c r="A834" s="29" t="s">
        <v>175</v>
      </c>
      <c r="C834" s="29" t="s">
        <v>175</v>
      </c>
    </row>
    <row r="835">
      <c r="A835" s="29" t="s">
        <v>175</v>
      </c>
      <c r="C835" s="29" t="s">
        <v>175</v>
      </c>
    </row>
    <row r="836">
      <c r="A836" s="29" t="s">
        <v>175</v>
      </c>
      <c r="C836" s="29" t="s">
        <v>175</v>
      </c>
    </row>
    <row r="837">
      <c r="A837" s="29" t="s">
        <v>175</v>
      </c>
      <c r="C837" s="29" t="s">
        <v>175</v>
      </c>
    </row>
    <row r="838">
      <c r="A838" s="29" t="s">
        <v>175</v>
      </c>
      <c r="C838" s="29" t="s">
        <v>175</v>
      </c>
    </row>
    <row r="839">
      <c r="A839" s="29" t="s">
        <v>175</v>
      </c>
      <c r="C839" s="29" t="s">
        <v>175</v>
      </c>
    </row>
    <row r="840">
      <c r="A840" s="29" t="s">
        <v>175</v>
      </c>
      <c r="C840" s="29" t="s">
        <v>175</v>
      </c>
    </row>
    <row r="841">
      <c r="A841" s="29" t="s">
        <v>175</v>
      </c>
      <c r="C841" s="29" t="s">
        <v>175</v>
      </c>
    </row>
    <row r="842">
      <c r="A842" s="29" t="s">
        <v>175</v>
      </c>
      <c r="C842" s="29" t="s">
        <v>175</v>
      </c>
    </row>
    <row r="843">
      <c r="A843" s="29" t="s">
        <v>175</v>
      </c>
      <c r="C843" s="29" t="s">
        <v>175</v>
      </c>
    </row>
    <row r="844">
      <c r="A844" s="29" t="s">
        <v>175</v>
      </c>
      <c r="C844" s="29" t="s">
        <v>175</v>
      </c>
    </row>
    <row r="845">
      <c r="A845" s="29" t="s">
        <v>175</v>
      </c>
      <c r="C845" s="29" t="s">
        <v>175</v>
      </c>
    </row>
    <row r="846">
      <c r="A846" s="29" t="s">
        <v>175</v>
      </c>
      <c r="C846" s="29" t="s">
        <v>175</v>
      </c>
    </row>
    <row r="847">
      <c r="A847" s="29" t="s">
        <v>175</v>
      </c>
      <c r="C847" s="29" t="s">
        <v>175</v>
      </c>
    </row>
    <row r="848">
      <c r="A848" s="29" t="s">
        <v>175</v>
      </c>
      <c r="C848" s="29" t="s">
        <v>175</v>
      </c>
    </row>
    <row r="849">
      <c r="A849" s="29" t="s">
        <v>175</v>
      </c>
      <c r="C849" s="29" t="s">
        <v>175</v>
      </c>
    </row>
    <row r="850">
      <c r="A850" s="29" t="s">
        <v>175</v>
      </c>
      <c r="C850" s="29" t="s">
        <v>175</v>
      </c>
    </row>
    <row r="851">
      <c r="A851" s="29" t="s">
        <v>175</v>
      </c>
      <c r="C851" s="29" t="s">
        <v>175</v>
      </c>
    </row>
    <row r="852">
      <c r="A852" s="29" t="s">
        <v>175</v>
      </c>
      <c r="C852" s="29" t="s">
        <v>175</v>
      </c>
    </row>
    <row r="853">
      <c r="A853" s="29" t="s">
        <v>175</v>
      </c>
      <c r="C853" s="29" t="s">
        <v>175</v>
      </c>
    </row>
    <row r="854">
      <c r="A854" s="29" t="s">
        <v>175</v>
      </c>
      <c r="C854" s="29" t="s">
        <v>175</v>
      </c>
    </row>
    <row r="855">
      <c r="A855" s="29" t="s">
        <v>175</v>
      </c>
      <c r="C855" s="29" t="s">
        <v>175</v>
      </c>
    </row>
    <row r="856">
      <c r="A856" s="29" t="s">
        <v>175</v>
      </c>
      <c r="C856" s="29" t="s">
        <v>175</v>
      </c>
    </row>
    <row r="857">
      <c r="A857" s="29" t="s">
        <v>175</v>
      </c>
      <c r="C857" s="29" t="s">
        <v>175</v>
      </c>
    </row>
    <row r="858">
      <c r="A858" s="29" t="s">
        <v>175</v>
      </c>
      <c r="C858" s="29" t="s">
        <v>175</v>
      </c>
    </row>
    <row r="859">
      <c r="A859" s="29" t="s">
        <v>175</v>
      </c>
      <c r="C859" s="29" t="s">
        <v>175</v>
      </c>
    </row>
    <row r="860">
      <c r="A860" s="29" t="s">
        <v>175</v>
      </c>
      <c r="C860" s="29" t="s">
        <v>175</v>
      </c>
    </row>
    <row r="861">
      <c r="A861" s="29" t="s">
        <v>175</v>
      </c>
      <c r="C861" s="29" t="s">
        <v>175</v>
      </c>
    </row>
    <row r="862">
      <c r="A862" s="29" t="s">
        <v>175</v>
      </c>
      <c r="C862" s="29" t="s">
        <v>175</v>
      </c>
    </row>
    <row r="863">
      <c r="A863" s="29" t="s">
        <v>175</v>
      </c>
      <c r="C863" s="29" t="s">
        <v>175</v>
      </c>
    </row>
    <row r="864">
      <c r="A864" s="29" t="s">
        <v>175</v>
      </c>
      <c r="C864" s="29" t="s">
        <v>175</v>
      </c>
    </row>
    <row r="865">
      <c r="A865" s="29" t="s">
        <v>175</v>
      </c>
      <c r="C865" s="29" t="s">
        <v>175</v>
      </c>
    </row>
    <row r="866">
      <c r="A866" s="29" t="s">
        <v>175</v>
      </c>
      <c r="C866" s="29" t="s">
        <v>175</v>
      </c>
    </row>
    <row r="867">
      <c r="A867" s="29" t="s">
        <v>175</v>
      </c>
      <c r="C867" s="29" t="s">
        <v>175</v>
      </c>
    </row>
    <row r="868">
      <c r="A868" s="29" t="s">
        <v>175</v>
      </c>
      <c r="C868" s="29" t="s">
        <v>175</v>
      </c>
    </row>
    <row r="869">
      <c r="A869" s="29" t="s">
        <v>175</v>
      </c>
      <c r="C869" s="29" t="s">
        <v>175</v>
      </c>
    </row>
    <row r="870">
      <c r="A870" s="29" t="s">
        <v>175</v>
      </c>
      <c r="C870" s="29" t="s">
        <v>175</v>
      </c>
    </row>
    <row r="871">
      <c r="A871" s="29" t="s">
        <v>175</v>
      </c>
      <c r="C871" s="29" t="s">
        <v>175</v>
      </c>
    </row>
    <row r="872">
      <c r="A872" s="29" t="s">
        <v>175</v>
      </c>
      <c r="C872" s="29" t="s">
        <v>175</v>
      </c>
    </row>
    <row r="873">
      <c r="A873" s="29" t="s">
        <v>175</v>
      </c>
      <c r="C873" s="29" t="s">
        <v>175</v>
      </c>
    </row>
    <row r="874">
      <c r="A874" s="29" t="s">
        <v>175</v>
      </c>
      <c r="C874" s="29" t="s">
        <v>175</v>
      </c>
    </row>
    <row r="875">
      <c r="A875" s="29" t="s">
        <v>175</v>
      </c>
      <c r="C875" s="29" t="s">
        <v>175</v>
      </c>
    </row>
    <row r="876">
      <c r="A876" s="29" t="s">
        <v>175</v>
      </c>
      <c r="C876" s="29" t="s">
        <v>175</v>
      </c>
    </row>
    <row r="877">
      <c r="A877" s="29" t="s">
        <v>175</v>
      </c>
      <c r="C877" s="29" t="s">
        <v>175</v>
      </c>
    </row>
    <row r="878">
      <c r="A878" s="29" t="s">
        <v>175</v>
      </c>
      <c r="C878" s="29" t="s">
        <v>175</v>
      </c>
    </row>
    <row r="879">
      <c r="A879" s="29" t="s">
        <v>175</v>
      </c>
      <c r="C879" s="29" t="s">
        <v>175</v>
      </c>
    </row>
    <row r="880">
      <c r="A880" s="29" t="s">
        <v>175</v>
      </c>
      <c r="C880" s="29" t="s">
        <v>175</v>
      </c>
    </row>
    <row r="881">
      <c r="A881" s="29" t="s">
        <v>175</v>
      </c>
      <c r="C881" s="29" t="s">
        <v>175</v>
      </c>
    </row>
    <row r="882">
      <c r="A882" s="29" t="s">
        <v>175</v>
      </c>
      <c r="C882" s="29" t="s">
        <v>175</v>
      </c>
    </row>
    <row r="883">
      <c r="A883" s="29" t="s">
        <v>175</v>
      </c>
      <c r="C883" s="29" t="s">
        <v>175</v>
      </c>
    </row>
    <row r="884">
      <c r="A884" s="29" t="s">
        <v>175</v>
      </c>
      <c r="C884" s="29" t="s">
        <v>175</v>
      </c>
    </row>
    <row r="885">
      <c r="A885" s="29" t="s">
        <v>175</v>
      </c>
      <c r="C885" s="29" t="s">
        <v>175</v>
      </c>
    </row>
    <row r="886">
      <c r="A886" s="29" t="s">
        <v>175</v>
      </c>
      <c r="C886" s="29" t="s">
        <v>175</v>
      </c>
    </row>
    <row r="887">
      <c r="A887" s="29" t="s">
        <v>175</v>
      </c>
      <c r="C887" s="29" t="s">
        <v>175</v>
      </c>
    </row>
    <row r="888">
      <c r="A888" s="29" t="s">
        <v>175</v>
      </c>
      <c r="C888" s="29" t="s">
        <v>175</v>
      </c>
    </row>
    <row r="889">
      <c r="A889" s="29" t="s">
        <v>175</v>
      </c>
      <c r="C889" s="29" t="s">
        <v>175</v>
      </c>
    </row>
    <row r="890">
      <c r="A890" s="29" t="s">
        <v>175</v>
      </c>
      <c r="C890" s="29" t="s">
        <v>175</v>
      </c>
    </row>
    <row r="891">
      <c r="A891" s="29" t="s">
        <v>175</v>
      </c>
      <c r="C891" s="29" t="s">
        <v>175</v>
      </c>
    </row>
    <row r="892">
      <c r="A892" s="29" t="s">
        <v>175</v>
      </c>
      <c r="C892" s="29" t="s">
        <v>175</v>
      </c>
    </row>
    <row r="893">
      <c r="A893" s="29" t="s">
        <v>175</v>
      </c>
      <c r="C893" s="29" t="s">
        <v>175</v>
      </c>
    </row>
    <row r="894">
      <c r="A894" s="29" t="s">
        <v>175</v>
      </c>
      <c r="C894" s="29" t="s">
        <v>175</v>
      </c>
    </row>
    <row r="895">
      <c r="A895" s="29" t="s">
        <v>175</v>
      </c>
      <c r="C895" s="29" t="s">
        <v>175</v>
      </c>
    </row>
    <row r="896">
      <c r="A896" s="29" t="s">
        <v>175</v>
      </c>
      <c r="C896" s="29" t="s">
        <v>175</v>
      </c>
    </row>
    <row r="897">
      <c r="A897" s="29" t="s">
        <v>175</v>
      </c>
      <c r="C897" s="29" t="s">
        <v>175</v>
      </c>
    </row>
    <row r="898">
      <c r="A898" s="29" t="s">
        <v>175</v>
      </c>
      <c r="C898" s="29" t="s">
        <v>175</v>
      </c>
    </row>
    <row r="899">
      <c r="A899" s="29" t="s">
        <v>175</v>
      </c>
      <c r="C899" s="29" t="s">
        <v>175</v>
      </c>
    </row>
    <row r="900">
      <c r="A900" s="29" t="s">
        <v>175</v>
      </c>
      <c r="C900" s="29" t="s">
        <v>175</v>
      </c>
    </row>
    <row r="901">
      <c r="A901" s="29" t="s">
        <v>175</v>
      </c>
      <c r="C901" s="29" t="s">
        <v>175</v>
      </c>
    </row>
    <row r="902">
      <c r="A902" s="29" t="s">
        <v>175</v>
      </c>
      <c r="C902" s="29" t="s">
        <v>175</v>
      </c>
    </row>
    <row r="903">
      <c r="A903" s="29" t="s">
        <v>175</v>
      </c>
      <c r="C903" s="29" t="s">
        <v>175</v>
      </c>
    </row>
    <row r="904">
      <c r="A904" s="29" t="s">
        <v>175</v>
      </c>
      <c r="C904" s="29" t="s">
        <v>175</v>
      </c>
    </row>
    <row r="905">
      <c r="A905" s="29" t="s">
        <v>175</v>
      </c>
      <c r="C905" s="29" t="s">
        <v>175</v>
      </c>
    </row>
    <row r="906">
      <c r="A906" s="29" t="s">
        <v>175</v>
      </c>
      <c r="C906" s="29" t="s">
        <v>175</v>
      </c>
    </row>
    <row r="907">
      <c r="A907" s="29" t="s">
        <v>175</v>
      </c>
      <c r="C907" s="29" t="s">
        <v>175</v>
      </c>
    </row>
    <row r="908">
      <c r="A908" s="29" t="s">
        <v>175</v>
      </c>
      <c r="C908" s="29" t="s">
        <v>175</v>
      </c>
    </row>
    <row r="909">
      <c r="A909" s="29" t="s">
        <v>175</v>
      </c>
      <c r="C909" s="29" t="s">
        <v>175</v>
      </c>
    </row>
    <row r="910">
      <c r="A910" s="29" t="s">
        <v>175</v>
      </c>
      <c r="C910" s="29" t="s">
        <v>175</v>
      </c>
    </row>
    <row r="911">
      <c r="A911" s="29" t="s">
        <v>175</v>
      </c>
      <c r="C911" s="29" t="s">
        <v>175</v>
      </c>
    </row>
    <row r="912">
      <c r="A912" s="29" t="s">
        <v>175</v>
      </c>
      <c r="C912" s="29" t="s">
        <v>175</v>
      </c>
    </row>
    <row r="913">
      <c r="A913" s="29" t="s">
        <v>175</v>
      </c>
      <c r="C913" s="29" t="s">
        <v>175</v>
      </c>
    </row>
    <row r="914">
      <c r="A914" s="29" t="s">
        <v>175</v>
      </c>
      <c r="C914" s="29" t="s">
        <v>175</v>
      </c>
    </row>
    <row r="915">
      <c r="A915" s="29" t="s">
        <v>175</v>
      </c>
      <c r="C915" s="29" t="s">
        <v>175</v>
      </c>
    </row>
    <row r="916">
      <c r="A916" s="29" t="s">
        <v>175</v>
      </c>
      <c r="C916" s="29" t="s">
        <v>175</v>
      </c>
    </row>
    <row r="917">
      <c r="A917" s="29" t="s">
        <v>175</v>
      </c>
      <c r="C917" s="29" t="s">
        <v>175</v>
      </c>
    </row>
    <row r="918">
      <c r="A918" s="29" t="s">
        <v>175</v>
      </c>
      <c r="C918" s="29" t="s">
        <v>175</v>
      </c>
    </row>
    <row r="919">
      <c r="A919" s="29" t="s">
        <v>175</v>
      </c>
      <c r="C919" s="29" t="s">
        <v>175</v>
      </c>
    </row>
    <row r="920">
      <c r="A920" s="29" t="s">
        <v>175</v>
      </c>
      <c r="C920" s="29" t="s">
        <v>175</v>
      </c>
    </row>
    <row r="921">
      <c r="A921" s="29" t="s">
        <v>175</v>
      </c>
      <c r="C921" s="29" t="s">
        <v>175</v>
      </c>
    </row>
    <row r="922">
      <c r="A922" s="29" t="s">
        <v>175</v>
      </c>
      <c r="C922" s="29" t="s">
        <v>175</v>
      </c>
    </row>
    <row r="923">
      <c r="A923" s="29" t="s">
        <v>175</v>
      </c>
      <c r="C923" s="29" t="s">
        <v>175</v>
      </c>
    </row>
    <row r="924">
      <c r="A924" s="29" t="s">
        <v>175</v>
      </c>
      <c r="C924" s="29" t="s">
        <v>175</v>
      </c>
    </row>
    <row r="925">
      <c r="A925" s="29" t="s">
        <v>175</v>
      </c>
      <c r="C925" s="29" t="s">
        <v>175</v>
      </c>
    </row>
    <row r="926">
      <c r="A926" s="29" t="s">
        <v>175</v>
      </c>
      <c r="C926" s="29" t="s">
        <v>175</v>
      </c>
    </row>
    <row r="927">
      <c r="A927" s="29" t="s">
        <v>175</v>
      </c>
      <c r="C927" s="29" t="s">
        <v>175</v>
      </c>
    </row>
    <row r="928">
      <c r="A928" s="29" t="s">
        <v>175</v>
      </c>
      <c r="C928" s="29" t="s">
        <v>175</v>
      </c>
    </row>
    <row r="929">
      <c r="A929" s="29" t="s">
        <v>175</v>
      </c>
      <c r="C929" s="29" t="s">
        <v>175</v>
      </c>
    </row>
    <row r="930">
      <c r="A930" s="29" t="s">
        <v>175</v>
      </c>
      <c r="C930" s="29" t="s">
        <v>175</v>
      </c>
    </row>
    <row r="931">
      <c r="A931" s="29" t="s">
        <v>175</v>
      </c>
      <c r="C931" s="29" t="s">
        <v>175</v>
      </c>
    </row>
    <row r="932">
      <c r="A932" s="29" t="s">
        <v>175</v>
      </c>
      <c r="C932" s="29" t="s">
        <v>175</v>
      </c>
    </row>
    <row r="933">
      <c r="A933" s="29" t="s">
        <v>175</v>
      </c>
      <c r="C933" s="29" t="s">
        <v>175</v>
      </c>
    </row>
    <row r="934">
      <c r="A934" s="29" t="s">
        <v>175</v>
      </c>
      <c r="C934" s="29" t="s">
        <v>175</v>
      </c>
    </row>
    <row r="935">
      <c r="A935" s="29" t="s">
        <v>175</v>
      </c>
      <c r="C935" s="29" t="s">
        <v>175</v>
      </c>
    </row>
    <row r="936">
      <c r="A936" s="29" t="s">
        <v>175</v>
      </c>
      <c r="C936" s="29" t="s">
        <v>175</v>
      </c>
    </row>
    <row r="937">
      <c r="A937" s="29" t="s">
        <v>175</v>
      </c>
      <c r="C937" s="29" t="s">
        <v>175</v>
      </c>
    </row>
    <row r="938">
      <c r="A938" s="29" t="s">
        <v>175</v>
      </c>
      <c r="C938" s="29" t="s">
        <v>175</v>
      </c>
    </row>
    <row r="939">
      <c r="A939" s="29" t="s">
        <v>175</v>
      </c>
      <c r="C939" s="29" t="s">
        <v>175</v>
      </c>
    </row>
    <row r="940">
      <c r="A940" s="29" t="s">
        <v>175</v>
      </c>
      <c r="C940" s="29" t="s">
        <v>175</v>
      </c>
    </row>
    <row r="941">
      <c r="A941" s="29" t="s">
        <v>175</v>
      </c>
      <c r="C941" s="29" t="s">
        <v>175</v>
      </c>
    </row>
    <row r="942">
      <c r="A942" s="29" t="s">
        <v>175</v>
      </c>
      <c r="C942" s="29" t="s">
        <v>175</v>
      </c>
    </row>
    <row r="943">
      <c r="A943" s="29" t="s">
        <v>175</v>
      </c>
      <c r="C943" s="29" t="s">
        <v>175</v>
      </c>
    </row>
    <row r="944">
      <c r="A944" s="29" t="s">
        <v>175</v>
      </c>
      <c r="C944" s="29" t="s">
        <v>175</v>
      </c>
    </row>
    <row r="945">
      <c r="A945" s="29" t="s">
        <v>175</v>
      </c>
      <c r="C945" s="29" t="s">
        <v>175</v>
      </c>
    </row>
    <row r="946">
      <c r="A946" s="29" t="s">
        <v>175</v>
      </c>
      <c r="C946" s="29" t="s">
        <v>175</v>
      </c>
    </row>
    <row r="947">
      <c r="A947" s="29" t="s">
        <v>175</v>
      </c>
      <c r="C947" s="29" t="s">
        <v>175</v>
      </c>
    </row>
    <row r="948">
      <c r="A948" s="29" t="s">
        <v>175</v>
      </c>
      <c r="C948" s="29" t="s">
        <v>175</v>
      </c>
    </row>
    <row r="949">
      <c r="A949" s="29" t="s">
        <v>175</v>
      </c>
      <c r="C949" s="29" t="s">
        <v>175</v>
      </c>
    </row>
    <row r="950">
      <c r="A950" s="29" t="s">
        <v>175</v>
      </c>
      <c r="C950" s="29" t="s">
        <v>175</v>
      </c>
    </row>
    <row r="951">
      <c r="A951" s="29" t="s">
        <v>175</v>
      </c>
      <c r="C951" s="29" t="s">
        <v>175</v>
      </c>
    </row>
    <row r="952">
      <c r="A952" s="29" t="s">
        <v>175</v>
      </c>
      <c r="C952" s="29" t="s">
        <v>175</v>
      </c>
    </row>
    <row r="953">
      <c r="A953" s="29" t="s">
        <v>175</v>
      </c>
      <c r="C953" s="29" t="s">
        <v>175</v>
      </c>
    </row>
    <row r="954">
      <c r="A954" s="29" t="s">
        <v>175</v>
      </c>
      <c r="C954" s="29" t="s">
        <v>175</v>
      </c>
    </row>
    <row r="955">
      <c r="A955" s="29" t="s">
        <v>175</v>
      </c>
      <c r="C955" s="29" t="s">
        <v>175</v>
      </c>
    </row>
    <row r="956">
      <c r="A956" s="29" t="s">
        <v>175</v>
      </c>
      <c r="C956" s="29" t="s">
        <v>175</v>
      </c>
    </row>
    <row r="957">
      <c r="A957" s="29" t="s">
        <v>175</v>
      </c>
      <c r="C957" s="29" t="s">
        <v>175</v>
      </c>
    </row>
    <row r="958">
      <c r="A958" s="29" t="s">
        <v>175</v>
      </c>
      <c r="C958" s="29" t="s">
        <v>175</v>
      </c>
    </row>
    <row r="959">
      <c r="A959" s="29" t="s">
        <v>175</v>
      </c>
      <c r="C959" s="29" t="s">
        <v>175</v>
      </c>
    </row>
    <row r="960">
      <c r="A960" s="29" t="s">
        <v>175</v>
      </c>
      <c r="C960" s="29" t="s">
        <v>175</v>
      </c>
    </row>
    <row r="961">
      <c r="A961" s="29" t="s">
        <v>175</v>
      </c>
      <c r="C961" s="29" t="s">
        <v>175</v>
      </c>
    </row>
    <row r="962">
      <c r="A962" s="29" t="s">
        <v>175</v>
      </c>
      <c r="C962" s="29" t="s">
        <v>175</v>
      </c>
    </row>
    <row r="963">
      <c r="A963" s="29" t="s">
        <v>175</v>
      </c>
      <c r="C963" s="29" t="s">
        <v>175</v>
      </c>
    </row>
    <row r="964">
      <c r="A964" s="29" t="s">
        <v>175</v>
      </c>
      <c r="C964" s="29" t="s">
        <v>175</v>
      </c>
    </row>
    <row r="965">
      <c r="A965" s="29" t="s">
        <v>175</v>
      </c>
      <c r="C965" s="29" t="s">
        <v>175</v>
      </c>
    </row>
    <row r="966">
      <c r="A966" s="29" t="s">
        <v>175</v>
      </c>
      <c r="C966" s="29" t="s">
        <v>175</v>
      </c>
    </row>
    <row r="967">
      <c r="A967" s="29" t="s">
        <v>175</v>
      </c>
      <c r="C967" s="29" t="s">
        <v>175</v>
      </c>
    </row>
    <row r="968">
      <c r="A968" s="29" t="s">
        <v>175</v>
      </c>
      <c r="C968" s="29" t="s">
        <v>175</v>
      </c>
    </row>
    <row r="969">
      <c r="A969" s="29" t="s">
        <v>175</v>
      </c>
      <c r="C969" s="29" t="s">
        <v>175</v>
      </c>
    </row>
    <row r="970">
      <c r="A970" s="29" t="s">
        <v>175</v>
      </c>
      <c r="C970" s="29" t="s">
        <v>175</v>
      </c>
    </row>
    <row r="971">
      <c r="A971" s="29" t="s">
        <v>175</v>
      </c>
      <c r="C971" s="29" t="s">
        <v>175</v>
      </c>
    </row>
    <row r="972">
      <c r="A972" s="29" t="s">
        <v>175</v>
      </c>
      <c r="C972" s="29" t="s">
        <v>175</v>
      </c>
    </row>
    <row r="973">
      <c r="A973" s="29" t="s">
        <v>175</v>
      </c>
      <c r="C973" s="29" t="s">
        <v>175</v>
      </c>
    </row>
    <row r="974">
      <c r="A974" s="29" t="s">
        <v>175</v>
      </c>
      <c r="C974" s="29" t="s">
        <v>175</v>
      </c>
    </row>
    <row r="975">
      <c r="A975" s="29" t="s">
        <v>175</v>
      </c>
      <c r="C975" s="29" t="s">
        <v>175</v>
      </c>
    </row>
    <row r="976">
      <c r="A976" s="29" t="s">
        <v>175</v>
      </c>
      <c r="C976" s="29" t="s">
        <v>175</v>
      </c>
    </row>
    <row r="977">
      <c r="A977" s="29" t="s">
        <v>175</v>
      </c>
      <c r="C977" s="29" t="s">
        <v>175</v>
      </c>
    </row>
    <row r="978">
      <c r="A978" s="29" t="s">
        <v>175</v>
      </c>
      <c r="C978" s="29" t="s">
        <v>175</v>
      </c>
    </row>
    <row r="979">
      <c r="A979" s="29" t="s">
        <v>175</v>
      </c>
      <c r="C979" s="29" t="s">
        <v>175</v>
      </c>
    </row>
    <row r="980">
      <c r="A980" s="29" t="s">
        <v>175</v>
      </c>
      <c r="C980" s="29" t="s">
        <v>175</v>
      </c>
    </row>
    <row r="981">
      <c r="A981" s="29" t="s">
        <v>175</v>
      </c>
      <c r="C981" s="29" t="s">
        <v>175</v>
      </c>
    </row>
    <row r="982">
      <c r="A982" s="29" t="s">
        <v>175</v>
      </c>
      <c r="C982" s="29" t="s">
        <v>175</v>
      </c>
    </row>
    <row r="983">
      <c r="A983" s="29" t="s">
        <v>175</v>
      </c>
      <c r="C983" s="29" t="s">
        <v>175</v>
      </c>
    </row>
    <row r="984">
      <c r="A984" s="29" t="s">
        <v>175</v>
      </c>
      <c r="C984" s="29" t="s">
        <v>175</v>
      </c>
    </row>
    <row r="985">
      <c r="A985" s="29" t="s">
        <v>175</v>
      </c>
      <c r="C985" s="29" t="s">
        <v>175</v>
      </c>
    </row>
    <row r="986">
      <c r="A986" s="29" t="s">
        <v>175</v>
      </c>
      <c r="C986" s="29" t="s">
        <v>175</v>
      </c>
    </row>
    <row r="987">
      <c r="A987" s="29" t="s">
        <v>175</v>
      </c>
      <c r="C987" s="29" t="s">
        <v>175</v>
      </c>
    </row>
    <row r="988">
      <c r="A988" s="29" t="s">
        <v>175</v>
      </c>
      <c r="C988" s="29" t="s">
        <v>175</v>
      </c>
    </row>
    <row r="989">
      <c r="A989" s="29" t="s">
        <v>175</v>
      </c>
      <c r="C989" s="29" t="s">
        <v>175</v>
      </c>
    </row>
    <row r="990">
      <c r="A990" s="29" t="s">
        <v>175</v>
      </c>
      <c r="C990" s="29" t="s">
        <v>175</v>
      </c>
    </row>
    <row r="991">
      <c r="A991" s="29" t="s">
        <v>175</v>
      </c>
      <c r="C991" s="29" t="s">
        <v>175</v>
      </c>
    </row>
    <row r="992">
      <c r="A992" s="29" t="s">
        <v>175</v>
      </c>
      <c r="C992" s="29" t="s">
        <v>175</v>
      </c>
    </row>
    <row r="993">
      <c r="A993" s="29" t="s">
        <v>175</v>
      </c>
      <c r="C993" s="29" t="s">
        <v>175</v>
      </c>
    </row>
    <row r="994">
      <c r="A994" s="29" t="s">
        <v>175</v>
      </c>
      <c r="C994" s="29" t="s">
        <v>175</v>
      </c>
    </row>
    <row r="995">
      <c r="A995" s="29" t="s">
        <v>175</v>
      </c>
      <c r="C995" s="29" t="s">
        <v>175</v>
      </c>
    </row>
    <row r="996">
      <c r="A996" s="29" t="s">
        <v>175</v>
      </c>
      <c r="C996" s="29" t="s">
        <v>175</v>
      </c>
    </row>
    <row r="997">
      <c r="A997" s="29" t="s">
        <v>175</v>
      </c>
      <c r="C997" s="29" t="s">
        <v>175</v>
      </c>
    </row>
    <row r="998">
      <c r="A998" s="29" t="s">
        <v>175</v>
      </c>
      <c r="C998" s="29" t="s">
        <v>175</v>
      </c>
    </row>
    <row r="999">
      <c r="A999" s="29" t="s">
        <v>175</v>
      </c>
      <c r="C999" s="29" t="s">
        <v>175</v>
      </c>
    </row>
    <row r="1000">
      <c r="A1000" s="29" t="s">
        <v>175</v>
      </c>
      <c r="C1000" s="29" t="s">
        <v>175</v>
      </c>
    </row>
    <row r="1001">
      <c r="A1001" s="29" t="s">
        <v>175</v>
      </c>
      <c r="C1001" s="29" t="s">
        <v>175</v>
      </c>
    </row>
    <row r="1002">
      <c r="A1002" s="29" t="s">
        <v>175</v>
      </c>
      <c r="C1002" s="29" t="s">
        <v>175</v>
      </c>
    </row>
  </sheetData>
  <mergeCells count="1">
    <mergeCell ref="A1:E1"/>
  </mergeCells>
  <drawing r:id="rId1"/>
</worksheet>
</file>